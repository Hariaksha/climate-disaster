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ariaksha/Documents/GitHub/climate-disaster/"/>
    </mc:Choice>
  </mc:AlternateContent>
  <xr:revisionPtr revIDLastSave="0" documentId="13_ncr:1_{6E357740-F7DE-1845-A48A-08ECC69EF794}" xr6:coauthVersionLast="47" xr6:coauthVersionMax="47" xr10:uidLastSave="{00000000-0000-0000-0000-000000000000}"/>
  <bookViews>
    <workbookView xWindow="0" yWindow="680" windowWidth="34200" windowHeight="20000" tabRatio="500" activeTab="5" xr2:uid="{00000000-000D-0000-FFFF-FFFF00000000}"/>
  </bookViews>
  <sheets>
    <sheet name="All Disasters" sheetId="1" r:id="rId1"/>
    <sheet name="Master" sheetId="2" r:id="rId2"/>
    <sheet name="Active" sheetId="3" r:id="rId3"/>
    <sheet name="Trash" sheetId="4" r:id="rId4"/>
    <sheet name="National Domains" sheetId="5" r:id="rId5"/>
    <sheet name="Calibra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4" l="1"/>
  <c r="A2" i="3"/>
  <c r="R1695" i="2"/>
  <c r="Q1695" i="2"/>
  <c r="R1694" i="2"/>
  <c r="Q1694" i="2"/>
  <c r="R1693" i="2"/>
  <c r="Q1693" i="2"/>
  <c r="R1692" i="2"/>
  <c r="Q1692" i="2"/>
  <c r="R1691" i="2"/>
  <c r="Q1691" i="2"/>
  <c r="R1690" i="2"/>
  <c r="Q1690" i="2"/>
  <c r="R1689" i="2"/>
  <c r="Q1689" i="2"/>
  <c r="R1688" i="2"/>
  <c r="Q1688" i="2"/>
  <c r="R1687" i="2"/>
  <c r="Q1687" i="2"/>
  <c r="R1686" i="2"/>
  <c r="Q1686" i="2"/>
  <c r="R1685" i="2"/>
  <c r="Q1685" i="2"/>
  <c r="R1684" i="2"/>
  <c r="Q1684" i="2"/>
  <c r="R1683" i="2"/>
  <c r="Q1683" i="2"/>
  <c r="R1682" i="2"/>
  <c r="Q1682" i="2"/>
  <c r="R1681" i="2"/>
  <c r="Q1681" i="2"/>
  <c r="R1680" i="2"/>
  <c r="Q1680" i="2"/>
  <c r="R1679" i="2"/>
  <c r="Q1679" i="2"/>
  <c r="R1678" i="2"/>
  <c r="Q1678" i="2"/>
  <c r="R1677" i="2"/>
  <c r="Q1677" i="2"/>
  <c r="R1676" i="2"/>
  <c r="Q1676" i="2"/>
  <c r="R1675" i="2"/>
  <c r="Q1675" i="2"/>
  <c r="R1674" i="2"/>
  <c r="Q1674" i="2"/>
  <c r="R1673" i="2"/>
  <c r="Q1673" i="2"/>
  <c r="R1672" i="2"/>
  <c r="Q1672" i="2"/>
  <c r="R1671" i="2"/>
  <c r="Q1671" i="2"/>
  <c r="R1670" i="2"/>
  <c r="Q1670" i="2"/>
  <c r="R1669" i="2"/>
  <c r="Q1669" i="2"/>
  <c r="R1668" i="2"/>
  <c r="Q1668" i="2"/>
  <c r="R1667" i="2"/>
  <c r="Q1667" i="2"/>
  <c r="R1666" i="2"/>
  <c r="Q1666" i="2"/>
  <c r="R1665" i="2"/>
  <c r="Q1665" i="2"/>
  <c r="R1664" i="2"/>
  <c r="Q1664" i="2"/>
  <c r="R1663" i="2"/>
  <c r="Q1663" i="2"/>
  <c r="R1662" i="2"/>
  <c r="Q1662" i="2"/>
  <c r="R1661" i="2"/>
  <c r="Q1661" i="2"/>
  <c r="R1660" i="2"/>
  <c r="Q1660" i="2"/>
  <c r="R1659" i="2"/>
  <c r="Q1659" i="2"/>
  <c r="R1658" i="2"/>
  <c r="Q1658" i="2"/>
  <c r="R1657" i="2"/>
  <c r="Q1657" i="2"/>
  <c r="R1656" i="2"/>
  <c r="Q1656" i="2"/>
  <c r="R1655" i="2"/>
  <c r="Q1655" i="2"/>
  <c r="R1654" i="2"/>
  <c r="Q1654" i="2"/>
  <c r="R1653" i="2"/>
  <c r="Q1653" i="2"/>
  <c r="R1652" i="2"/>
  <c r="Q1652" i="2"/>
  <c r="R1651" i="2"/>
  <c r="Q1651" i="2"/>
  <c r="R1650" i="2"/>
  <c r="Q1650" i="2"/>
  <c r="R1649" i="2"/>
  <c r="Q1649" i="2"/>
  <c r="R1648" i="2"/>
  <c r="Q1648" i="2"/>
  <c r="R1647" i="2"/>
  <c r="Q1647" i="2"/>
  <c r="R1646" i="2"/>
  <c r="Q1646" i="2"/>
  <c r="R1645" i="2"/>
  <c r="Q1645" i="2"/>
  <c r="R1644" i="2"/>
  <c r="Q1644" i="2"/>
  <c r="R1643" i="2"/>
  <c r="Q1643" i="2"/>
  <c r="R1642" i="2"/>
  <c r="Q1642" i="2"/>
  <c r="R1641" i="2"/>
  <c r="Q1641" i="2"/>
  <c r="R1640" i="2"/>
  <c r="Q1640" i="2"/>
  <c r="R1639" i="2"/>
  <c r="Q1639" i="2"/>
  <c r="R1638" i="2"/>
  <c r="Q1638" i="2"/>
  <c r="R1637" i="2"/>
  <c r="Q1637" i="2"/>
  <c r="R1636" i="2"/>
  <c r="Q1636" i="2"/>
  <c r="R1635" i="2"/>
  <c r="Q1635" i="2"/>
  <c r="R1634" i="2"/>
  <c r="Q1634" i="2"/>
  <c r="R1633" i="2"/>
  <c r="Q1633" i="2"/>
  <c r="R1632" i="2"/>
  <c r="Q1632" i="2"/>
  <c r="R1631" i="2"/>
  <c r="Q1631" i="2"/>
  <c r="R1630" i="2"/>
  <c r="Q1630" i="2"/>
  <c r="R1629" i="2"/>
  <c r="Q1629" i="2"/>
  <c r="R1628" i="2"/>
  <c r="Q1628" i="2"/>
  <c r="R1627" i="2"/>
  <c r="Q1627" i="2"/>
  <c r="R1626" i="2"/>
  <c r="Q1626" i="2"/>
  <c r="R1625" i="2"/>
  <c r="Q1625" i="2"/>
  <c r="R1624" i="2"/>
  <c r="Q1624" i="2"/>
  <c r="R1623" i="2"/>
  <c r="Q1623" i="2"/>
  <c r="R1622" i="2"/>
  <c r="Q1622" i="2"/>
  <c r="R1621" i="2"/>
  <c r="Q1621" i="2"/>
  <c r="R1620" i="2"/>
  <c r="Q1620" i="2"/>
  <c r="R1619" i="2"/>
  <c r="Q1619" i="2"/>
  <c r="R1618" i="2"/>
  <c r="Q1618" i="2"/>
  <c r="R1617" i="2"/>
  <c r="Q1617" i="2"/>
  <c r="R1616" i="2"/>
  <c r="Q1616" i="2"/>
  <c r="R1615" i="2"/>
  <c r="Q1615" i="2"/>
  <c r="R1614" i="2"/>
  <c r="Q1614" i="2"/>
  <c r="R1613" i="2"/>
  <c r="Q1613" i="2"/>
  <c r="R1612" i="2"/>
  <c r="Q1612" i="2"/>
  <c r="R1611" i="2"/>
  <c r="Q1611" i="2"/>
  <c r="R1610" i="2"/>
  <c r="Q1610" i="2"/>
  <c r="R1609" i="2"/>
  <c r="Q1609" i="2"/>
  <c r="R1608" i="2"/>
  <c r="Q1608" i="2"/>
  <c r="R1607" i="2"/>
  <c r="Q1607" i="2"/>
  <c r="R1606" i="2"/>
  <c r="Q1606" i="2"/>
  <c r="R1605" i="2"/>
  <c r="Q1605" i="2"/>
  <c r="R1604" i="2"/>
  <c r="Q1604" i="2"/>
  <c r="R1603" i="2"/>
  <c r="Q1603" i="2"/>
  <c r="R1602" i="2"/>
  <c r="Q1602" i="2"/>
  <c r="R1601" i="2"/>
  <c r="Q1601" i="2"/>
  <c r="R1600" i="2"/>
  <c r="Q1600" i="2"/>
  <c r="R1599" i="2"/>
  <c r="Q1599" i="2"/>
  <c r="R1598" i="2"/>
  <c r="Q1598" i="2"/>
  <c r="R1597" i="2"/>
  <c r="Q1597" i="2"/>
  <c r="R1596" i="2"/>
  <c r="Q1596" i="2"/>
  <c r="R1595" i="2"/>
  <c r="Q1595" i="2"/>
  <c r="R1594" i="2"/>
  <c r="Q1594" i="2"/>
  <c r="R1593" i="2"/>
  <c r="Q1593" i="2"/>
  <c r="R1592" i="2"/>
  <c r="Q1592" i="2"/>
  <c r="R1591" i="2"/>
  <c r="Q1591" i="2"/>
  <c r="R1590" i="2"/>
  <c r="Q1590" i="2"/>
  <c r="R1589" i="2"/>
  <c r="Q1589" i="2"/>
  <c r="R1588" i="2"/>
  <c r="Q1588" i="2"/>
  <c r="R1587" i="2"/>
  <c r="Q1587" i="2"/>
  <c r="R1586" i="2"/>
  <c r="Q1586" i="2"/>
  <c r="R1585" i="2"/>
  <c r="Q1585" i="2"/>
  <c r="R1584" i="2"/>
  <c r="Q1584" i="2"/>
  <c r="R1583" i="2"/>
  <c r="Q1583" i="2"/>
  <c r="R1582" i="2"/>
  <c r="Q1582" i="2"/>
  <c r="R1581" i="2"/>
  <c r="Q1581" i="2"/>
  <c r="R1580" i="2"/>
  <c r="Q1580" i="2"/>
  <c r="R1579" i="2"/>
  <c r="Q1579" i="2"/>
  <c r="R1578" i="2"/>
  <c r="Q1578" i="2"/>
  <c r="R1577" i="2"/>
  <c r="Q1577" i="2"/>
  <c r="R1576" i="2"/>
  <c r="Q1576" i="2"/>
  <c r="R1575" i="2"/>
  <c r="Q1575" i="2"/>
  <c r="R1574" i="2"/>
  <c r="Q1574" i="2"/>
  <c r="R1573" i="2"/>
  <c r="Q1573" i="2"/>
  <c r="R1572" i="2"/>
  <c r="Q1572" i="2"/>
  <c r="R1571" i="2"/>
  <c r="Q1571" i="2"/>
  <c r="R1570" i="2"/>
  <c r="Q1570" i="2"/>
  <c r="R1569" i="2"/>
  <c r="Q1569" i="2"/>
  <c r="R1568" i="2"/>
  <c r="Q1568" i="2"/>
  <c r="R1567" i="2"/>
  <c r="Q1567" i="2"/>
  <c r="R1566" i="2"/>
  <c r="Q1566" i="2"/>
  <c r="R1565" i="2"/>
  <c r="Q1565" i="2"/>
  <c r="R1564" i="2"/>
  <c r="Q1564" i="2"/>
  <c r="R1563" i="2"/>
  <c r="Q1563" i="2"/>
  <c r="R1562" i="2"/>
  <c r="Q1562" i="2"/>
  <c r="R1561" i="2"/>
  <c r="Q1561" i="2"/>
  <c r="R1560" i="2"/>
  <c r="Q1560" i="2"/>
  <c r="R1559" i="2"/>
  <c r="Q1559" i="2"/>
  <c r="R1558" i="2"/>
  <c r="Q1558" i="2"/>
  <c r="R1557" i="2"/>
  <c r="Q1557" i="2"/>
  <c r="R1556" i="2"/>
  <c r="Q1556" i="2"/>
  <c r="R1555" i="2"/>
  <c r="Q1555" i="2"/>
  <c r="R1554" i="2"/>
  <c r="Q1554" i="2"/>
  <c r="R1553" i="2"/>
  <c r="Q1553" i="2"/>
  <c r="R1552" i="2"/>
  <c r="Q1552" i="2"/>
  <c r="R1551" i="2"/>
  <c r="Q1551" i="2"/>
  <c r="R1550" i="2"/>
  <c r="Q1550" i="2"/>
  <c r="R1549" i="2"/>
  <c r="Q1549" i="2"/>
  <c r="R1548" i="2"/>
  <c r="Q1548" i="2"/>
  <c r="R1547" i="2"/>
  <c r="Q1547" i="2"/>
  <c r="R1546" i="2"/>
  <c r="Q1546" i="2"/>
  <c r="R1545" i="2"/>
  <c r="Q1545" i="2"/>
  <c r="R1544" i="2"/>
  <c r="Q1544" i="2"/>
  <c r="R1543" i="2"/>
  <c r="Q1543" i="2"/>
  <c r="R1542" i="2"/>
  <c r="Q1542" i="2"/>
  <c r="R1541" i="2"/>
  <c r="Q1541" i="2"/>
  <c r="R1540" i="2"/>
  <c r="Q1540" i="2"/>
  <c r="R1539" i="2"/>
  <c r="Q1539" i="2"/>
  <c r="R1538" i="2"/>
  <c r="Q1538" i="2"/>
  <c r="R1537" i="2"/>
  <c r="Q1537" i="2"/>
  <c r="R1536" i="2"/>
  <c r="Q1536" i="2"/>
  <c r="R1535" i="2"/>
  <c r="Q1535" i="2"/>
  <c r="R1534" i="2"/>
  <c r="Q1534" i="2"/>
  <c r="R1533" i="2"/>
  <c r="Q1533" i="2"/>
  <c r="R1532" i="2"/>
  <c r="Q1532" i="2"/>
  <c r="R1531" i="2"/>
  <c r="Q1531" i="2"/>
  <c r="R1530" i="2"/>
  <c r="Q1530" i="2"/>
  <c r="R1529" i="2"/>
  <c r="Q1529" i="2"/>
  <c r="R1528" i="2"/>
  <c r="Q1528" i="2"/>
  <c r="R1527" i="2"/>
  <c r="Q1527" i="2"/>
  <c r="R1526" i="2"/>
  <c r="Q1526" i="2"/>
  <c r="R1525" i="2"/>
  <c r="Q1525" i="2"/>
  <c r="R1524" i="2"/>
  <c r="Q1524" i="2"/>
  <c r="R1523" i="2"/>
  <c r="Q1523" i="2"/>
  <c r="R1522" i="2"/>
  <c r="Q1522" i="2"/>
  <c r="R1521" i="2"/>
  <c r="Q1521" i="2"/>
  <c r="R1520" i="2"/>
  <c r="Q1520" i="2"/>
  <c r="R1519" i="2"/>
  <c r="Q1519" i="2"/>
  <c r="R1518" i="2"/>
  <c r="Q1518" i="2"/>
  <c r="R1517" i="2"/>
  <c r="Q1517" i="2"/>
  <c r="R1516" i="2"/>
  <c r="Q1516" i="2"/>
  <c r="R1515" i="2"/>
  <c r="Q1515" i="2"/>
  <c r="R1514" i="2"/>
  <c r="Q1514" i="2"/>
  <c r="R1513" i="2"/>
  <c r="Q1513" i="2"/>
  <c r="R1512" i="2"/>
  <c r="Q1512" i="2"/>
  <c r="R1511" i="2"/>
  <c r="Q1511" i="2"/>
  <c r="R1510" i="2"/>
  <c r="Q1510" i="2"/>
  <c r="R1509" i="2"/>
  <c r="Q1509" i="2"/>
  <c r="R1508" i="2"/>
  <c r="Q1508" i="2"/>
  <c r="R1507" i="2"/>
  <c r="Q1507" i="2"/>
  <c r="R1506" i="2"/>
  <c r="Q1506" i="2"/>
  <c r="R1505" i="2"/>
  <c r="Q1505" i="2"/>
  <c r="R1504" i="2"/>
  <c r="Q1504" i="2"/>
  <c r="R1503" i="2"/>
  <c r="Q1503" i="2"/>
  <c r="R1502" i="2"/>
  <c r="Q1502" i="2"/>
  <c r="R1501" i="2"/>
  <c r="Q1501" i="2"/>
  <c r="R1500" i="2"/>
  <c r="Q1500" i="2"/>
  <c r="R1499" i="2"/>
  <c r="Q1499" i="2"/>
  <c r="R1498" i="2"/>
  <c r="Q1498" i="2"/>
  <c r="R1497" i="2"/>
  <c r="Q1497" i="2"/>
  <c r="R1496" i="2"/>
  <c r="Q1496" i="2"/>
  <c r="R1495" i="2"/>
  <c r="Q1495" i="2"/>
  <c r="R1494" i="2"/>
  <c r="Q1494" i="2"/>
  <c r="R1493" i="2"/>
  <c r="Q1493" i="2"/>
  <c r="R1492" i="2"/>
  <c r="Q1492" i="2"/>
  <c r="R1491" i="2"/>
  <c r="Q1491" i="2"/>
  <c r="R1490" i="2"/>
  <c r="Q1490" i="2"/>
  <c r="R1489" i="2"/>
  <c r="Q1489" i="2"/>
  <c r="R1488" i="2"/>
  <c r="Q1488" i="2"/>
  <c r="R1487" i="2"/>
  <c r="Q1487" i="2"/>
  <c r="R1486" i="2"/>
  <c r="Q1486" i="2"/>
  <c r="R1485" i="2"/>
  <c r="Q1485" i="2"/>
  <c r="R1484" i="2"/>
  <c r="Q1484" i="2"/>
  <c r="R1483" i="2"/>
  <c r="Q1483" i="2"/>
  <c r="R1482" i="2"/>
  <c r="Q1482" i="2"/>
  <c r="R1481" i="2"/>
  <c r="Q1481" i="2"/>
  <c r="R1480" i="2"/>
  <c r="Q1480" i="2"/>
  <c r="R1479" i="2"/>
  <c r="Q1479" i="2"/>
  <c r="R1478" i="2"/>
  <c r="Q1478" i="2"/>
  <c r="R1477" i="2"/>
  <c r="Q1477" i="2"/>
  <c r="R1476" i="2"/>
  <c r="Q1476" i="2"/>
  <c r="R1475" i="2"/>
  <c r="Q1475" i="2"/>
  <c r="R1474" i="2"/>
  <c r="Q1474" i="2"/>
  <c r="R1473" i="2"/>
  <c r="Q1473" i="2"/>
  <c r="R1472" i="2"/>
  <c r="Q1472" i="2"/>
  <c r="R1471" i="2"/>
  <c r="Q1471" i="2"/>
  <c r="R1470" i="2"/>
  <c r="Q1470" i="2"/>
  <c r="R1469" i="2"/>
  <c r="Q1469" i="2"/>
  <c r="R1468" i="2"/>
  <c r="Q1468" i="2"/>
  <c r="R1467" i="2"/>
  <c r="Q1467" i="2"/>
  <c r="R1466" i="2"/>
  <c r="Q1466" i="2"/>
  <c r="R1465" i="2"/>
  <c r="Q1465" i="2"/>
  <c r="R1464" i="2"/>
  <c r="Q1464" i="2"/>
  <c r="R1463" i="2"/>
  <c r="Q1463" i="2"/>
  <c r="R1462" i="2"/>
  <c r="Q1462" i="2"/>
  <c r="R1461" i="2"/>
  <c r="Q1461" i="2"/>
  <c r="R1460" i="2"/>
  <c r="Q1460" i="2"/>
  <c r="R1459" i="2"/>
  <c r="Q1459" i="2"/>
  <c r="R1458" i="2"/>
  <c r="Q1458" i="2"/>
  <c r="R1457" i="2"/>
  <c r="Q1457" i="2"/>
  <c r="R1456" i="2"/>
  <c r="Q1456" i="2"/>
  <c r="R1455" i="2"/>
  <c r="Q1455" i="2"/>
  <c r="R1454" i="2"/>
  <c r="Q1454" i="2"/>
  <c r="R1453" i="2"/>
  <c r="Q1453" i="2"/>
  <c r="R1452" i="2"/>
  <c r="Q1452" i="2"/>
  <c r="R1451" i="2"/>
  <c r="Q1451" i="2"/>
  <c r="R1450" i="2"/>
  <c r="Q1450" i="2"/>
  <c r="R1449" i="2"/>
  <c r="Q1449" i="2"/>
  <c r="R1448" i="2"/>
  <c r="Q1448" i="2"/>
  <c r="R1447" i="2"/>
  <c r="Q1447" i="2"/>
  <c r="R1446" i="2"/>
  <c r="Q1446" i="2"/>
  <c r="R1445" i="2"/>
  <c r="Q1445" i="2"/>
  <c r="R1444" i="2"/>
  <c r="Q1444" i="2"/>
  <c r="R1443" i="2"/>
  <c r="Q1443" i="2"/>
  <c r="R1442" i="2"/>
  <c r="Q1442" i="2"/>
  <c r="R1441" i="2"/>
  <c r="Q1441" i="2"/>
  <c r="R1440" i="2"/>
  <c r="Q1440" i="2"/>
  <c r="R1439" i="2"/>
  <c r="Q1439" i="2"/>
  <c r="R1438" i="2"/>
  <c r="Q1438" i="2"/>
  <c r="R1437" i="2"/>
  <c r="Q1437" i="2"/>
  <c r="R1436" i="2"/>
  <c r="Q1436" i="2"/>
  <c r="R1435" i="2"/>
  <c r="Q1435" i="2"/>
  <c r="R1434" i="2"/>
  <c r="Q1434" i="2"/>
  <c r="R1433" i="2"/>
  <c r="Q1433" i="2"/>
  <c r="R1432" i="2"/>
  <c r="Q1432" i="2"/>
  <c r="R1431" i="2"/>
  <c r="Q1431" i="2"/>
  <c r="R1430" i="2"/>
  <c r="Q1430" i="2"/>
  <c r="R1429" i="2"/>
  <c r="Q1429" i="2"/>
  <c r="R1428" i="2"/>
  <c r="Q1428" i="2"/>
  <c r="R1427" i="2"/>
  <c r="Q1427" i="2"/>
  <c r="R1426" i="2"/>
  <c r="Q1426" i="2"/>
  <c r="R1425" i="2"/>
  <c r="Q1425" i="2"/>
  <c r="R1424" i="2"/>
  <c r="Q1424" i="2"/>
  <c r="R1423" i="2"/>
  <c r="Q1423" i="2"/>
  <c r="R1422" i="2"/>
  <c r="Q1422" i="2"/>
  <c r="R1421" i="2"/>
  <c r="Q1421" i="2"/>
  <c r="R1420" i="2"/>
  <c r="Q1420" i="2"/>
  <c r="R1419" i="2"/>
  <c r="Q1419" i="2"/>
  <c r="R1418" i="2"/>
  <c r="Q1418" i="2"/>
  <c r="R1417" i="2"/>
  <c r="Q1417" i="2"/>
  <c r="R1416" i="2"/>
  <c r="Q1416" i="2"/>
  <c r="R1415" i="2"/>
  <c r="Q1415" i="2"/>
  <c r="R1414" i="2"/>
  <c r="Q1414" i="2"/>
  <c r="R1413" i="2"/>
  <c r="Q1413" i="2"/>
  <c r="R1412" i="2"/>
  <c r="Q1412" i="2"/>
  <c r="R1411" i="2"/>
  <c r="Q1411" i="2"/>
  <c r="R1410" i="2"/>
  <c r="Q1410" i="2"/>
  <c r="R1409" i="2"/>
  <c r="Q1409" i="2"/>
  <c r="R1408" i="2"/>
  <c r="Q1408" i="2"/>
  <c r="R1407" i="2"/>
  <c r="Q1407" i="2"/>
  <c r="R1406" i="2"/>
  <c r="Q1406" i="2"/>
  <c r="R1405" i="2"/>
  <c r="Q1405" i="2"/>
  <c r="R1404" i="2"/>
  <c r="Q1404" i="2"/>
  <c r="R1403" i="2"/>
  <c r="Q1403" i="2"/>
  <c r="R1402" i="2"/>
  <c r="Q1402" i="2"/>
  <c r="R1401" i="2"/>
  <c r="Q1401" i="2"/>
  <c r="R1400" i="2"/>
  <c r="Q1400" i="2"/>
  <c r="R1399" i="2"/>
  <c r="Q1399" i="2"/>
  <c r="R1398" i="2"/>
  <c r="Q1398" i="2"/>
  <c r="R1397" i="2"/>
  <c r="Q1397" i="2"/>
  <c r="R1396" i="2"/>
  <c r="Q1396" i="2"/>
  <c r="R1395" i="2"/>
  <c r="Q1395" i="2"/>
  <c r="R1394" i="2"/>
  <c r="Q1394" i="2"/>
  <c r="R1393" i="2"/>
  <c r="Q1393" i="2"/>
  <c r="R1392" i="2"/>
  <c r="Q1392" i="2"/>
  <c r="R1391" i="2"/>
  <c r="Q1391" i="2"/>
  <c r="R1390" i="2"/>
  <c r="Q1390" i="2"/>
  <c r="R1389" i="2"/>
  <c r="Q1389" i="2"/>
  <c r="R1388" i="2"/>
  <c r="Q1388" i="2"/>
  <c r="R1387" i="2"/>
  <c r="Q1387" i="2"/>
  <c r="R1386" i="2"/>
  <c r="Q1386" i="2"/>
  <c r="R1385" i="2"/>
  <c r="Q1385" i="2"/>
  <c r="R1384" i="2"/>
  <c r="Q1384" i="2"/>
  <c r="R1383" i="2"/>
  <c r="Q1383" i="2"/>
  <c r="R1382" i="2"/>
  <c r="Q1382" i="2"/>
  <c r="R1381" i="2"/>
  <c r="Q1381" i="2"/>
  <c r="R1380" i="2"/>
  <c r="Q1380" i="2"/>
  <c r="R1379" i="2"/>
  <c r="Q1379" i="2"/>
  <c r="R1378" i="2"/>
  <c r="Q1378" i="2"/>
  <c r="R1377" i="2"/>
  <c r="Q1377" i="2"/>
  <c r="R1376" i="2"/>
  <c r="Q1376" i="2"/>
  <c r="R1375" i="2"/>
  <c r="Q1375" i="2"/>
  <c r="R1374" i="2"/>
  <c r="Q1374" i="2"/>
  <c r="R1373" i="2"/>
  <c r="Q1373" i="2"/>
  <c r="R1372" i="2"/>
  <c r="Q1372" i="2"/>
  <c r="R1371" i="2"/>
  <c r="Q1371" i="2"/>
  <c r="R1370" i="2"/>
  <c r="Q1370" i="2"/>
  <c r="R1369" i="2"/>
  <c r="Q1369" i="2"/>
  <c r="R1368" i="2"/>
  <c r="Q1368" i="2"/>
  <c r="R1367" i="2"/>
  <c r="Q1367" i="2"/>
  <c r="R1366" i="2"/>
  <c r="Q1366" i="2"/>
  <c r="R1365" i="2"/>
  <c r="Q1365" i="2"/>
  <c r="R1364" i="2"/>
  <c r="Q1364" i="2"/>
  <c r="R1363" i="2"/>
  <c r="Q1363" i="2"/>
  <c r="R1362" i="2"/>
  <c r="Q1362" i="2"/>
  <c r="R1361" i="2"/>
  <c r="Q1361" i="2"/>
  <c r="R1360" i="2"/>
  <c r="Q1360" i="2"/>
  <c r="R1359" i="2"/>
  <c r="Q1359" i="2"/>
  <c r="R1358" i="2"/>
  <c r="Q1358" i="2"/>
  <c r="R1357" i="2"/>
  <c r="Q1357" i="2"/>
  <c r="R1356" i="2"/>
  <c r="Q1356" i="2"/>
  <c r="R1355" i="2"/>
  <c r="Q1355" i="2"/>
  <c r="R1354" i="2"/>
  <c r="Q1354" i="2"/>
  <c r="R1353" i="2"/>
  <c r="Q1353" i="2"/>
  <c r="R1352" i="2"/>
  <c r="Q1352" i="2"/>
  <c r="R1351" i="2"/>
  <c r="Q1351" i="2"/>
  <c r="R1350" i="2"/>
  <c r="Q1350" i="2"/>
  <c r="R1349" i="2"/>
  <c r="Q1349" i="2"/>
  <c r="R1348" i="2"/>
  <c r="Q1348" i="2"/>
  <c r="R1347" i="2"/>
  <c r="Q1347" i="2"/>
  <c r="R1346" i="2"/>
  <c r="Q1346" i="2"/>
  <c r="R1345" i="2"/>
  <c r="Q1345" i="2"/>
  <c r="R1344" i="2"/>
  <c r="Q1344" i="2"/>
  <c r="R1343" i="2"/>
  <c r="Q1343" i="2"/>
  <c r="R1342" i="2"/>
  <c r="Q1342" i="2"/>
  <c r="R1341" i="2"/>
  <c r="Q1341" i="2"/>
  <c r="R1340" i="2"/>
  <c r="Q1340" i="2"/>
  <c r="R1339" i="2"/>
  <c r="Q1339" i="2"/>
  <c r="R1338" i="2"/>
  <c r="Q1338" i="2"/>
  <c r="R1337" i="2"/>
  <c r="Q1337" i="2"/>
  <c r="R1336" i="2"/>
  <c r="Q1336" i="2"/>
  <c r="R1335" i="2"/>
  <c r="Q1335" i="2"/>
  <c r="R1334" i="2"/>
  <c r="Q1334" i="2"/>
  <c r="R1333" i="2"/>
  <c r="Q1333" i="2"/>
  <c r="R1332" i="2"/>
  <c r="Q1332" i="2"/>
  <c r="R1331" i="2"/>
  <c r="Q1331" i="2"/>
  <c r="R1330" i="2"/>
  <c r="Q1330" i="2"/>
  <c r="R1329" i="2"/>
  <c r="Q1329" i="2"/>
  <c r="R1328" i="2"/>
  <c r="Q1328" i="2"/>
  <c r="R1327" i="2"/>
  <c r="Q1327" i="2"/>
  <c r="R1326" i="2"/>
  <c r="Q1326" i="2"/>
  <c r="R1325" i="2"/>
  <c r="Q1325" i="2"/>
  <c r="R1324" i="2"/>
  <c r="Q1324" i="2"/>
  <c r="R1323" i="2"/>
  <c r="Q1323" i="2"/>
  <c r="R1322" i="2"/>
  <c r="Q1322" i="2"/>
  <c r="R1321" i="2"/>
  <c r="Q1321" i="2"/>
  <c r="R1320" i="2"/>
  <c r="Q1320" i="2"/>
  <c r="R1319" i="2"/>
  <c r="Q1319" i="2"/>
  <c r="R1318" i="2"/>
  <c r="Q1318" i="2"/>
  <c r="R1317" i="2"/>
  <c r="Q1317" i="2"/>
  <c r="R1316" i="2"/>
  <c r="Q1316" i="2"/>
  <c r="R1315" i="2"/>
  <c r="Q1315" i="2"/>
  <c r="R1314" i="2"/>
  <c r="Q1314" i="2"/>
  <c r="R1313" i="2"/>
  <c r="Q1313" i="2"/>
  <c r="R1312" i="2"/>
  <c r="Q1312" i="2"/>
  <c r="R1311" i="2"/>
  <c r="Q1311" i="2"/>
  <c r="R1310" i="2"/>
  <c r="Q1310" i="2"/>
  <c r="R1309" i="2"/>
  <c r="Q1309" i="2"/>
  <c r="R1308" i="2"/>
  <c r="Q1308" i="2"/>
  <c r="R1307" i="2"/>
  <c r="Q1307" i="2"/>
  <c r="R1306" i="2"/>
  <c r="Q1306" i="2"/>
  <c r="R1305" i="2"/>
  <c r="Q1305" i="2"/>
  <c r="R1304" i="2"/>
  <c r="Q1304" i="2"/>
  <c r="R1303" i="2"/>
  <c r="Q1303" i="2"/>
  <c r="R1302" i="2"/>
  <c r="Q1302" i="2"/>
  <c r="R1301" i="2"/>
  <c r="Q1301" i="2"/>
  <c r="R1300" i="2"/>
  <c r="Q1300" i="2"/>
  <c r="R1299" i="2"/>
  <c r="Q1299" i="2"/>
  <c r="R1298" i="2"/>
  <c r="Q1298" i="2"/>
  <c r="R1297" i="2"/>
  <c r="Q1297" i="2"/>
  <c r="R1296" i="2"/>
  <c r="Q1296" i="2"/>
  <c r="R1295" i="2"/>
  <c r="Q1295" i="2"/>
  <c r="R1294" i="2"/>
  <c r="Q1294" i="2"/>
  <c r="R1293" i="2"/>
  <c r="Q1293" i="2"/>
  <c r="R1292" i="2"/>
  <c r="Q1292" i="2"/>
  <c r="R1291" i="2"/>
  <c r="Q1291" i="2"/>
  <c r="R1290" i="2"/>
  <c r="Q1290" i="2"/>
  <c r="R1289" i="2"/>
  <c r="Q1289" i="2"/>
  <c r="R1288" i="2"/>
  <c r="Q1288" i="2"/>
  <c r="R1287" i="2"/>
  <c r="Q1287" i="2"/>
  <c r="R1286" i="2"/>
  <c r="Q1286" i="2"/>
  <c r="R1285" i="2"/>
  <c r="Q1285" i="2"/>
  <c r="R1284" i="2"/>
  <c r="Q1284" i="2"/>
  <c r="R1283" i="2"/>
  <c r="Q1283" i="2"/>
  <c r="R1282" i="2"/>
  <c r="Q1282" i="2"/>
  <c r="R1281" i="2"/>
  <c r="Q1281" i="2"/>
  <c r="R1280" i="2"/>
  <c r="Q1280" i="2"/>
  <c r="R1279" i="2"/>
  <c r="Q1279" i="2"/>
  <c r="R1278" i="2"/>
  <c r="Q1278" i="2"/>
  <c r="R1277" i="2"/>
  <c r="Q1277" i="2"/>
  <c r="R1276" i="2"/>
  <c r="Q1276" i="2"/>
  <c r="R1275" i="2"/>
  <c r="Q1275" i="2"/>
  <c r="R1274" i="2"/>
  <c r="Q1274" i="2"/>
  <c r="R1273" i="2"/>
  <c r="Q1273" i="2"/>
  <c r="R1272" i="2"/>
  <c r="Q1272" i="2"/>
  <c r="R1271" i="2"/>
  <c r="Q1271" i="2"/>
  <c r="R1270" i="2"/>
  <c r="Q1270" i="2"/>
  <c r="R1269" i="2"/>
  <c r="Q1269" i="2"/>
  <c r="R1268" i="2"/>
  <c r="Q1268" i="2"/>
  <c r="R1267" i="2"/>
  <c r="Q1267" i="2"/>
  <c r="R1266" i="2"/>
  <c r="Q1266" i="2"/>
  <c r="R1265" i="2"/>
  <c r="Q1265" i="2"/>
  <c r="R1264" i="2"/>
  <c r="Q1264" i="2"/>
  <c r="R1263" i="2"/>
  <c r="Q1263" i="2"/>
  <c r="R1262" i="2"/>
  <c r="Q1262" i="2"/>
  <c r="R1261" i="2"/>
  <c r="Q1261" i="2"/>
  <c r="R1260" i="2"/>
  <c r="Q1260" i="2"/>
  <c r="R1259" i="2"/>
  <c r="Q1259" i="2"/>
  <c r="R1258" i="2"/>
  <c r="Q1258" i="2"/>
  <c r="R1257" i="2"/>
  <c r="Q1257" i="2"/>
  <c r="R1256" i="2"/>
  <c r="Q1256" i="2"/>
  <c r="R1255" i="2"/>
  <c r="Q1255" i="2"/>
  <c r="R1254" i="2"/>
  <c r="Q1254" i="2"/>
  <c r="R1253" i="2"/>
  <c r="Q1253" i="2"/>
  <c r="R1252" i="2"/>
  <c r="Q1252" i="2"/>
  <c r="R1251" i="2"/>
  <c r="Q1251" i="2"/>
  <c r="R1250" i="2"/>
  <c r="Q1250" i="2"/>
  <c r="R1249" i="2"/>
  <c r="Q1249" i="2"/>
  <c r="R1248" i="2"/>
  <c r="Q1248" i="2"/>
  <c r="R1247" i="2"/>
  <c r="Q1247" i="2"/>
  <c r="R1246" i="2"/>
  <c r="Q1246" i="2"/>
  <c r="R1245" i="2"/>
  <c r="Q1245" i="2"/>
  <c r="R1244" i="2"/>
  <c r="Q1244" i="2"/>
  <c r="R1243" i="2"/>
  <c r="Q1243" i="2"/>
  <c r="R1242" i="2"/>
  <c r="Q1242" i="2"/>
  <c r="R1241" i="2"/>
  <c r="Q1241" i="2"/>
  <c r="R1240" i="2"/>
  <c r="Q1240" i="2"/>
  <c r="R1239" i="2"/>
  <c r="Q1239" i="2"/>
  <c r="R1238" i="2"/>
  <c r="Q1238" i="2"/>
  <c r="R1237" i="2"/>
  <c r="Q1237" i="2"/>
  <c r="R1236" i="2"/>
  <c r="Q1236" i="2"/>
  <c r="R1235" i="2"/>
  <c r="Q1235" i="2"/>
  <c r="R1234" i="2"/>
  <c r="Q1234" i="2"/>
  <c r="R1233" i="2"/>
  <c r="Q1233" i="2"/>
  <c r="R1232" i="2"/>
  <c r="Q1232" i="2"/>
  <c r="R1231" i="2"/>
  <c r="Q1231" i="2"/>
  <c r="R1230" i="2"/>
  <c r="Q1230" i="2"/>
  <c r="R1229" i="2"/>
  <c r="Q1229" i="2"/>
  <c r="R1228" i="2"/>
  <c r="Q1228" i="2"/>
  <c r="R1227" i="2"/>
  <c r="Q1227" i="2"/>
  <c r="R1226" i="2"/>
  <c r="Q1226" i="2"/>
  <c r="R1225" i="2"/>
  <c r="Q1225" i="2"/>
  <c r="R1224" i="2"/>
  <c r="Q1224" i="2"/>
  <c r="R1223" i="2"/>
  <c r="Q1223" i="2"/>
  <c r="R1222" i="2"/>
  <c r="Q1222" i="2"/>
  <c r="R1221" i="2"/>
  <c r="Q1221" i="2"/>
  <c r="R1220" i="2"/>
  <c r="Q1220" i="2"/>
  <c r="R1219" i="2"/>
  <c r="Q1219" i="2"/>
  <c r="R1218" i="2"/>
  <c r="Q1218" i="2"/>
  <c r="R1217" i="2"/>
  <c r="Q1217" i="2"/>
  <c r="R1216" i="2"/>
  <c r="Q1216" i="2"/>
  <c r="R1215" i="2"/>
  <c r="Q1215" i="2"/>
  <c r="R1214" i="2"/>
  <c r="Q1214" i="2"/>
  <c r="R1213" i="2"/>
  <c r="Q1213" i="2"/>
  <c r="R1212" i="2"/>
  <c r="Q1212" i="2"/>
  <c r="R1211" i="2"/>
  <c r="Q1211" i="2"/>
  <c r="R1210" i="2"/>
  <c r="Q1210" i="2"/>
  <c r="R1209" i="2"/>
  <c r="Q1209" i="2"/>
  <c r="R1208" i="2"/>
  <c r="Q1208" i="2"/>
  <c r="R1207" i="2"/>
  <c r="Q1207" i="2"/>
  <c r="R1206" i="2"/>
  <c r="Q1206" i="2"/>
  <c r="R1205" i="2"/>
  <c r="Q1205" i="2"/>
  <c r="R1204" i="2"/>
  <c r="Q1204" i="2"/>
  <c r="R1203" i="2"/>
  <c r="Q1203" i="2"/>
  <c r="R1202" i="2"/>
  <c r="Q1202" i="2"/>
  <c r="R1201" i="2"/>
  <c r="Q1201" i="2"/>
  <c r="R1200" i="2"/>
  <c r="Q1200" i="2"/>
  <c r="R1199" i="2"/>
  <c r="Q1199" i="2"/>
  <c r="R1198" i="2"/>
  <c r="Q1198" i="2"/>
  <c r="R1197" i="2"/>
  <c r="Q1197" i="2"/>
  <c r="R1196" i="2"/>
  <c r="Q1196" i="2"/>
  <c r="R1195" i="2"/>
  <c r="Q1195" i="2"/>
  <c r="R1194" i="2"/>
  <c r="Q1194" i="2"/>
  <c r="R1193" i="2"/>
  <c r="Q1193" i="2"/>
  <c r="R1192" i="2"/>
  <c r="Q1192" i="2"/>
  <c r="R1191" i="2"/>
  <c r="Q1191" i="2"/>
  <c r="R1190" i="2"/>
  <c r="Q1190" i="2"/>
  <c r="R1189" i="2"/>
  <c r="Q1189" i="2"/>
  <c r="R1188" i="2"/>
  <c r="Q1188" i="2"/>
  <c r="R1187" i="2"/>
  <c r="Q1187" i="2"/>
  <c r="R1186" i="2"/>
  <c r="Q1186" i="2"/>
  <c r="R1185" i="2"/>
  <c r="Q1185" i="2"/>
  <c r="R1184" i="2"/>
  <c r="Q1184" i="2"/>
  <c r="R1183" i="2"/>
  <c r="Q1183" i="2"/>
  <c r="R1182" i="2"/>
  <c r="Q1182" i="2"/>
  <c r="R1181" i="2"/>
  <c r="Q1181" i="2"/>
  <c r="R1180" i="2"/>
  <c r="Q1180" i="2"/>
  <c r="R1179" i="2"/>
  <c r="Q1179" i="2"/>
  <c r="R1178" i="2"/>
  <c r="Q1178" i="2"/>
  <c r="R1177" i="2"/>
  <c r="Q1177" i="2"/>
  <c r="R1176" i="2"/>
  <c r="Q1176" i="2"/>
  <c r="R1175" i="2"/>
  <c r="Q1175" i="2"/>
  <c r="R1174" i="2"/>
  <c r="Q1174" i="2"/>
  <c r="R1173" i="2"/>
  <c r="Q1173" i="2"/>
  <c r="R1172" i="2"/>
  <c r="Q1172" i="2"/>
  <c r="R1171" i="2"/>
  <c r="Q1171" i="2"/>
  <c r="R1170" i="2"/>
  <c r="Q1170" i="2"/>
  <c r="R1169" i="2"/>
  <c r="Q1169" i="2"/>
  <c r="R1168" i="2"/>
  <c r="Q1168" i="2"/>
  <c r="R1167" i="2"/>
  <c r="Q1167" i="2"/>
  <c r="R1166" i="2"/>
  <c r="Q1166" i="2"/>
  <c r="R1165" i="2"/>
  <c r="Q1165" i="2"/>
  <c r="R1164" i="2"/>
  <c r="Q1164" i="2"/>
  <c r="R1163" i="2"/>
  <c r="Q1163" i="2"/>
  <c r="R1162" i="2"/>
  <c r="Q1162" i="2"/>
  <c r="R1161" i="2"/>
  <c r="Q1161" i="2"/>
  <c r="R1160" i="2"/>
  <c r="Q1160" i="2"/>
  <c r="R1159" i="2"/>
  <c r="Q1159" i="2"/>
  <c r="R1158" i="2"/>
  <c r="Q1158" i="2"/>
  <c r="R1157" i="2"/>
  <c r="Q1157" i="2"/>
  <c r="R1156" i="2"/>
  <c r="Q1156" i="2"/>
  <c r="R1155" i="2"/>
  <c r="Q1155" i="2"/>
  <c r="R1154" i="2"/>
  <c r="Q1154" i="2"/>
  <c r="R1153" i="2"/>
  <c r="Q1153" i="2"/>
  <c r="R1152" i="2"/>
  <c r="Q1152" i="2"/>
  <c r="R1151" i="2"/>
  <c r="Q1151" i="2"/>
  <c r="R1150" i="2"/>
  <c r="Q1150" i="2"/>
  <c r="R1149" i="2"/>
  <c r="Q1149" i="2"/>
  <c r="R1148" i="2"/>
  <c r="Q1148" i="2"/>
  <c r="R1147" i="2"/>
  <c r="Q1147" i="2"/>
  <c r="R1146" i="2"/>
  <c r="Q1146" i="2"/>
  <c r="R1145" i="2"/>
  <c r="Q1145" i="2"/>
  <c r="R1144" i="2"/>
  <c r="Q1144" i="2"/>
  <c r="R1143" i="2"/>
  <c r="Q1143" i="2"/>
  <c r="R1142" i="2"/>
  <c r="Q1142" i="2"/>
  <c r="R1141" i="2"/>
  <c r="Q1141" i="2"/>
  <c r="R1140" i="2"/>
  <c r="Q1140" i="2"/>
  <c r="R1139" i="2"/>
  <c r="Q1139" i="2"/>
  <c r="R1138" i="2"/>
  <c r="Q1138" i="2"/>
  <c r="R1137" i="2"/>
  <c r="Q1137" i="2"/>
  <c r="R1136" i="2"/>
  <c r="Q1136" i="2"/>
  <c r="R1135" i="2"/>
  <c r="Q1135" i="2"/>
  <c r="R1134" i="2"/>
  <c r="Q1134" i="2"/>
  <c r="R1133" i="2"/>
  <c r="Q1133" i="2"/>
  <c r="R1132" i="2"/>
  <c r="Q1132" i="2"/>
  <c r="R1131" i="2"/>
  <c r="Q1131" i="2"/>
  <c r="R1130" i="2"/>
  <c r="Q1130" i="2"/>
  <c r="R1129" i="2"/>
  <c r="Q1129" i="2"/>
  <c r="R1128" i="2"/>
  <c r="Q1128" i="2"/>
  <c r="R1127" i="2"/>
  <c r="Q1127" i="2"/>
  <c r="R1126" i="2"/>
  <c r="Q1126" i="2"/>
  <c r="R1125" i="2"/>
  <c r="Q1125" i="2"/>
  <c r="R1124" i="2"/>
  <c r="Q1124" i="2"/>
  <c r="R1123" i="2"/>
  <c r="Q1123" i="2"/>
  <c r="R1122" i="2"/>
  <c r="Q1122" i="2"/>
  <c r="R1121" i="2"/>
  <c r="Q1121" i="2"/>
  <c r="R1120" i="2"/>
  <c r="Q1120" i="2"/>
  <c r="R1119" i="2"/>
  <c r="Q1119" i="2"/>
  <c r="R1118" i="2"/>
  <c r="Q1118" i="2"/>
  <c r="R1117" i="2"/>
  <c r="Q1117" i="2"/>
  <c r="R1116" i="2"/>
  <c r="Q1116" i="2"/>
  <c r="R1115" i="2"/>
  <c r="Q1115" i="2"/>
  <c r="R1114" i="2"/>
  <c r="Q1114" i="2"/>
  <c r="R1113" i="2"/>
  <c r="Q1113" i="2"/>
  <c r="R1112" i="2"/>
  <c r="Q1112" i="2"/>
  <c r="R1111" i="2"/>
  <c r="Q1111" i="2"/>
  <c r="R1110" i="2"/>
  <c r="Q1110" i="2"/>
  <c r="R1109" i="2"/>
  <c r="Q1109" i="2"/>
  <c r="R1108" i="2"/>
  <c r="Q1108" i="2"/>
  <c r="R1107" i="2"/>
  <c r="Q1107" i="2"/>
  <c r="R1106" i="2"/>
  <c r="Q1106" i="2"/>
  <c r="R1105" i="2"/>
  <c r="Q1105" i="2"/>
  <c r="R1104" i="2"/>
  <c r="Q1104" i="2"/>
  <c r="R1103" i="2"/>
  <c r="Q1103" i="2"/>
  <c r="R1102" i="2"/>
  <c r="Q1102" i="2"/>
  <c r="R1101" i="2"/>
  <c r="Q1101" i="2"/>
  <c r="R1100" i="2"/>
  <c r="Q1100" i="2"/>
  <c r="R1099" i="2"/>
  <c r="Q1099" i="2"/>
  <c r="R1098" i="2"/>
  <c r="Q1098" i="2"/>
  <c r="R1097" i="2"/>
  <c r="Q1097" i="2"/>
  <c r="R1096" i="2"/>
  <c r="Q1096" i="2"/>
  <c r="R1095" i="2"/>
  <c r="Q1095" i="2"/>
  <c r="R1094" i="2"/>
  <c r="Q1094" i="2"/>
  <c r="R1093" i="2"/>
  <c r="Q1093" i="2"/>
  <c r="R1092" i="2"/>
  <c r="Q1092" i="2"/>
  <c r="R1091" i="2"/>
  <c r="Q1091" i="2"/>
  <c r="R1090" i="2"/>
  <c r="Q1090" i="2"/>
  <c r="R1089" i="2"/>
  <c r="Q1089" i="2"/>
  <c r="R1088" i="2"/>
  <c r="Q1088" i="2"/>
  <c r="R1087" i="2"/>
  <c r="Q1087" i="2"/>
  <c r="R1086" i="2"/>
  <c r="Q1086" i="2"/>
  <c r="R1085" i="2"/>
  <c r="Q1085" i="2"/>
  <c r="R1084" i="2"/>
  <c r="Q1084" i="2"/>
  <c r="R1083" i="2"/>
  <c r="Q1083" i="2"/>
  <c r="R1082" i="2"/>
  <c r="Q1082" i="2"/>
  <c r="R1081" i="2"/>
  <c r="Q1081" i="2"/>
  <c r="R1080" i="2"/>
  <c r="Q1080" i="2"/>
  <c r="R1079" i="2"/>
  <c r="Q1079" i="2"/>
  <c r="R1078" i="2"/>
  <c r="Q1078" i="2"/>
  <c r="R1077" i="2"/>
  <c r="Q1077" i="2"/>
  <c r="R1076" i="2"/>
  <c r="Q1076" i="2"/>
  <c r="R1075" i="2"/>
  <c r="Q1075" i="2"/>
  <c r="R1074" i="2"/>
  <c r="Q1074" i="2"/>
  <c r="R1073" i="2"/>
  <c r="Q1073" i="2"/>
  <c r="R1072" i="2"/>
  <c r="Q1072" i="2"/>
  <c r="R1071" i="2"/>
  <c r="Q1071" i="2"/>
  <c r="R1070" i="2"/>
  <c r="Q1070" i="2"/>
  <c r="R1069" i="2"/>
  <c r="Q1069" i="2"/>
  <c r="R1068" i="2"/>
  <c r="Q1068" i="2"/>
  <c r="R1067" i="2"/>
  <c r="Q1067" i="2"/>
  <c r="R1066" i="2"/>
  <c r="Q1066" i="2"/>
  <c r="R1065" i="2"/>
  <c r="Q1065" i="2"/>
  <c r="R1064" i="2"/>
  <c r="Q1064" i="2"/>
  <c r="R1063" i="2"/>
  <c r="Q1063" i="2"/>
  <c r="R1062" i="2"/>
  <c r="Q1062" i="2"/>
  <c r="R1061" i="2"/>
  <c r="Q1061" i="2"/>
  <c r="R1060" i="2"/>
  <c r="Q1060" i="2"/>
  <c r="R1059" i="2"/>
  <c r="Q1059" i="2"/>
  <c r="R1058" i="2"/>
  <c r="Q1058" i="2"/>
  <c r="R1057" i="2"/>
  <c r="Q1057" i="2"/>
  <c r="R1056" i="2"/>
  <c r="Q1056" i="2"/>
  <c r="R1055" i="2"/>
  <c r="Q1055" i="2"/>
  <c r="R1054" i="2"/>
  <c r="Q1054" i="2"/>
  <c r="R1053" i="2"/>
  <c r="Q1053" i="2"/>
  <c r="R1052" i="2"/>
  <c r="Q1052" i="2"/>
  <c r="R1051" i="2"/>
  <c r="Q1051" i="2"/>
  <c r="R1050" i="2"/>
  <c r="Q1050" i="2"/>
  <c r="R1049" i="2"/>
  <c r="Q1049" i="2"/>
  <c r="R1048" i="2"/>
  <c r="Q1048" i="2"/>
  <c r="R1047" i="2"/>
  <c r="Q1047" i="2"/>
  <c r="R1046" i="2"/>
  <c r="Q1046" i="2"/>
  <c r="R1045" i="2"/>
  <c r="Q1045" i="2"/>
  <c r="R1044" i="2"/>
  <c r="Q1044" i="2"/>
  <c r="R1043" i="2"/>
  <c r="Q1043" i="2"/>
  <c r="R1042" i="2"/>
  <c r="Q1042" i="2"/>
  <c r="R1041" i="2"/>
  <c r="Q1041" i="2"/>
  <c r="R1040" i="2"/>
  <c r="Q1040" i="2"/>
  <c r="R1039" i="2"/>
  <c r="Q1039" i="2"/>
  <c r="R1038" i="2"/>
  <c r="Q1038" i="2"/>
  <c r="R1037" i="2"/>
  <c r="Q1037" i="2"/>
  <c r="R1036" i="2"/>
  <c r="Q1036" i="2"/>
  <c r="R1035" i="2"/>
  <c r="Q1035" i="2"/>
  <c r="R1034" i="2"/>
  <c r="Q1034" i="2"/>
  <c r="R1033" i="2"/>
  <c r="Q1033" i="2"/>
  <c r="R1032" i="2"/>
  <c r="Q1032" i="2"/>
  <c r="R1031" i="2"/>
  <c r="Q1031" i="2"/>
  <c r="R1030" i="2"/>
  <c r="Q1030" i="2"/>
  <c r="R1029" i="2"/>
  <c r="Q1029" i="2"/>
  <c r="R1028" i="2"/>
  <c r="Q1028" i="2"/>
  <c r="R1027" i="2"/>
  <c r="Q1027" i="2"/>
  <c r="R1026" i="2"/>
  <c r="Q1026" i="2"/>
  <c r="R1025" i="2"/>
  <c r="Q1025" i="2"/>
  <c r="R1024" i="2"/>
  <c r="Q1024" i="2"/>
  <c r="R1023" i="2"/>
  <c r="Q1023" i="2"/>
  <c r="R1022" i="2"/>
  <c r="Q1022" i="2"/>
  <c r="R1021" i="2"/>
  <c r="Q1021" i="2"/>
  <c r="R1020" i="2"/>
  <c r="Q1020" i="2"/>
  <c r="R1019" i="2"/>
  <c r="Q1019" i="2"/>
  <c r="R1018" i="2"/>
  <c r="Q1018" i="2"/>
  <c r="R1017" i="2"/>
  <c r="Q1017" i="2"/>
  <c r="R1016" i="2"/>
  <c r="Q1016" i="2"/>
  <c r="R1015" i="2"/>
  <c r="Q1015" i="2"/>
  <c r="R1014" i="2"/>
  <c r="Q1014" i="2"/>
  <c r="R1013" i="2"/>
  <c r="Q1013" i="2"/>
  <c r="R1012" i="2"/>
  <c r="Q1012" i="2"/>
  <c r="R1011" i="2"/>
  <c r="Q1011" i="2"/>
  <c r="R1010" i="2"/>
  <c r="Q1010" i="2"/>
  <c r="R1009" i="2"/>
  <c r="Q1009" i="2"/>
  <c r="R1008" i="2"/>
  <c r="Q1008" i="2"/>
  <c r="R1007" i="2"/>
  <c r="Q1007" i="2"/>
  <c r="R1006" i="2"/>
  <c r="Q1006" i="2"/>
  <c r="R1005" i="2"/>
  <c r="Q1005" i="2"/>
  <c r="R1004" i="2"/>
  <c r="Q1004" i="2"/>
  <c r="R1003" i="2"/>
  <c r="Q1003" i="2"/>
  <c r="R1002" i="2"/>
  <c r="Q1002" i="2"/>
  <c r="R1001" i="2"/>
  <c r="Q1001" i="2"/>
  <c r="R1000" i="2"/>
  <c r="Q1000" i="2"/>
  <c r="R999" i="2"/>
  <c r="Q999" i="2"/>
  <c r="R998" i="2"/>
  <c r="Q998" i="2"/>
  <c r="R997" i="2"/>
  <c r="Q997" i="2"/>
  <c r="R996" i="2"/>
  <c r="Q996" i="2"/>
  <c r="R995" i="2"/>
  <c r="Q995" i="2"/>
  <c r="R994" i="2"/>
  <c r="Q994" i="2"/>
  <c r="R993" i="2"/>
  <c r="Q993" i="2"/>
  <c r="R992" i="2"/>
  <c r="Q992" i="2"/>
  <c r="R991" i="2"/>
  <c r="Q991" i="2"/>
  <c r="R990" i="2"/>
  <c r="Q990" i="2"/>
  <c r="R989" i="2"/>
  <c r="Q989" i="2"/>
  <c r="R988" i="2"/>
  <c r="Q988" i="2"/>
  <c r="R987" i="2"/>
  <c r="Q987" i="2"/>
  <c r="R986" i="2"/>
  <c r="Q986" i="2"/>
  <c r="R985" i="2"/>
  <c r="Q985" i="2"/>
  <c r="R984" i="2"/>
  <c r="Q984" i="2"/>
  <c r="R983" i="2"/>
  <c r="Q983" i="2"/>
  <c r="R982" i="2"/>
  <c r="Q982" i="2"/>
  <c r="R981" i="2"/>
  <c r="Q981" i="2"/>
  <c r="R980" i="2"/>
  <c r="Q980" i="2"/>
  <c r="R979" i="2"/>
  <c r="Q979" i="2"/>
  <c r="R978" i="2"/>
  <c r="Q978" i="2"/>
  <c r="R977" i="2"/>
  <c r="Q977" i="2"/>
  <c r="R976" i="2"/>
  <c r="Q976" i="2"/>
  <c r="R975" i="2"/>
  <c r="Q975" i="2"/>
  <c r="R974" i="2"/>
  <c r="Q974" i="2"/>
  <c r="R973" i="2"/>
  <c r="Q973" i="2"/>
  <c r="R972" i="2"/>
  <c r="Q972" i="2"/>
  <c r="R971" i="2"/>
  <c r="Q971" i="2"/>
  <c r="R970" i="2"/>
  <c r="Q970" i="2"/>
  <c r="R969" i="2"/>
  <c r="Q969" i="2"/>
  <c r="R968" i="2"/>
  <c r="Q968" i="2"/>
  <c r="R967" i="2"/>
  <c r="Q967" i="2"/>
  <c r="R966" i="2"/>
  <c r="Q966" i="2"/>
  <c r="R965" i="2"/>
  <c r="Q965" i="2"/>
  <c r="R964" i="2"/>
  <c r="Q964" i="2"/>
  <c r="R963" i="2"/>
  <c r="Q963" i="2"/>
  <c r="R962" i="2"/>
  <c r="Q962" i="2"/>
  <c r="R961" i="2"/>
  <c r="Q961" i="2"/>
  <c r="R960" i="2"/>
  <c r="Q960" i="2"/>
  <c r="R959" i="2"/>
  <c r="Q959" i="2"/>
  <c r="R958" i="2"/>
  <c r="Q958" i="2"/>
  <c r="R957" i="2"/>
  <c r="Q957" i="2"/>
  <c r="R956" i="2"/>
  <c r="Q956" i="2"/>
  <c r="R955" i="2"/>
  <c r="Q955" i="2"/>
  <c r="R954" i="2"/>
  <c r="Q954" i="2"/>
  <c r="R953" i="2"/>
  <c r="Q953" i="2"/>
  <c r="R952" i="2"/>
  <c r="Q952" i="2"/>
  <c r="R951" i="2"/>
  <c r="Q951" i="2"/>
  <c r="R950" i="2"/>
  <c r="Q950" i="2"/>
  <c r="R949" i="2"/>
  <c r="Q949" i="2"/>
  <c r="R948" i="2"/>
  <c r="Q948" i="2"/>
  <c r="R947" i="2"/>
  <c r="Q947" i="2"/>
  <c r="R946" i="2"/>
  <c r="Q946" i="2"/>
  <c r="R945" i="2"/>
  <c r="Q945" i="2"/>
  <c r="R944" i="2"/>
  <c r="Q944" i="2"/>
  <c r="R943" i="2"/>
  <c r="Q943" i="2"/>
  <c r="R942" i="2"/>
  <c r="Q942" i="2"/>
  <c r="R941" i="2"/>
  <c r="Q941" i="2"/>
  <c r="R940" i="2"/>
  <c r="Q940" i="2"/>
  <c r="R939" i="2"/>
  <c r="Q939" i="2"/>
  <c r="R938" i="2"/>
  <c r="Q938" i="2"/>
  <c r="R937" i="2"/>
  <c r="Q937" i="2"/>
  <c r="R936" i="2"/>
  <c r="Q936" i="2"/>
  <c r="R935" i="2"/>
  <c r="Q935" i="2"/>
  <c r="R934" i="2"/>
  <c r="Q934" i="2"/>
  <c r="R933" i="2"/>
  <c r="Q933" i="2"/>
  <c r="R932" i="2"/>
  <c r="Q932" i="2"/>
  <c r="R931" i="2"/>
  <c r="Q931" i="2"/>
  <c r="R930" i="2"/>
  <c r="Q930" i="2"/>
  <c r="R929" i="2"/>
  <c r="Q929" i="2"/>
  <c r="R928" i="2"/>
  <c r="Q928" i="2"/>
  <c r="R927" i="2"/>
  <c r="Q927" i="2"/>
  <c r="R926" i="2"/>
  <c r="Q926" i="2"/>
  <c r="R925" i="2"/>
  <c r="Q925" i="2"/>
  <c r="R924" i="2"/>
  <c r="Q924" i="2"/>
  <c r="R923" i="2"/>
  <c r="Q923" i="2"/>
  <c r="R922" i="2"/>
  <c r="Q922" i="2"/>
  <c r="R921" i="2"/>
  <c r="Q921" i="2"/>
  <c r="R920" i="2"/>
  <c r="Q920" i="2"/>
  <c r="R919" i="2"/>
  <c r="Q919" i="2"/>
  <c r="R918" i="2"/>
  <c r="Q918" i="2"/>
  <c r="R917" i="2"/>
  <c r="Q917" i="2"/>
  <c r="R916" i="2"/>
  <c r="Q916" i="2"/>
  <c r="R915" i="2"/>
  <c r="Q915" i="2"/>
  <c r="R914" i="2"/>
  <c r="Q914" i="2"/>
  <c r="R913" i="2"/>
  <c r="Q913" i="2"/>
  <c r="R912" i="2"/>
  <c r="Q912" i="2"/>
  <c r="R911" i="2"/>
  <c r="Q911" i="2"/>
  <c r="R910" i="2"/>
  <c r="Q910" i="2"/>
  <c r="R909" i="2"/>
  <c r="Q909" i="2"/>
  <c r="R908" i="2"/>
  <c r="Q908" i="2"/>
  <c r="R907" i="2"/>
  <c r="Q907" i="2"/>
  <c r="R906" i="2"/>
  <c r="Q906" i="2"/>
  <c r="R905" i="2"/>
  <c r="Q905" i="2"/>
  <c r="R904" i="2"/>
  <c r="Q904" i="2"/>
  <c r="R903" i="2"/>
  <c r="Q903" i="2"/>
  <c r="R902" i="2"/>
  <c r="Q902" i="2"/>
  <c r="R901" i="2"/>
  <c r="Q901" i="2"/>
  <c r="R900" i="2"/>
  <c r="Q900" i="2"/>
  <c r="R899" i="2"/>
  <c r="Q899" i="2"/>
  <c r="R898" i="2"/>
  <c r="Q898" i="2"/>
  <c r="R897" i="2"/>
  <c r="Q897" i="2"/>
  <c r="R896" i="2"/>
  <c r="Q896" i="2"/>
  <c r="R895" i="2"/>
  <c r="Q895" i="2"/>
  <c r="R894" i="2"/>
  <c r="Q894" i="2"/>
  <c r="R893" i="2"/>
  <c r="Q893" i="2"/>
  <c r="R892" i="2"/>
  <c r="Q892" i="2"/>
  <c r="R891" i="2"/>
  <c r="Q891" i="2"/>
  <c r="R890" i="2"/>
  <c r="Q890" i="2"/>
  <c r="R889" i="2"/>
  <c r="Q889" i="2"/>
  <c r="R888" i="2"/>
  <c r="Q888" i="2"/>
  <c r="R887" i="2"/>
  <c r="Q887" i="2"/>
  <c r="R886" i="2"/>
  <c r="Q886" i="2"/>
  <c r="R885" i="2"/>
  <c r="Q885" i="2"/>
  <c r="R884" i="2"/>
  <c r="Q884" i="2"/>
  <c r="R883" i="2"/>
  <c r="Q883" i="2"/>
  <c r="R882" i="2"/>
  <c r="Q882" i="2"/>
  <c r="R881" i="2"/>
  <c r="Q881" i="2"/>
  <c r="R880" i="2"/>
  <c r="Q880" i="2"/>
  <c r="R879" i="2"/>
  <c r="Q879" i="2"/>
  <c r="R878" i="2"/>
  <c r="Q878" i="2"/>
  <c r="R877" i="2"/>
  <c r="Q877" i="2"/>
  <c r="R876" i="2"/>
  <c r="Q876" i="2"/>
  <c r="R875" i="2"/>
  <c r="Q875" i="2"/>
  <c r="R874" i="2"/>
  <c r="Q874" i="2"/>
  <c r="R873" i="2"/>
  <c r="Q873" i="2"/>
  <c r="R872" i="2"/>
  <c r="Q872" i="2"/>
  <c r="R871" i="2"/>
  <c r="Q871" i="2"/>
  <c r="R870" i="2"/>
  <c r="Q870" i="2"/>
  <c r="R869" i="2"/>
  <c r="Q869" i="2"/>
  <c r="R868" i="2"/>
  <c r="Q868" i="2"/>
  <c r="R867" i="2"/>
  <c r="Q867" i="2"/>
  <c r="R866" i="2"/>
  <c r="Q866" i="2"/>
  <c r="R865" i="2"/>
  <c r="Q865" i="2"/>
  <c r="R864" i="2"/>
  <c r="Q864" i="2"/>
  <c r="R863" i="2"/>
  <c r="Q863" i="2"/>
  <c r="R862" i="2"/>
  <c r="Q862" i="2"/>
  <c r="R861" i="2"/>
  <c r="Q861" i="2"/>
  <c r="R860" i="2"/>
  <c r="Q860" i="2"/>
  <c r="R859" i="2"/>
  <c r="Q859" i="2"/>
  <c r="R858" i="2"/>
  <c r="Q858" i="2"/>
  <c r="R857" i="2"/>
  <c r="Q857" i="2"/>
  <c r="R856" i="2"/>
  <c r="Q856" i="2"/>
  <c r="R855" i="2"/>
  <c r="Q855" i="2"/>
  <c r="R854" i="2"/>
  <c r="Q854" i="2"/>
  <c r="R853" i="2"/>
  <c r="Q853" i="2"/>
  <c r="R852" i="2"/>
  <c r="Q852" i="2"/>
  <c r="R851" i="2"/>
  <c r="Q851" i="2"/>
  <c r="R850" i="2"/>
  <c r="Q850" i="2"/>
  <c r="R849" i="2"/>
  <c r="Q849" i="2"/>
  <c r="R848" i="2"/>
  <c r="Q848" i="2"/>
  <c r="R847" i="2"/>
  <c r="Q847" i="2"/>
  <c r="R846" i="2"/>
  <c r="Q846" i="2"/>
  <c r="R845" i="2"/>
  <c r="Q845" i="2"/>
  <c r="R844" i="2"/>
  <c r="Q844" i="2"/>
  <c r="R843" i="2"/>
  <c r="Q843" i="2"/>
  <c r="R842" i="2"/>
  <c r="Q842" i="2"/>
  <c r="R841" i="2"/>
  <c r="Q841" i="2"/>
  <c r="R840" i="2"/>
  <c r="Q840" i="2"/>
  <c r="R839" i="2"/>
  <c r="Q839" i="2"/>
  <c r="R838" i="2"/>
  <c r="Q838" i="2"/>
  <c r="R837" i="2"/>
  <c r="Q837" i="2"/>
  <c r="R836" i="2"/>
  <c r="Q836" i="2"/>
  <c r="R835" i="2"/>
  <c r="Q835" i="2"/>
  <c r="R834" i="2"/>
  <c r="Q834" i="2"/>
  <c r="R833" i="2"/>
  <c r="Q833" i="2"/>
  <c r="R832" i="2"/>
  <c r="Q832" i="2"/>
  <c r="R831" i="2"/>
  <c r="Q831" i="2"/>
  <c r="R830" i="2"/>
  <c r="Q830" i="2"/>
  <c r="R829" i="2"/>
  <c r="Q829" i="2"/>
  <c r="R828" i="2"/>
  <c r="Q828" i="2"/>
  <c r="R827" i="2"/>
  <c r="Q827" i="2"/>
  <c r="R826" i="2"/>
  <c r="Q826" i="2"/>
  <c r="R825" i="2"/>
  <c r="Q825" i="2"/>
  <c r="R824" i="2"/>
  <c r="Q824" i="2"/>
  <c r="R823" i="2"/>
  <c r="Q823" i="2"/>
  <c r="R822" i="2"/>
  <c r="Q822" i="2"/>
  <c r="R821" i="2"/>
  <c r="Q821" i="2"/>
  <c r="R820" i="2"/>
  <c r="Q820" i="2"/>
  <c r="R819" i="2"/>
  <c r="Q819" i="2"/>
  <c r="R818" i="2"/>
  <c r="Q818" i="2"/>
  <c r="R817" i="2"/>
  <c r="Q817" i="2"/>
  <c r="R816" i="2"/>
  <c r="Q816" i="2"/>
  <c r="R815" i="2"/>
  <c r="Q815" i="2"/>
  <c r="R814" i="2"/>
  <c r="Q814" i="2"/>
  <c r="R813" i="2"/>
  <c r="Q813" i="2"/>
  <c r="R812" i="2"/>
  <c r="Q812" i="2"/>
  <c r="R811" i="2"/>
  <c r="Q811" i="2"/>
  <c r="R810" i="2"/>
  <c r="Q810" i="2"/>
  <c r="R809" i="2"/>
  <c r="Q809" i="2"/>
  <c r="R808" i="2"/>
  <c r="Q808" i="2"/>
  <c r="R807" i="2"/>
  <c r="Q807" i="2"/>
  <c r="R806" i="2"/>
  <c r="Q806" i="2"/>
  <c r="R805" i="2"/>
  <c r="Q805" i="2"/>
  <c r="R804" i="2"/>
  <c r="Q804" i="2"/>
  <c r="R803" i="2"/>
  <c r="Q803" i="2"/>
  <c r="R802" i="2"/>
  <c r="Q802" i="2"/>
  <c r="R801" i="2"/>
  <c r="Q801" i="2"/>
  <c r="R800" i="2"/>
  <c r="Q800" i="2"/>
  <c r="R799" i="2"/>
  <c r="Q799" i="2"/>
  <c r="R798" i="2"/>
  <c r="Q798" i="2"/>
  <c r="R797" i="2"/>
  <c r="Q797" i="2"/>
  <c r="R796" i="2"/>
  <c r="Q796" i="2"/>
  <c r="R795" i="2"/>
  <c r="Q795" i="2"/>
  <c r="R794" i="2"/>
  <c r="Q794" i="2"/>
  <c r="R793" i="2"/>
  <c r="Q793" i="2"/>
  <c r="R792" i="2"/>
  <c r="Q792" i="2"/>
  <c r="R791" i="2"/>
  <c r="Q791" i="2"/>
  <c r="R790" i="2"/>
  <c r="Q790" i="2"/>
  <c r="R789" i="2"/>
  <c r="Q789" i="2"/>
  <c r="R788" i="2"/>
  <c r="Q788" i="2"/>
  <c r="R787" i="2"/>
  <c r="Q787" i="2"/>
  <c r="R786" i="2"/>
  <c r="Q786" i="2"/>
  <c r="R785" i="2"/>
  <c r="Q785" i="2"/>
  <c r="R784" i="2"/>
  <c r="Q784" i="2"/>
  <c r="R783" i="2"/>
  <c r="Q783" i="2"/>
  <c r="R782" i="2"/>
  <c r="Q782" i="2"/>
  <c r="R781" i="2"/>
  <c r="Q781" i="2"/>
  <c r="R780" i="2"/>
  <c r="Q780" i="2"/>
  <c r="R779" i="2"/>
  <c r="Q779" i="2"/>
  <c r="R778" i="2"/>
  <c r="Q778" i="2"/>
  <c r="R777" i="2"/>
  <c r="Q777" i="2"/>
  <c r="R776" i="2"/>
  <c r="Q776" i="2"/>
  <c r="R775" i="2"/>
  <c r="Q775" i="2"/>
  <c r="R774" i="2"/>
  <c r="Q774" i="2"/>
  <c r="R773" i="2"/>
  <c r="Q773" i="2"/>
  <c r="R772" i="2"/>
  <c r="Q772" i="2"/>
  <c r="R771" i="2"/>
  <c r="Q771" i="2"/>
  <c r="R770" i="2"/>
  <c r="Q770" i="2"/>
  <c r="R769" i="2"/>
  <c r="Q769" i="2"/>
  <c r="R768" i="2"/>
  <c r="Q768" i="2"/>
  <c r="R767" i="2"/>
  <c r="Q767" i="2"/>
  <c r="R766" i="2"/>
  <c r="Q766" i="2"/>
  <c r="R765" i="2"/>
  <c r="Q765" i="2"/>
  <c r="R764" i="2"/>
  <c r="Q764" i="2"/>
  <c r="R763" i="2"/>
  <c r="Q763" i="2"/>
  <c r="R762" i="2"/>
  <c r="Q762" i="2"/>
  <c r="R761" i="2"/>
  <c r="Q761" i="2"/>
  <c r="R760" i="2"/>
  <c r="Q760" i="2"/>
  <c r="R759" i="2"/>
  <c r="Q759" i="2"/>
  <c r="R758" i="2"/>
  <c r="Q758" i="2"/>
  <c r="R757" i="2"/>
  <c r="Q757" i="2"/>
  <c r="R756" i="2"/>
  <c r="Q756" i="2"/>
  <c r="R755" i="2"/>
  <c r="Q755" i="2"/>
  <c r="R754" i="2"/>
  <c r="Q754" i="2"/>
  <c r="R753" i="2"/>
  <c r="Q753" i="2"/>
  <c r="R752" i="2"/>
  <c r="Q752" i="2"/>
  <c r="R751" i="2"/>
  <c r="Q751" i="2"/>
  <c r="R750" i="2"/>
  <c r="Q750" i="2"/>
  <c r="R749" i="2"/>
  <c r="Q749" i="2"/>
  <c r="R748" i="2"/>
  <c r="Q748" i="2"/>
  <c r="R747" i="2"/>
  <c r="Q747" i="2"/>
  <c r="R746" i="2"/>
  <c r="Q746" i="2"/>
  <c r="R745" i="2"/>
  <c r="Q745" i="2"/>
  <c r="R744" i="2"/>
  <c r="Q744" i="2"/>
  <c r="R743" i="2"/>
  <c r="Q743" i="2"/>
  <c r="R742" i="2"/>
  <c r="Q742" i="2"/>
  <c r="R741" i="2"/>
  <c r="Q741" i="2"/>
  <c r="R740" i="2"/>
  <c r="Q740" i="2"/>
  <c r="R739" i="2"/>
  <c r="Q739" i="2"/>
  <c r="R738" i="2"/>
  <c r="Q738" i="2"/>
  <c r="R737" i="2"/>
  <c r="Q737" i="2"/>
  <c r="R736" i="2"/>
  <c r="Q736" i="2"/>
  <c r="R735" i="2"/>
  <c r="Q735" i="2"/>
  <c r="R734" i="2"/>
  <c r="Q734" i="2"/>
  <c r="R733" i="2"/>
  <c r="Q733" i="2"/>
  <c r="R732" i="2"/>
  <c r="Q732" i="2"/>
  <c r="R731" i="2"/>
  <c r="Q731" i="2"/>
  <c r="R730" i="2"/>
  <c r="Q730" i="2"/>
  <c r="R729" i="2"/>
  <c r="Q729" i="2"/>
  <c r="R728" i="2"/>
  <c r="Q728" i="2"/>
  <c r="R727" i="2"/>
  <c r="Q727" i="2"/>
  <c r="R726" i="2"/>
  <c r="Q726" i="2"/>
  <c r="R725" i="2"/>
  <c r="Q725" i="2"/>
  <c r="R724" i="2"/>
  <c r="Q724" i="2"/>
  <c r="R723" i="2"/>
  <c r="Q723" i="2"/>
  <c r="R722" i="2"/>
  <c r="Q722" i="2"/>
  <c r="R721" i="2"/>
  <c r="Q721" i="2"/>
  <c r="R720" i="2"/>
  <c r="Q720" i="2"/>
  <c r="R719" i="2"/>
  <c r="Q719" i="2"/>
  <c r="R718" i="2"/>
  <c r="Q718" i="2"/>
  <c r="R717" i="2"/>
  <c r="Q717" i="2"/>
  <c r="R716" i="2"/>
  <c r="Q716" i="2"/>
  <c r="R715" i="2"/>
  <c r="Q715" i="2"/>
  <c r="R714" i="2"/>
  <c r="Q714" i="2"/>
  <c r="R713" i="2"/>
  <c r="Q713" i="2"/>
  <c r="R712" i="2"/>
  <c r="Q712" i="2"/>
  <c r="R711" i="2"/>
  <c r="Q711" i="2"/>
  <c r="R710" i="2"/>
  <c r="Q710" i="2"/>
  <c r="R709" i="2"/>
  <c r="Q709" i="2"/>
  <c r="R708" i="2"/>
  <c r="Q708" i="2"/>
  <c r="R707" i="2"/>
  <c r="Q707" i="2"/>
  <c r="R706" i="2"/>
  <c r="Q706" i="2"/>
  <c r="R705" i="2"/>
  <c r="Q705" i="2"/>
  <c r="R704" i="2"/>
  <c r="Q704" i="2"/>
  <c r="R703" i="2"/>
  <c r="Q703" i="2"/>
  <c r="R702" i="2"/>
  <c r="Q702" i="2"/>
  <c r="R701" i="2"/>
  <c r="Q701" i="2"/>
  <c r="R700" i="2"/>
  <c r="Q700" i="2"/>
  <c r="R699" i="2"/>
  <c r="Q699" i="2"/>
  <c r="R698" i="2"/>
  <c r="Q698" i="2"/>
  <c r="R697" i="2"/>
  <c r="Q697" i="2"/>
  <c r="R696" i="2"/>
  <c r="Q696" i="2"/>
  <c r="R695" i="2"/>
  <c r="Q695" i="2"/>
  <c r="R694" i="2"/>
  <c r="Q694" i="2"/>
  <c r="R693" i="2"/>
  <c r="Q693" i="2"/>
  <c r="R692" i="2"/>
  <c r="Q692" i="2"/>
  <c r="R691" i="2"/>
  <c r="Q691" i="2"/>
  <c r="R690" i="2"/>
  <c r="Q690" i="2"/>
  <c r="R689" i="2"/>
  <c r="Q689" i="2"/>
  <c r="R688" i="2"/>
  <c r="Q688" i="2"/>
  <c r="R687" i="2"/>
  <c r="Q687" i="2"/>
  <c r="R686" i="2"/>
  <c r="Q686" i="2"/>
  <c r="R685" i="2"/>
  <c r="Q685" i="2"/>
  <c r="R684" i="2"/>
  <c r="Q684" i="2"/>
  <c r="R683" i="2"/>
  <c r="Q683" i="2"/>
  <c r="R682" i="2"/>
  <c r="Q682" i="2"/>
  <c r="R681" i="2"/>
  <c r="Q681" i="2"/>
  <c r="R680" i="2"/>
  <c r="Q680" i="2"/>
  <c r="R679" i="2"/>
  <c r="Q679" i="2"/>
  <c r="R678" i="2"/>
  <c r="Q678" i="2"/>
  <c r="R677" i="2"/>
  <c r="Q677" i="2"/>
  <c r="R676" i="2"/>
  <c r="Q676" i="2"/>
  <c r="R675" i="2"/>
  <c r="Q675" i="2"/>
  <c r="R674" i="2"/>
  <c r="Q674" i="2"/>
  <c r="R673" i="2"/>
  <c r="Q673" i="2"/>
  <c r="R672" i="2"/>
  <c r="Q672" i="2"/>
  <c r="R671" i="2"/>
  <c r="Q671" i="2"/>
  <c r="R670" i="2"/>
  <c r="Q670" i="2"/>
  <c r="R669" i="2"/>
  <c r="Q669" i="2"/>
  <c r="R668" i="2"/>
  <c r="Q668" i="2"/>
  <c r="R667" i="2"/>
  <c r="Q667" i="2"/>
  <c r="R666" i="2"/>
  <c r="Q666" i="2"/>
  <c r="R665" i="2"/>
  <c r="Q665" i="2"/>
  <c r="R664" i="2"/>
  <c r="Q664" i="2"/>
  <c r="R663" i="2"/>
  <c r="Q663" i="2"/>
  <c r="R662" i="2"/>
  <c r="Q662" i="2"/>
  <c r="R661" i="2"/>
  <c r="Q661" i="2"/>
  <c r="R660" i="2"/>
  <c r="Q660" i="2"/>
  <c r="R659" i="2"/>
  <c r="Q659" i="2"/>
  <c r="R658" i="2"/>
  <c r="Q658" i="2"/>
  <c r="R657" i="2"/>
  <c r="Q657" i="2"/>
  <c r="R656" i="2"/>
  <c r="Q656" i="2"/>
  <c r="R655" i="2"/>
  <c r="Q655" i="2"/>
  <c r="R654" i="2"/>
  <c r="Q654" i="2"/>
  <c r="R653" i="2"/>
  <c r="Q653" i="2"/>
  <c r="R652" i="2"/>
  <c r="Q652" i="2"/>
  <c r="R651" i="2"/>
  <c r="Q651" i="2"/>
  <c r="R650" i="2"/>
  <c r="Q650" i="2"/>
  <c r="R649" i="2"/>
  <c r="Q649" i="2"/>
  <c r="R648" i="2"/>
  <c r="Q648" i="2"/>
  <c r="R647" i="2"/>
  <c r="Q647" i="2"/>
  <c r="R646" i="2"/>
  <c r="Q646" i="2"/>
  <c r="R645" i="2"/>
  <c r="Q645" i="2"/>
  <c r="R644" i="2"/>
  <c r="Q644" i="2"/>
  <c r="R643" i="2"/>
  <c r="Q643" i="2"/>
  <c r="R642" i="2"/>
  <c r="Q642" i="2"/>
  <c r="R641" i="2"/>
  <c r="Q641" i="2"/>
  <c r="R640" i="2"/>
  <c r="Q640" i="2"/>
  <c r="R639" i="2"/>
  <c r="Q639" i="2"/>
  <c r="R638" i="2"/>
  <c r="Q638" i="2"/>
  <c r="R637" i="2"/>
  <c r="Q637" i="2"/>
  <c r="R636" i="2"/>
  <c r="Q636" i="2"/>
  <c r="R635" i="2"/>
  <c r="Q635" i="2"/>
  <c r="R634" i="2"/>
  <c r="Q634" i="2"/>
  <c r="R633" i="2"/>
  <c r="Q633" i="2"/>
  <c r="R632" i="2"/>
  <c r="Q632" i="2"/>
  <c r="R631" i="2"/>
  <c r="Q631" i="2"/>
  <c r="R630" i="2"/>
  <c r="Q630" i="2"/>
  <c r="R629" i="2"/>
  <c r="Q629" i="2"/>
  <c r="R628" i="2"/>
  <c r="Q628" i="2"/>
  <c r="R627" i="2"/>
  <c r="Q627" i="2"/>
  <c r="R626" i="2"/>
  <c r="Q626" i="2"/>
  <c r="R625" i="2"/>
  <c r="Q625" i="2"/>
  <c r="R624" i="2"/>
  <c r="Q624" i="2"/>
  <c r="R623" i="2"/>
  <c r="Q623" i="2"/>
  <c r="R622" i="2"/>
  <c r="Q622" i="2"/>
  <c r="R621" i="2"/>
  <c r="Q621" i="2"/>
  <c r="R620" i="2"/>
  <c r="Q620" i="2"/>
  <c r="R619" i="2"/>
  <c r="Q619" i="2"/>
  <c r="R618" i="2"/>
  <c r="Q618" i="2"/>
  <c r="R617" i="2"/>
  <c r="Q617" i="2"/>
  <c r="R616" i="2"/>
  <c r="Q616" i="2"/>
  <c r="R615" i="2"/>
  <c r="Q615" i="2"/>
  <c r="R614" i="2"/>
  <c r="Q614" i="2"/>
  <c r="R613" i="2"/>
  <c r="Q613" i="2"/>
  <c r="R612" i="2"/>
  <c r="Q612" i="2"/>
  <c r="R611" i="2"/>
  <c r="Q611" i="2"/>
  <c r="R610" i="2"/>
  <c r="Q610" i="2"/>
  <c r="R609" i="2"/>
  <c r="Q609" i="2"/>
  <c r="R608" i="2"/>
  <c r="Q608" i="2"/>
  <c r="R607" i="2"/>
  <c r="Q607" i="2"/>
  <c r="R606" i="2"/>
  <c r="Q606" i="2"/>
  <c r="R605" i="2"/>
  <c r="Q605" i="2"/>
  <c r="R604" i="2"/>
  <c r="Q604" i="2"/>
  <c r="R603" i="2"/>
  <c r="Q603" i="2"/>
  <c r="R602" i="2"/>
  <c r="Q602" i="2"/>
  <c r="R601" i="2"/>
  <c r="Q601" i="2"/>
  <c r="R600" i="2"/>
  <c r="Q600" i="2"/>
  <c r="R599" i="2"/>
  <c r="Q599" i="2"/>
  <c r="R598" i="2"/>
  <c r="Q598" i="2"/>
  <c r="R597" i="2"/>
  <c r="Q597" i="2"/>
  <c r="R596" i="2"/>
  <c r="Q596" i="2"/>
  <c r="R595" i="2"/>
  <c r="Q595" i="2"/>
  <c r="R594" i="2"/>
  <c r="Q594" i="2"/>
  <c r="R593" i="2"/>
  <c r="Q593" i="2"/>
  <c r="R592" i="2"/>
  <c r="Q592" i="2"/>
  <c r="R591" i="2"/>
  <c r="Q591" i="2"/>
  <c r="R590" i="2"/>
  <c r="Q590" i="2"/>
  <c r="R589" i="2"/>
  <c r="Q589" i="2"/>
  <c r="R588" i="2"/>
  <c r="Q588" i="2"/>
  <c r="R587" i="2"/>
  <c r="Q587" i="2"/>
  <c r="R586" i="2"/>
  <c r="Q586" i="2"/>
  <c r="R585" i="2"/>
  <c r="Q585" i="2"/>
  <c r="R584" i="2"/>
  <c r="Q584" i="2"/>
  <c r="R583" i="2"/>
  <c r="Q583" i="2"/>
  <c r="R582" i="2"/>
  <c r="Q582" i="2"/>
  <c r="R581" i="2"/>
  <c r="Q581" i="2"/>
  <c r="R580" i="2"/>
  <c r="Q580" i="2"/>
  <c r="R579" i="2"/>
  <c r="Q579" i="2"/>
  <c r="R578" i="2"/>
  <c r="Q578" i="2"/>
  <c r="R577" i="2"/>
  <c r="Q577" i="2"/>
  <c r="R576" i="2"/>
  <c r="Q576" i="2"/>
  <c r="R575" i="2"/>
  <c r="Q575" i="2"/>
  <c r="R574" i="2"/>
  <c r="Q574" i="2"/>
  <c r="R573" i="2"/>
  <c r="Q573" i="2"/>
  <c r="R572" i="2"/>
  <c r="Q572" i="2"/>
  <c r="R571" i="2"/>
  <c r="Q571" i="2"/>
  <c r="R570" i="2"/>
  <c r="Q570" i="2"/>
  <c r="R569" i="2"/>
  <c r="Q569" i="2"/>
  <c r="R568" i="2"/>
  <c r="Q568" i="2"/>
  <c r="R567" i="2"/>
  <c r="Q567" i="2"/>
  <c r="R566" i="2"/>
  <c r="Q566" i="2"/>
  <c r="R565" i="2"/>
  <c r="Q565" i="2"/>
  <c r="R564" i="2"/>
  <c r="Q564" i="2"/>
  <c r="R563" i="2"/>
  <c r="Q563" i="2"/>
  <c r="R562" i="2"/>
  <c r="Q562" i="2"/>
  <c r="R561" i="2"/>
  <c r="Q561" i="2"/>
  <c r="R560" i="2"/>
  <c r="Q560" i="2"/>
  <c r="R559" i="2"/>
  <c r="Q559" i="2"/>
  <c r="R558" i="2"/>
  <c r="Q558" i="2"/>
  <c r="R557" i="2"/>
  <c r="Q557" i="2"/>
  <c r="R556" i="2"/>
  <c r="Q556" i="2"/>
  <c r="R555" i="2"/>
  <c r="Q555" i="2"/>
  <c r="R554" i="2"/>
  <c r="Q554" i="2"/>
  <c r="R553" i="2"/>
  <c r="Q553" i="2"/>
  <c r="R552" i="2"/>
  <c r="Q552" i="2"/>
  <c r="R551" i="2"/>
  <c r="Q551" i="2"/>
  <c r="R550" i="2"/>
  <c r="Q550" i="2"/>
  <c r="R549" i="2"/>
  <c r="Q549" i="2"/>
  <c r="R548" i="2"/>
  <c r="Q548" i="2"/>
  <c r="R547" i="2"/>
  <c r="Q547" i="2"/>
  <c r="R546" i="2"/>
  <c r="Q546" i="2"/>
  <c r="R545" i="2"/>
  <c r="Q545" i="2"/>
  <c r="R544" i="2"/>
  <c r="Q544" i="2"/>
  <c r="R543" i="2"/>
  <c r="Q543" i="2"/>
  <c r="R542" i="2"/>
  <c r="Q542" i="2"/>
  <c r="R541" i="2"/>
  <c r="Q541" i="2"/>
  <c r="R540" i="2"/>
  <c r="Q540" i="2"/>
  <c r="R539" i="2"/>
  <c r="Q539" i="2"/>
  <c r="R538" i="2"/>
  <c r="Q538" i="2"/>
  <c r="R537" i="2"/>
  <c r="Q537" i="2"/>
  <c r="R536" i="2"/>
  <c r="Q536" i="2"/>
  <c r="R535" i="2"/>
  <c r="Q535" i="2"/>
  <c r="R534" i="2"/>
  <c r="Q534" i="2"/>
  <c r="R533" i="2"/>
  <c r="Q533" i="2"/>
  <c r="R532" i="2"/>
  <c r="Q532" i="2"/>
  <c r="R531" i="2"/>
  <c r="Q531" i="2"/>
  <c r="R530" i="2"/>
  <c r="Q530" i="2"/>
  <c r="R529" i="2"/>
  <c r="Q529" i="2"/>
  <c r="R528" i="2"/>
  <c r="Q528" i="2"/>
  <c r="R527" i="2"/>
  <c r="Q527" i="2"/>
  <c r="R526" i="2"/>
  <c r="Q526" i="2"/>
  <c r="R525" i="2"/>
  <c r="Q525" i="2"/>
  <c r="R524" i="2"/>
  <c r="Q524" i="2"/>
  <c r="R523" i="2"/>
  <c r="Q523" i="2"/>
  <c r="R522" i="2"/>
  <c r="Q522" i="2"/>
  <c r="R521" i="2"/>
  <c r="Q521" i="2"/>
  <c r="R520" i="2"/>
  <c r="Q520" i="2"/>
  <c r="R519" i="2"/>
  <c r="Q519" i="2"/>
  <c r="R518" i="2"/>
  <c r="Q518" i="2"/>
  <c r="R517" i="2"/>
  <c r="Q517" i="2"/>
  <c r="R516" i="2"/>
  <c r="Q516" i="2"/>
  <c r="R515" i="2"/>
  <c r="Q515" i="2"/>
  <c r="R514" i="2"/>
  <c r="Q514" i="2"/>
  <c r="R513" i="2"/>
  <c r="Q513" i="2"/>
  <c r="R512" i="2"/>
  <c r="Q512" i="2"/>
  <c r="R511" i="2"/>
  <c r="Q511" i="2"/>
  <c r="R510" i="2"/>
  <c r="Q510" i="2"/>
  <c r="R509" i="2"/>
  <c r="Q509" i="2"/>
  <c r="R508" i="2"/>
  <c r="Q508" i="2"/>
  <c r="R507" i="2"/>
  <c r="Q507" i="2"/>
  <c r="R506" i="2"/>
  <c r="Q506" i="2"/>
  <c r="R505" i="2"/>
  <c r="Q505" i="2"/>
  <c r="R504" i="2"/>
  <c r="Q504" i="2"/>
  <c r="R503" i="2"/>
  <c r="Q503" i="2"/>
  <c r="R502" i="2"/>
  <c r="Q502" i="2"/>
  <c r="R501" i="2"/>
  <c r="Q501" i="2"/>
  <c r="R500" i="2"/>
  <c r="Q500" i="2"/>
  <c r="R499" i="2"/>
  <c r="Q499" i="2"/>
  <c r="R498" i="2"/>
  <c r="Q498" i="2"/>
  <c r="R497" i="2"/>
  <c r="Q497" i="2"/>
  <c r="R496" i="2"/>
  <c r="Q496" i="2"/>
  <c r="R495" i="2"/>
  <c r="Q495" i="2"/>
  <c r="R494" i="2"/>
  <c r="Q494" i="2"/>
  <c r="R493" i="2"/>
  <c r="Q493" i="2"/>
  <c r="R492" i="2"/>
  <c r="Q492" i="2"/>
  <c r="R491" i="2"/>
  <c r="Q491" i="2"/>
  <c r="R490" i="2"/>
  <c r="Q490" i="2"/>
  <c r="R489" i="2"/>
  <c r="Q489" i="2"/>
  <c r="R488" i="2"/>
  <c r="Q488" i="2"/>
  <c r="R487" i="2"/>
  <c r="Q487" i="2"/>
  <c r="R486" i="2"/>
  <c r="Q486" i="2"/>
  <c r="R485" i="2"/>
  <c r="Q485" i="2"/>
  <c r="R484" i="2"/>
  <c r="Q484" i="2"/>
  <c r="R483" i="2"/>
  <c r="Q483" i="2"/>
  <c r="R482" i="2"/>
  <c r="Q482" i="2"/>
  <c r="R481" i="2"/>
  <c r="Q481" i="2"/>
  <c r="R480" i="2"/>
  <c r="Q480" i="2"/>
  <c r="R479" i="2"/>
  <c r="Q479" i="2"/>
  <c r="R478" i="2"/>
  <c r="Q478" i="2"/>
  <c r="R477" i="2"/>
  <c r="Q477" i="2"/>
  <c r="R476" i="2"/>
  <c r="Q476" i="2"/>
  <c r="R475" i="2"/>
  <c r="Q475" i="2"/>
  <c r="R474" i="2"/>
  <c r="Q474" i="2"/>
  <c r="R473" i="2"/>
  <c r="Q473" i="2"/>
  <c r="R472" i="2"/>
  <c r="Q472" i="2"/>
  <c r="R471" i="2"/>
  <c r="Q471" i="2"/>
  <c r="R470" i="2"/>
  <c r="Q470" i="2"/>
  <c r="R469" i="2"/>
  <c r="Q469" i="2"/>
  <c r="R468" i="2"/>
  <c r="Q468" i="2"/>
  <c r="R467" i="2"/>
  <c r="Q467" i="2"/>
  <c r="R466" i="2"/>
  <c r="Q466" i="2"/>
  <c r="R465" i="2"/>
  <c r="Q465" i="2"/>
  <c r="R464" i="2"/>
  <c r="Q464" i="2"/>
  <c r="R463" i="2"/>
  <c r="Q463" i="2"/>
  <c r="R462" i="2"/>
  <c r="Q462" i="2"/>
  <c r="R461" i="2"/>
  <c r="Q461" i="2"/>
  <c r="R460" i="2"/>
  <c r="Q460" i="2"/>
  <c r="R459" i="2"/>
  <c r="Q459" i="2"/>
  <c r="R458" i="2"/>
  <c r="Q458" i="2"/>
  <c r="R457" i="2"/>
  <c r="Q457" i="2"/>
  <c r="R456" i="2"/>
  <c r="Q456" i="2"/>
  <c r="R455" i="2"/>
  <c r="Q455" i="2"/>
  <c r="R454" i="2"/>
  <c r="Q454" i="2"/>
  <c r="R453" i="2"/>
  <c r="Q453" i="2"/>
  <c r="R452" i="2"/>
  <c r="Q452" i="2"/>
  <c r="R451" i="2"/>
  <c r="Q451" i="2"/>
  <c r="R450" i="2"/>
  <c r="Q450" i="2"/>
  <c r="R449" i="2"/>
  <c r="Q449" i="2"/>
  <c r="R448" i="2"/>
  <c r="Q448" i="2"/>
  <c r="R447" i="2"/>
  <c r="Q447" i="2"/>
  <c r="R446" i="2"/>
  <c r="Q446" i="2"/>
  <c r="R445" i="2"/>
  <c r="Q445" i="2"/>
  <c r="R444" i="2"/>
  <c r="Q444" i="2"/>
  <c r="R443" i="2"/>
  <c r="Q443" i="2"/>
  <c r="R442" i="2"/>
  <c r="Q442" i="2"/>
  <c r="R441" i="2"/>
  <c r="Q441" i="2"/>
  <c r="R440" i="2"/>
  <c r="Q440" i="2"/>
  <c r="R439" i="2"/>
  <c r="Q439" i="2"/>
  <c r="R438" i="2"/>
  <c r="Q438" i="2"/>
  <c r="R437" i="2"/>
  <c r="Q437" i="2"/>
  <c r="R436" i="2"/>
  <c r="Q436" i="2"/>
  <c r="R435" i="2"/>
  <c r="Q435" i="2"/>
  <c r="R434" i="2"/>
  <c r="Q434" i="2"/>
  <c r="R433" i="2"/>
  <c r="Q433" i="2"/>
  <c r="R432" i="2"/>
  <c r="Q432" i="2"/>
  <c r="R431" i="2"/>
  <c r="Q431" i="2"/>
  <c r="R430" i="2"/>
  <c r="Q430" i="2"/>
  <c r="R429" i="2"/>
  <c r="Q429" i="2"/>
  <c r="R428" i="2"/>
  <c r="Q428" i="2"/>
  <c r="R427" i="2"/>
  <c r="Q427" i="2"/>
  <c r="R426" i="2"/>
  <c r="Q426" i="2"/>
  <c r="R425" i="2"/>
  <c r="Q425" i="2"/>
  <c r="R424" i="2"/>
  <c r="Q424" i="2"/>
  <c r="R423" i="2"/>
  <c r="Q423" i="2"/>
  <c r="R422" i="2"/>
  <c r="Q422" i="2"/>
  <c r="R421" i="2"/>
  <c r="Q421" i="2"/>
  <c r="R420" i="2"/>
  <c r="Q420" i="2"/>
  <c r="R419" i="2"/>
  <c r="Q419" i="2"/>
  <c r="R418" i="2"/>
  <c r="Q418" i="2"/>
  <c r="R417" i="2"/>
  <c r="Q417" i="2"/>
  <c r="R416" i="2"/>
  <c r="Q416" i="2"/>
  <c r="R415" i="2"/>
  <c r="Q415" i="2"/>
  <c r="R414" i="2"/>
  <c r="Q414" i="2"/>
  <c r="R413" i="2"/>
  <c r="Q413" i="2"/>
  <c r="R412" i="2"/>
  <c r="Q412" i="2"/>
  <c r="R411" i="2"/>
  <c r="Q411" i="2"/>
  <c r="R410" i="2"/>
  <c r="Q410" i="2"/>
  <c r="R409" i="2"/>
  <c r="Q409" i="2"/>
  <c r="R408" i="2"/>
  <c r="Q408" i="2"/>
  <c r="R407" i="2"/>
  <c r="Q407" i="2"/>
  <c r="R406" i="2"/>
  <c r="Q406" i="2"/>
  <c r="R405" i="2"/>
  <c r="Q405" i="2"/>
  <c r="R404" i="2"/>
  <c r="Q404" i="2"/>
  <c r="R403" i="2"/>
  <c r="Q403" i="2"/>
  <c r="R402" i="2"/>
  <c r="Q402" i="2"/>
  <c r="R401" i="2"/>
  <c r="Q401" i="2"/>
  <c r="R400" i="2"/>
  <c r="Q400" i="2"/>
  <c r="R399" i="2"/>
  <c r="Q399" i="2"/>
  <c r="R398" i="2"/>
  <c r="Q398" i="2"/>
  <c r="R397" i="2"/>
  <c r="Q397" i="2"/>
  <c r="R396" i="2"/>
  <c r="Q396" i="2"/>
  <c r="R395" i="2"/>
  <c r="Q395" i="2"/>
  <c r="R394" i="2"/>
  <c r="Q394" i="2"/>
  <c r="R393" i="2"/>
  <c r="Q393" i="2"/>
  <c r="R392" i="2"/>
  <c r="Q392" i="2"/>
  <c r="R391" i="2"/>
  <c r="Q391" i="2"/>
  <c r="R390" i="2"/>
  <c r="Q390" i="2"/>
  <c r="R389" i="2"/>
  <c r="Q389" i="2"/>
  <c r="R388" i="2"/>
  <c r="Q388" i="2"/>
  <c r="R387" i="2"/>
  <c r="Q387" i="2"/>
  <c r="R386" i="2"/>
  <c r="Q386" i="2"/>
  <c r="R385" i="2"/>
  <c r="Q385" i="2"/>
  <c r="R384" i="2"/>
  <c r="Q384" i="2"/>
  <c r="R383" i="2"/>
  <c r="Q383" i="2"/>
  <c r="R382" i="2"/>
  <c r="Q382" i="2"/>
  <c r="R381" i="2"/>
  <c r="Q381" i="2"/>
  <c r="R380" i="2"/>
  <c r="Q380" i="2"/>
  <c r="R379" i="2"/>
  <c r="Q379" i="2"/>
  <c r="R378" i="2"/>
  <c r="Q378" i="2"/>
  <c r="R377" i="2"/>
  <c r="Q377" i="2"/>
  <c r="R376" i="2"/>
  <c r="Q376" i="2"/>
  <c r="R375" i="2"/>
  <c r="Q375" i="2"/>
  <c r="R374" i="2"/>
  <c r="Q374" i="2"/>
  <c r="R373" i="2"/>
  <c r="Q373" i="2"/>
  <c r="R372" i="2"/>
  <c r="Q372" i="2"/>
  <c r="R371" i="2"/>
  <c r="Q371" i="2"/>
  <c r="R370" i="2"/>
  <c r="Q370" i="2"/>
  <c r="R369" i="2"/>
  <c r="Q369" i="2"/>
  <c r="R368" i="2"/>
  <c r="Q368" i="2"/>
  <c r="R367" i="2"/>
  <c r="Q367" i="2"/>
  <c r="R366" i="2"/>
  <c r="Q366" i="2"/>
  <c r="R365" i="2"/>
  <c r="Q365" i="2"/>
  <c r="R364" i="2"/>
  <c r="Q364" i="2"/>
  <c r="R363" i="2"/>
  <c r="Q363" i="2"/>
  <c r="R362" i="2"/>
  <c r="Q362" i="2"/>
  <c r="R361" i="2"/>
  <c r="Q361" i="2"/>
  <c r="R360" i="2"/>
  <c r="Q360" i="2"/>
  <c r="R359" i="2"/>
  <c r="Q359" i="2"/>
  <c r="R358" i="2"/>
  <c r="Q358" i="2"/>
  <c r="R357" i="2"/>
  <c r="Q357" i="2"/>
  <c r="R356" i="2"/>
  <c r="Q356" i="2"/>
  <c r="R355" i="2"/>
  <c r="Q355" i="2"/>
  <c r="R354" i="2"/>
  <c r="Q354" i="2"/>
  <c r="R353" i="2"/>
  <c r="Q353" i="2"/>
  <c r="R352" i="2"/>
  <c r="Q352" i="2"/>
  <c r="R351" i="2"/>
  <c r="Q351" i="2"/>
  <c r="R350" i="2"/>
  <c r="Q350" i="2"/>
  <c r="R349" i="2"/>
  <c r="Q349" i="2"/>
  <c r="R348" i="2"/>
  <c r="Q348" i="2"/>
  <c r="R347" i="2"/>
  <c r="Q347" i="2"/>
  <c r="R346" i="2"/>
  <c r="Q346" i="2"/>
  <c r="R345" i="2"/>
  <c r="Q345" i="2"/>
  <c r="R344" i="2"/>
  <c r="Q344" i="2"/>
  <c r="R343" i="2"/>
  <c r="Q343" i="2"/>
  <c r="R342" i="2"/>
  <c r="Q342" i="2"/>
  <c r="R341" i="2"/>
  <c r="Q341" i="2"/>
  <c r="R340" i="2"/>
  <c r="Q340" i="2"/>
  <c r="R339" i="2"/>
  <c r="Q339" i="2"/>
  <c r="R338" i="2"/>
  <c r="Q338" i="2"/>
  <c r="R337" i="2"/>
  <c r="Q337" i="2"/>
  <c r="R336" i="2"/>
  <c r="Q336" i="2"/>
  <c r="R335" i="2"/>
  <c r="Q335" i="2"/>
  <c r="R334" i="2"/>
  <c r="Q334" i="2"/>
  <c r="R333" i="2"/>
  <c r="Q333" i="2"/>
  <c r="R332" i="2"/>
  <c r="Q332" i="2"/>
  <c r="R331" i="2"/>
  <c r="Q331" i="2"/>
  <c r="R330" i="2"/>
  <c r="Q330" i="2"/>
  <c r="R329" i="2"/>
  <c r="Q329" i="2"/>
  <c r="R328" i="2"/>
  <c r="Q328" i="2"/>
  <c r="R327" i="2"/>
  <c r="Q327" i="2"/>
  <c r="R326" i="2"/>
  <c r="Q326" i="2"/>
  <c r="R325" i="2"/>
  <c r="Q325" i="2"/>
  <c r="R324" i="2"/>
  <c r="Q324" i="2"/>
  <c r="R323" i="2"/>
  <c r="Q323" i="2"/>
  <c r="R322" i="2"/>
  <c r="Q322" i="2"/>
  <c r="R321" i="2"/>
  <c r="Q321" i="2"/>
  <c r="R320" i="2"/>
  <c r="Q320" i="2"/>
  <c r="R319" i="2"/>
  <c r="Q319" i="2"/>
  <c r="R318" i="2"/>
  <c r="Q318" i="2"/>
  <c r="R317" i="2"/>
  <c r="Q317" i="2"/>
  <c r="R316" i="2"/>
  <c r="Q316" i="2"/>
  <c r="R315" i="2"/>
  <c r="Q315" i="2"/>
  <c r="R314" i="2"/>
  <c r="Q314" i="2"/>
  <c r="R313" i="2"/>
  <c r="Q313" i="2"/>
  <c r="R312" i="2"/>
  <c r="Q312" i="2"/>
  <c r="R311" i="2"/>
  <c r="Q311" i="2"/>
  <c r="R310" i="2"/>
  <c r="Q310" i="2"/>
  <c r="R309" i="2"/>
  <c r="Q309" i="2"/>
  <c r="R308" i="2"/>
  <c r="Q308" i="2"/>
  <c r="R307" i="2"/>
  <c r="Q307" i="2"/>
  <c r="R306" i="2"/>
  <c r="Q306" i="2"/>
  <c r="R305" i="2"/>
  <c r="Q305" i="2"/>
  <c r="R304" i="2"/>
  <c r="Q304" i="2"/>
  <c r="R303" i="2"/>
  <c r="Q303" i="2"/>
  <c r="R302" i="2"/>
  <c r="Q302" i="2"/>
  <c r="R301" i="2"/>
  <c r="Q301" i="2"/>
  <c r="R300" i="2"/>
  <c r="Q300" i="2"/>
  <c r="R299" i="2"/>
  <c r="Q299" i="2"/>
  <c r="R298" i="2"/>
  <c r="Q298" i="2"/>
  <c r="R297" i="2"/>
  <c r="Q297" i="2"/>
  <c r="R296" i="2"/>
  <c r="Q296" i="2"/>
  <c r="R295" i="2"/>
  <c r="Q295" i="2"/>
  <c r="R294" i="2"/>
  <c r="Q294" i="2"/>
  <c r="R293" i="2"/>
  <c r="Q293" i="2"/>
  <c r="R292" i="2"/>
  <c r="Q292" i="2"/>
  <c r="R291" i="2"/>
  <c r="Q291" i="2"/>
  <c r="R290" i="2"/>
  <c r="Q290" i="2"/>
  <c r="R289" i="2"/>
  <c r="Q289" i="2"/>
  <c r="R288" i="2"/>
  <c r="Q288" i="2"/>
  <c r="R287" i="2"/>
  <c r="Q287" i="2"/>
  <c r="R286" i="2"/>
  <c r="Q286" i="2"/>
  <c r="R285" i="2"/>
  <c r="Q285" i="2"/>
  <c r="R284" i="2"/>
  <c r="Q284" i="2"/>
  <c r="R283" i="2"/>
  <c r="Q283" i="2"/>
  <c r="R282" i="2"/>
  <c r="Q282" i="2"/>
  <c r="R281" i="2"/>
  <c r="Q281" i="2"/>
  <c r="R280" i="2"/>
  <c r="Q280" i="2"/>
  <c r="R279" i="2"/>
  <c r="Q279" i="2"/>
  <c r="R278" i="2"/>
  <c r="Q278" i="2"/>
  <c r="R277" i="2"/>
  <c r="Q277" i="2"/>
  <c r="R276" i="2"/>
  <c r="Q276" i="2"/>
  <c r="R275" i="2"/>
  <c r="Q275" i="2"/>
  <c r="R274" i="2"/>
  <c r="Q274" i="2"/>
  <c r="R273" i="2"/>
  <c r="Q273" i="2"/>
  <c r="R272" i="2"/>
  <c r="Q272" i="2"/>
  <c r="R271" i="2"/>
  <c r="Q271" i="2"/>
  <c r="R270" i="2"/>
  <c r="Q270" i="2"/>
  <c r="R269" i="2"/>
  <c r="Q269" i="2"/>
  <c r="R268" i="2"/>
  <c r="Q268" i="2"/>
  <c r="R267" i="2"/>
  <c r="Q267" i="2"/>
  <c r="R266" i="2"/>
  <c r="Q266" i="2"/>
  <c r="R265" i="2"/>
  <c r="Q265" i="2"/>
  <c r="R264" i="2"/>
  <c r="Q264" i="2"/>
  <c r="R263" i="2"/>
  <c r="Q263" i="2"/>
  <c r="R262" i="2"/>
  <c r="Q262" i="2"/>
  <c r="R261" i="2"/>
  <c r="Q261" i="2"/>
  <c r="R260" i="2"/>
  <c r="Q260" i="2"/>
  <c r="R259" i="2"/>
  <c r="Q259" i="2"/>
  <c r="R258" i="2"/>
  <c r="Q258" i="2"/>
  <c r="R257" i="2"/>
  <c r="Q257" i="2"/>
  <c r="R256" i="2"/>
  <c r="Q256" i="2"/>
  <c r="R255" i="2"/>
  <c r="Q255" i="2"/>
  <c r="R254" i="2"/>
  <c r="Q254" i="2"/>
  <c r="R253" i="2"/>
  <c r="Q253" i="2"/>
  <c r="R252" i="2"/>
  <c r="Q252" i="2"/>
  <c r="R251" i="2"/>
  <c r="Q251" i="2"/>
  <c r="R250" i="2"/>
  <c r="Q250" i="2"/>
  <c r="R249" i="2"/>
  <c r="Q249" i="2"/>
  <c r="R248" i="2"/>
  <c r="Q248" i="2"/>
  <c r="R247" i="2"/>
  <c r="Q247" i="2"/>
  <c r="R246" i="2"/>
  <c r="Q246" i="2"/>
  <c r="R245" i="2"/>
  <c r="Q245" i="2"/>
  <c r="R244" i="2"/>
  <c r="Q244" i="2"/>
  <c r="R243" i="2"/>
  <c r="Q243" i="2"/>
  <c r="R242" i="2"/>
  <c r="Q242" i="2"/>
  <c r="R241" i="2"/>
  <c r="Q241" i="2"/>
  <c r="R240" i="2"/>
  <c r="Q240" i="2"/>
  <c r="R239" i="2"/>
  <c r="Q239" i="2"/>
  <c r="R238" i="2"/>
  <c r="Q238" i="2"/>
  <c r="R237" i="2"/>
  <c r="Q237" i="2"/>
  <c r="R236" i="2"/>
  <c r="Q236" i="2"/>
  <c r="R235" i="2"/>
  <c r="Q235" i="2"/>
  <c r="R234" i="2"/>
  <c r="Q234" i="2"/>
  <c r="R233" i="2"/>
  <c r="Q233" i="2"/>
  <c r="R232" i="2"/>
  <c r="Q232" i="2"/>
  <c r="R231" i="2"/>
  <c r="Q231" i="2"/>
  <c r="R230" i="2"/>
  <c r="Q230" i="2"/>
  <c r="R229" i="2"/>
  <c r="Q229" i="2"/>
  <c r="R228" i="2"/>
  <c r="Q228" i="2"/>
  <c r="R227" i="2"/>
  <c r="Q227" i="2"/>
  <c r="R226" i="2"/>
  <c r="Q226" i="2"/>
  <c r="R225" i="2"/>
  <c r="Q225" i="2"/>
  <c r="R224" i="2"/>
  <c r="Q224" i="2"/>
  <c r="R223" i="2"/>
  <c r="Q223" i="2"/>
  <c r="R222" i="2"/>
  <c r="Q222" i="2"/>
  <c r="R221" i="2"/>
  <c r="Q221" i="2"/>
  <c r="R220" i="2"/>
  <c r="Q220" i="2"/>
  <c r="R219" i="2"/>
  <c r="Q219" i="2"/>
  <c r="R218" i="2"/>
  <c r="Q218" i="2"/>
  <c r="R217" i="2"/>
  <c r="Q217" i="2"/>
  <c r="R216" i="2"/>
  <c r="Q216" i="2"/>
  <c r="R215" i="2"/>
  <c r="Q215" i="2"/>
  <c r="R214" i="2"/>
  <c r="Q214" i="2"/>
  <c r="R213" i="2"/>
  <c r="Q213" i="2"/>
  <c r="R212" i="2"/>
  <c r="Q212" i="2"/>
  <c r="R211" i="2"/>
  <c r="Q211" i="2"/>
  <c r="R210" i="2"/>
  <c r="Q210" i="2"/>
  <c r="R209" i="2"/>
  <c r="Q209" i="2"/>
  <c r="R208" i="2"/>
  <c r="Q208" i="2"/>
  <c r="R207" i="2"/>
  <c r="Q207" i="2"/>
  <c r="R206" i="2"/>
  <c r="Q206" i="2"/>
  <c r="R205" i="2"/>
  <c r="Q205" i="2"/>
  <c r="R204" i="2"/>
  <c r="Q204" i="2"/>
  <c r="R203" i="2"/>
  <c r="Q203" i="2"/>
  <c r="R202" i="2"/>
  <c r="Q202" i="2"/>
  <c r="R201" i="2"/>
  <c r="Q201" i="2"/>
  <c r="R200" i="2"/>
  <c r="Q200" i="2"/>
  <c r="R199" i="2"/>
  <c r="Q199" i="2"/>
  <c r="R198" i="2"/>
  <c r="Q198" i="2"/>
  <c r="R197" i="2"/>
  <c r="Q197" i="2"/>
  <c r="R196" i="2"/>
  <c r="Q196" i="2"/>
  <c r="R195" i="2"/>
  <c r="Q195" i="2"/>
  <c r="R194" i="2"/>
  <c r="Q194" i="2"/>
  <c r="R193" i="2"/>
  <c r="Q193" i="2"/>
  <c r="R192" i="2"/>
  <c r="Q192" i="2"/>
  <c r="R191" i="2"/>
  <c r="Q191" i="2"/>
  <c r="R190" i="2"/>
  <c r="Q190" i="2"/>
  <c r="R189" i="2"/>
  <c r="Q189" i="2"/>
  <c r="R188" i="2"/>
  <c r="Q188" i="2"/>
  <c r="R187" i="2"/>
  <c r="Q187" i="2"/>
  <c r="R186" i="2"/>
  <c r="Q186" i="2"/>
  <c r="R185" i="2"/>
  <c r="Q185" i="2"/>
  <c r="R184" i="2"/>
  <c r="Q184" i="2"/>
  <c r="R183" i="2"/>
  <c r="Q183" i="2"/>
  <c r="R182" i="2"/>
  <c r="Q182" i="2"/>
  <c r="R181" i="2"/>
  <c r="Q181" i="2"/>
  <c r="R180" i="2"/>
  <c r="Q180" i="2"/>
  <c r="R179" i="2"/>
  <c r="Q179" i="2"/>
  <c r="R178" i="2"/>
  <c r="Q178" i="2"/>
  <c r="R177" i="2"/>
  <c r="Q177" i="2"/>
  <c r="R176" i="2"/>
  <c r="Q176" i="2"/>
  <c r="R175" i="2"/>
  <c r="Q175" i="2"/>
  <c r="R174" i="2"/>
  <c r="Q174" i="2"/>
  <c r="R173" i="2"/>
  <c r="Q173" i="2"/>
  <c r="R172" i="2"/>
  <c r="Q172" i="2"/>
  <c r="R171" i="2"/>
  <c r="Q171" i="2"/>
  <c r="R170" i="2"/>
  <c r="Q170" i="2"/>
  <c r="R169" i="2"/>
  <c r="Q169" i="2"/>
  <c r="R168" i="2"/>
  <c r="Q168" i="2"/>
  <c r="R167" i="2"/>
  <c r="Q167" i="2"/>
  <c r="R166" i="2"/>
  <c r="Q166" i="2"/>
  <c r="R165" i="2"/>
  <c r="Q165" i="2"/>
  <c r="R164" i="2"/>
  <c r="Q164" i="2"/>
  <c r="R163" i="2"/>
  <c r="Q163" i="2"/>
  <c r="R162" i="2"/>
  <c r="Q162" i="2"/>
  <c r="R161" i="2"/>
  <c r="Q161" i="2"/>
  <c r="R160" i="2"/>
  <c r="Q160" i="2"/>
  <c r="R159" i="2"/>
  <c r="Q159" i="2"/>
  <c r="R158" i="2"/>
  <c r="Q158" i="2"/>
  <c r="R157" i="2"/>
  <c r="Q157" i="2"/>
  <c r="R156" i="2"/>
  <c r="Q156" i="2"/>
  <c r="R155" i="2"/>
  <c r="Q155" i="2"/>
  <c r="R154" i="2"/>
  <c r="Q154" i="2"/>
  <c r="R153" i="2"/>
  <c r="Q153" i="2"/>
  <c r="R152" i="2"/>
  <c r="Q152" i="2"/>
  <c r="R151" i="2"/>
  <c r="Q151" i="2"/>
  <c r="R150" i="2"/>
  <c r="Q150" i="2"/>
  <c r="R149" i="2"/>
  <c r="Q149" i="2"/>
  <c r="R148" i="2"/>
  <c r="Q148" i="2"/>
  <c r="R147" i="2"/>
  <c r="Q147" i="2"/>
  <c r="R146" i="2"/>
  <c r="Q146" i="2"/>
  <c r="R145" i="2"/>
  <c r="Q145" i="2"/>
  <c r="R144" i="2"/>
  <c r="Q144" i="2"/>
  <c r="R143" i="2"/>
  <c r="Q143" i="2"/>
  <c r="R142" i="2"/>
  <c r="Q142" i="2"/>
  <c r="R141" i="2"/>
  <c r="Q141" i="2"/>
  <c r="R140" i="2"/>
  <c r="Q140" i="2"/>
  <c r="R139" i="2"/>
  <c r="Q139" i="2"/>
  <c r="R138" i="2"/>
  <c r="Q138" i="2"/>
  <c r="R137" i="2"/>
  <c r="Q137" i="2"/>
  <c r="R136" i="2"/>
  <c r="Q136" i="2"/>
  <c r="R135" i="2"/>
  <c r="Q135" i="2"/>
  <c r="R134" i="2"/>
  <c r="Q134" i="2"/>
  <c r="R133" i="2"/>
  <c r="Q133" i="2"/>
  <c r="R132" i="2"/>
  <c r="Q132" i="2"/>
  <c r="R131" i="2"/>
  <c r="Q131" i="2"/>
  <c r="R130" i="2"/>
  <c r="Q130" i="2"/>
  <c r="R129" i="2"/>
  <c r="Q129" i="2"/>
  <c r="R128" i="2"/>
  <c r="Q128" i="2"/>
  <c r="R127" i="2"/>
  <c r="Q127" i="2"/>
  <c r="R126" i="2"/>
  <c r="Q126" i="2"/>
  <c r="R125" i="2"/>
  <c r="Q125" i="2"/>
  <c r="R124" i="2"/>
  <c r="Q124" i="2"/>
  <c r="R123" i="2"/>
  <c r="Q123" i="2"/>
  <c r="R122" i="2"/>
  <c r="Q122" i="2"/>
  <c r="R121" i="2"/>
  <c r="Q121" i="2"/>
  <c r="R120" i="2"/>
  <c r="Q120" i="2"/>
  <c r="R119" i="2"/>
  <c r="Q119" i="2"/>
  <c r="R118" i="2"/>
  <c r="Q118" i="2"/>
  <c r="R117" i="2"/>
  <c r="Q117" i="2"/>
  <c r="R116" i="2"/>
  <c r="Q116" i="2"/>
  <c r="R115" i="2"/>
  <c r="Q115" i="2"/>
  <c r="R114" i="2"/>
  <c r="Q114" i="2"/>
  <c r="R113" i="2"/>
  <c r="Q113" i="2"/>
  <c r="R112" i="2"/>
  <c r="Q112" i="2"/>
  <c r="R111" i="2"/>
  <c r="Q111" i="2"/>
  <c r="R110" i="2"/>
  <c r="Q110" i="2"/>
  <c r="R109" i="2"/>
  <c r="Q109" i="2"/>
  <c r="R108" i="2"/>
  <c r="Q108" i="2"/>
  <c r="R107" i="2"/>
  <c r="Q107" i="2"/>
  <c r="R106" i="2"/>
  <c r="Q106" i="2"/>
  <c r="R105" i="2"/>
  <c r="Q105" i="2"/>
  <c r="R104" i="2"/>
  <c r="Q104" i="2"/>
  <c r="R103" i="2"/>
  <c r="Q103" i="2"/>
  <c r="R102" i="2"/>
  <c r="Q102" i="2"/>
  <c r="R101" i="2"/>
  <c r="Q101" i="2"/>
  <c r="R100" i="2"/>
  <c r="Q100" i="2"/>
  <c r="R99" i="2"/>
  <c r="Q99" i="2"/>
  <c r="R98" i="2"/>
  <c r="Q98" i="2"/>
  <c r="R97" i="2"/>
  <c r="Q97" i="2"/>
  <c r="R96" i="2"/>
  <c r="Q96" i="2"/>
  <c r="R95" i="2"/>
  <c r="Q95" i="2"/>
  <c r="R94" i="2"/>
  <c r="Q94" i="2"/>
  <c r="R93" i="2"/>
  <c r="Q93" i="2"/>
  <c r="R92" i="2"/>
  <c r="Q92" i="2"/>
  <c r="R91" i="2"/>
  <c r="Q91" i="2"/>
  <c r="R90" i="2"/>
  <c r="Q90" i="2"/>
  <c r="R89" i="2"/>
  <c r="Q89" i="2"/>
  <c r="R88" i="2"/>
  <c r="Q88" i="2"/>
  <c r="R87" i="2"/>
  <c r="Q87" i="2"/>
  <c r="R86" i="2"/>
  <c r="Q86" i="2"/>
  <c r="R85" i="2"/>
  <c r="Q85" i="2"/>
  <c r="R84" i="2"/>
  <c r="Q84" i="2"/>
  <c r="R83" i="2"/>
  <c r="Q83" i="2"/>
  <c r="R82" i="2"/>
  <c r="Q82" i="2"/>
  <c r="R81" i="2"/>
  <c r="Q81" i="2"/>
  <c r="R80" i="2"/>
  <c r="Q80" i="2"/>
  <c r="R79" i="2"/>
  <c r="Q79" i="2"/>
  <c r="R78" i="2"/>
  <c r="Q78" i="2"/>
  <c r="R77" i="2"/>
  <c r="Q77" i="2"/>
  <c r="R76" i="2"/>
  <c r="Q76" i="2"/>
  <c r="R75" i="2"/>
  <c r="Q75" i="2"/>
  <c r="R74" i="2"/>
  <c r="Q74" i="2"/>
  <c r="R73" i="2"/>
  <c r="Q73" i="2"/>
  <c r="R72" i="2"/>
  <c r="Q72" i="2"/>
  <c r="R71" i="2"/>
  <c r="Q71" i="2"/>
  <c r="R70" i="2"/>
  <c r="Q70" i="2"/>
  <c r="R69" i="2"/>
  <c r="Q69" i="2"/>
  <c r="R68" i="2"/>
  <c r="Q68" i="2"/>
  <c r="R67" i="2"/>
  <c r="Q67" i="2"/>
  <c r="R66" i="2"/>
  <c r="Q66" i="2"/>
  <c r="R65" i="2"/>
  <c r="Q65" i="2"/>
  <c r="R64" i="2"/>
  <c r="Q64" i="2"/>
  <c r="R63" i="2"/>
  <c r="Q63" i="2"/>
  <c r="R62" i="2"/>
  <c r="Q62" i="2"/>
  <c r="R61" i="2"/>
  <c r="Q61" i="2"/>
  <c r="R60" i="2"/>
  <c r="Q60" i="2"/>
  <c r="R59" i="2"/>
  <c r="Q59" i="2"/>
  <c r="R58" i="2"/>
  <c r="Q58" i="2"/>
  <c r="R57" i="2"/>
  <c r="Q57" i="2"/>
  <c r="R56" i="2"/>
  <c r="Q56" i="2"/>
  <c r="R55" i="2"/>
  <c r="Q55" i="2"/>
  <c r="R54" i="2"/>
  <c r="Q54" i="2"/>
  <c r="R53" i="2"/>
  <c r="Q53" i="2"/>
  <c r="R52" i="2"/>
  <c r="Q52" i="2"/>
  <c r="R51" i="2"/>
  <c r="Q51" i="2"/>
  <c r="R50" i="2"/>
  <c r="Q50" i="2"/>
  <c r="R49" i="2"/>
  <c r="Q49" i="2"/>
  <c r="R48" i="2"/>
  <c r="Q48" i="2"/>
  <c r="R47" i="2"/>
  <c r="Q47" i="2"/>
  <c r="R46" i="2"/>
  <c r="Q46" i="2"/>
  <c r="R45" i="2"/>
  <c r="Q45" i="2"/>
  <c r="R44" i="2"/>
  <c r="Q44" i="2"/>
  <c r="R43" i="2"/>
  <c r="Q43" i="2"/>
  <c r="R42" i="2"/>
  <c r="Q42" i="2"/>
  <c r="R41" i="2"/>
  <c r="Q41" i="2"/>
  <c r="R40" i="2"/>
  <c r="Q40" i="2"/>
  <c r="R39" i="2"/>
  <c r="Q39" i="2"/>
  <c r="R38" i="2"/>
  <c r="Q38" i="2"/>
  <c r="R37" i="2"/>
  <c r="Q37" i="2"/>
  <c r="R36" i="2"/>
  <c r="Q36" i="2"/>
  <c r="R35" i="2"/>
  <c r="Q35" i="2"/>
  <c r="R34" i="2"/>
  <c r="Q34" i="2"/>
  <c r="R33" i="2"/>
  <c r="Q33" i="2"/>
  <c r="R32" i="2"/>
  <c r="Q32" i="2"/>
  <c r="R31" i="2"/>
  <c r="Q31" i="2"/>
  <c r="R30" i="2"/>
  <c r="Q30" i="2"/>
  <c r="R29" i="2"/>
  <c r="Q29" i="2"/>
  <c r="R28" i="2"/>
  <c r="Q28" i="2"/>
  <c r="R27" i="2"/>
  <c r="Q27" i="2"/>
  <c r="R26" i="2"/>
  <c r="Q26" i="2"/>
  <c r="R25" i="2"/>
  <c r="Q25" i="2"/>
  <c r="R24" i="2"/>
  <c r="Q24" i="2"/>
  <c r="R23" i="2"/>
  <c r="Q23" i="2"/>
  <c r="R22" i="2"/>
  <c r="Q22" i="2"/>
  <c r="R21" i="2"/>
  <c r="Q21" i="2"/>
  <c r="R20" i="2"/>
  <c r="Q20" i="2"/>
  <c r="R19" i="2"/>
  <c r="Q19" i="2"/>
  <c r="R18" i="2"/>
  <c r="Q18" i="2"/>
  <c r="R17" i="2"/>
  <c r="Q17" i="2"/>
  <c r="R16" i="2"/>
  <c r="Q16" i="2"/>
  <c r="R15" i="2"/>
  <c r="Q15" i="2"/>
  <c r="R14" i="2"/>
  <c r="Q14" i="2"/>
  <c r="R13" i="2"/>
  <c r="Q13" i="2"/>
  <c r="R12" i="2"/>
  <c r="Q12" i="2"/>
  <c r="R11" i="2"/>
  <c r="Q11" i="2"/>
  <c r="R10" i="2"/>
  <c r="Q10" i="2"/>
  <c r="R9" i="2"/>
  <c r="Q9" i="2"/>
  <c r="R8" i="2"/>
  <c r="Q8" i="2"/>
  <c r="R7" i="2"/>
  <c r="Q7" i="2"/>
  <c r="R6" i="2"/>
  <c r="Q6" i="2"/>
  <c r="R5" i="2"/>
  <c r="Q5" i="2"/>
  <c r="R4" i="2"/>
  <c r="Q4" i="2"/>
  <c r="R3" i="2"/>
  <c r="Q3" i="2"/>
  <c r="R2" i="2"/>
  <c r="Q2" i="2"/>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S51" i="6"/>
  <c r="N51" i="6"/>
  <c r="S50" i="6"/>
  <c r="N50" i="6"/>
  <c r="S49" i="6"/>
  <c r="N49" i="6"/>
  <c r="S48" i="6"/>
  <c r="N48" i="6"/>
  <c r="S47" i="6"/>
  <c r="N47" i="6"/>
  <c r="S46" i="6"/>
  <c r="N46" i="6"/>
  <c r="S45" i="6"/>
  <c r="N45" i="6"/>
  <c r="S44" i="6"/>
  <c r="N44" i="6"/>
  <c r="S43" i="6"/>
  <c r="N43" i="6"/>
  <c r="S42" i="6"/>
  <c r="N42" i="6"/>
  <c r="S41" i="6"/>
  <c r="N41" i="6"/>
  <c r="S40" i="6"/>
  <c r="N40" i="6"/>
  <c r="S39" i="6"/>
  <c r="N39" i="6"/>
  <c r="S38" i="6"/>
  <c r="N38" i="6"/>
  <c r="S37" i="6"/>
  <c r="N37" i="6"/>
  <c r="S36" i="6"/>
  <c r="N36" i="6"/>
  <c r="S35" i="6"/>
  <c r="N35" i="6"/>
  <c r="S34" i="6"/>
  <c r="N34" i="6"/>
  <c r="S33" i="6"/>
  <c r="N33" i="6"/>
  <c r="S32" i="6"/>
  <c r="N32" i="6"/>
  <c r="S31" i="6"/>
  <c r="N31" i="6"/>
  <c r="S30" i="6"/>
  <c r="N30" i="6"/>
  <c r="S29" i="6"/>
  <c r="N29" i="6"/>
  <c r="S28" i="6"/>
  <c r="N28" i="6"/>
  <c r="S27" i="6"/>
  <c r="N27" i="6"/>
  <c r="S26" i="6"/>
  <c r="N26" i="6"/>
  <c r="S25" i="6"/>
  <c r="N25" i="6"/>
  <c r="S24" i="6"/>
  <c r="N24" i="6"/>
  <c r="S23" i="6"/>
  <c r="N23" i="6"/>
  <c r="S22" i="6"/>
  <c r="N22" i="6"/>
  <c r="S21" i="6"/>
  <c r="N21" i="6"/>
  <c r="S20" i="6"/>
  <c r="N20" i="6"/>
  <c r="S19" i="6"/>
  <c r="N19" i="6"/>
  <c r="S18" i="6"/>
  <c r="N18" i="6"/>
  <c r="S17" i="6"/>
  <c r="N17" i="6"/>
  <c r="S16" i="6"/>
  <c r="N16" i="6"/>
  <c r="S15" i="6"/>
  <c r="N15" i="6"/>
  <c r="S14" i="6"/>
  <c r="N14" i="6"/>
  <c r="S13" i="6"/>
  <c r="N13" i="6"/>
  <c r="S12" i="6"/>
  <c r="N12" i="6"/>
  <c r="S11" i="6"/>
  <c r="N11" i="6"/>
  <c r="S10" i="6"/>
  <c r="N10" i="6"/>
  <c r="S9" i="6"/>
  <c r="N9" i="6"/>
  <c r="S8" i="6"/>
  <c r="N8" i="6"/>
  <c r="S7" i="6"/>
  <c r="N7" i="6"/>
  <c r="S6" i="6"/>
  <c r="N6" i="6"/>
  <c r="S5" i="6"/>
  <c r="N5" i="6"/>
  <c r="S4" i="6"/>
  <c r="N4" i="6"/>
  <c r="S3" i="6"/>
  <c r="N3" i="6"/>
  <c r="S2" i="6"/>
  <c r="N2" i="6"/>
</calcChain>
</file>

<file path=xl/sharedStrings.xml><?xml version="1.0" encoding="utf-8"?>
<sst xmlns="http://schemas.openxmlformats.org/spreadsheetml/2006/main" count="13616" uniqueCount="5599">
  <si>
    <t>Disaster Row #</t>
  </si>
  <si>
    <t>Name</t>
  </si>
  <si>
    <t>Disaster Type</t>
  </si>
  <si>
    <t>Begin Date</t>
  </si>
  <si>
    <t>End Date</t>
  </si>
  <si>
    <t>CPI-Adjusted Cost ($M)</t>
  </si>
  <si>
    <t>Unadjusted Cost ($M)</t>
  </si>
  <si>
    <t>Deaths</t>
  </si>
  <si>
    <t>States</t>
  </si>
  <si>
    <t>Engines</t>
  </si>
  <si>
    <t># Articles Found</t>
  </si>
  <si>
    <t>Avg Attribution Index</t>
  </si>
  <si>
    <t>Southeast Winter Storm (January 2000)</t>
  </si>
  <si>
    <t>Winter Storm</t>
  </si>
  <si>
    <t>AL,FL,GA,KY,MS,NC,SC,TN,VA,WV</t>
  </si>
  <si>
    <t>3,4,5,6,7,8,National</t>
  </si>
  <si>
    <t>Southern Severe Weather (March 2000)</t>
  </si>
  <si>
    <t>Severe Storm</t>
  </si>
  <si>
    <t>AL,AR,FL,GA,KY,LA,MS,NC,OK,SC,TN,TX,VA</t>
  </si>
  <si>
    <t>13,14,15,3,4,5,6,7,8,National</t>
  </si>
  <si>
    <t>Western Fire Season (Spring-Summer 2000)</t>
  </si>
  <si>
    <t>Wildfire</t>
  </si>
  <si>
    <t>AK,AZ,CA,CO,HI,ID,MT,NM,NV,OR,UT,WA,WY</t>
  </si>
  <si>
    <t>15,16,17,18,National</t>
  </si>
  <si>
    <t>South Florida Flooding (October 2000)</t>
  </si>
  <si>
    <t>Flooding</t>
  </si>
  <si>
    <t>FL</t>
  </si>
  <si>
    <t>3,4,5,6,National</t>
  </si>
  <si>
    <t>Western/Central/Southeast Drought/Heat Wave (Spring-Fall 2000)</t>
  </si>
  <si>
    <t>Drought</t>
  </si>
  <si>
    <t>AK,AL,AZ,CA,CO,FL,GA,HI,IA,ID,IL,IN,KS,KY,MI,MN,MO,MS,MT,NC,ND,NE,NM,NV,OH,OK,OR,SC,SD,TN,TX,UT,VA,WA,WI,WV,WY</t>
  </si>
  <si>
    <t>10,11,12,13,14,15,16,17,18,3,4,5,6,7,8,9,National</t>
  </si>
  <si>
    <t>Midwest/Ohio Valley Hail and Tornadoes (April 2001)</t>
  </si>
  <si>
    <t>IA,IL,IN,KS,KY,MI,MN,MO,ND,NE,OH,SD,TN,WI,WV</t>
  </si>
  <si>
    <t>10,11,12,13,3,4,5,6,7,8,9,National</t>
  </si>
  <si>
    <t>North Central Severe Weather (May 2001)</t>
  </si>
  <si>
    <t>IA,IL,IN,KS,MI,MN,MO,ND,NE,OH,SD,WI</t>
  </si>
  <si>
    <t>10,11,12,13,8,9,National</t>
  </si>
  <si>
    <t>Tropical Storm Allison (June 2001)</t>
  </si>
  <si>
    <t>Tropical Cyclone</t>
  </si>
  <si>
    <t>LA,TX</t>
  </si>
  <si>
    <t>13,14,15,National</t>
  </si>
  <si>
    <t>Severe Storms and Tornadoes (April 2002)</t>
  </si>
  <si>
    <t>NATIONAL</t>
  </si>
  <si>
    <t>National</t>
  </si>
  <si>
    <t>Hurricane Lili (October 2002)</t>
  </si>
  <si>
    <t>LA</t>
  </si>
  <si>
    <t>Tropical Storm Isidore (September 2002)</t>
  </si>
  <si>
    <t>AL,LA,MS</t>
  </si>
  <si>
    <t>13,14,15,6,7,8,National</t>
  </si>
  <si>
    <t>Eastern Tornadoes and Severe Storms (November 2002)</t>
  </si>
  <si>
    <t>CT,DE,FL,GA,MA,MD,ME,NC,NH,NJ,NY,PA,RI,SC,VA,VT,WV</t>
  </si>
  <si>
    <t>1,2,3,4,5,6,National</t>
  </si>
  <si>
    <t>Western Fire Season (Fall 2002)</t>
  </si>
  <si>
    <t>U.S. Drought (Spring-Fall 2002)</t>
  </si>
  <si>
    <t>Severe Storms/Hail (April 2003)</t>
  </si>
  <si>
    <t>Severe Storms/Tornadoes (May 2003)</t>
  </si>
  <si>
    <t>Midwest/Plains Severe Weather (July 2003)</t>
  </si>
  <si>
    <t>CO,IA,IL,IN,KS,MI,MN,MO,MT,ND,NE,OH,OK,SD,TX,WI,WY</t>
  </si>
  <si>
    <t>10,11,12,13,14,15,16,17,8,9,National</t>
  </si>
  <si>
    <t>Southern Derecho and Eastern Severe Weather (July 2003)</t>
  </si>
  <si>
    <t>AL,AR,CT,DE,FL,GA,KY,LA,MA,MD,ME,MS,NC,NH,NJ,NY,OK,PA,RI,SC,TN,TX,VA,VT,WV</t>
  </si>
  <si>
    <t>1,13,14,15,2,3,4,5,6,7,8,National</t>
  </si>
  <si>
    <t>Hurricane Isabel (September 2003)</t>
  </si>
  <si>
    <t>DC,DE,MD,NC,NJ,NY,PA,VA,WV</t>
  </si>
  <si>
    <t>California Wildfires (Fall 2003)</t>
  </si>
  <si>
    <t>CA</t>
  </si>
  <si>
    <t>17,18,National</t>
  </si>
  <si>
    <t>Western/Central Drought/Heat Wave (Spring-Fall 2003)</t>
  </si>
  <si>
    <t>AK,AZ,CA,CO,HI,IA,ID,IL,IN,KS,MI,MN,MO,MT,ND,NE,NM,NV,OH,OK,OR,SD,TX,UT,WA,WI,WY</t>
  </si>
  <si>
    <t>10,11,12,13,14,15,16,17,18,8,9,National</t>
  </si>
  <si>
    <t>Severe Storms, Hail, Tornadoes (May 2004)</t>
  </si>
  <si>
    <t>Colorado Hail Storms (June 2004)</t>
  </si>
  <si>
    <t>CO</t>
  </si>
  <si>
    <t>15,16,National</t>
  </si>
  <si>
    <t>Hurricane Charley (August 2004)</t>
  </si>
  <si>
    <t>FL,NC,SC</t>
  </si>
  <si>
    <t>Hurricane Frances (September 2004)</t>
  </si>
  <si>
    <t>FL,GA,NC,SC</t>
  </si>
  <si>
    <t>Hurricane Ivan (September 2004)</t>
  </si>
  <si>
    <t>AL,FL,GA,MS</t>
  </si>
  <si>
    <t>Hurricane Jeanne (September 2004)</t>
  </si>
  <si>
    <t>Southeast Severe Weather (March 2005)</t>
  </si>
  <si>
    <t>Hurricane Dennis (July 2005)</t>
  </si>
  <si>
    <t>AL,FL,MS</t>
  </si>
  <si>
    <t>Hurricane Katrina (August 2005)</t>
  </si>
  <si>
    <t>AL,FL,LA,MS</t>
  </si>
  <si>
    <t>Midwest Drought (Spring-Summer 2005)</t>
  </si>
  <si>
    <t>Hurricane Rita (September 2005)</t>
  </si>
  <si>
    <t>Hurricane Wilma (October 2005)</t>
  </si>
  <si>
    <t>Severe Storms and Tornadoes (March 2006)</t>
  </si>
  <si>
    <t>Midwest/Southeast Tornadoes (April 6-8, 2006)</t>
  </si>
  <si>
    <t>AL,FL,GA,IA,IL,IN,KS,KY,MI,MN,MO,MS,NC,ND,NE,OH,SC,SD,TN,VA,WI,WV</t>
  </si>
  <si>
    <t>Midwest Tornadoes (April 2006)</t>
  </si>
  <si>
    <t>Northeast Flooding (June 2006)</t>
  </si>
  <si>
    <t>CT,MA,ME,NH,NJ,NY,PA,RI,VT</t>
  </si>
  <si>
    <t>1,2,3,National</t>
  </si>
  <si>
    <t>North Central Severe Weather and Tornadoes (August 2006)</t>
  </si>
  <si>
    <t>Midwest/Plains/Southeast Drought (Spring-Summer 2006)</t>
  </si>
  <si>
    <t>AL,CO,FL,GA,IA,IL,IN,KS,KY,MI,MN,MO,MS,MT,NC,ND,NE,OH,OK,SC,SD,TN,TX,VA,WI,WV,WY</t>
  </si>
  <si>
    <t>10,11,12,13,14,15,16,17,3,4,5,6,7,8,9,National</t>
  </si>
  <si>
    <t>Central Severe Weather (October 2006)</t>
  </si>
  <si>
    <t>IA,IL,IN,KS,MI,MN,MO,ND,NE,OH,OK,SD,TX,WI</t>
  </si>
  <si>
    <t>10,11,12,13,14,15,8,9,National</t>
  </si>
  <si>
    <t>Numerous Wildfires (2006)</t>
  </si>
  <si>
    <t>California Freeze (January 2007)</t>
  </si>
  <si>
    <t>Freeze</t>
  </si>
  <si>
    <t>Spring Freeze (April 2007)</t>
  </si>
  <si>
    <t>AL,AR,GA,IA,IL,IN,KS,KY,MO,MS,NC,NE,OH,OK,SC,TN,VA,WV</t>
  </si>
  <si>
    <t>10,11,12,13,14,15,3,4,5,6,7,8,9,National</t>
  </si>
  <si>
    <t>East/South Severe Weather and Flooding (April 2007)</t>
  </si>
  <si>
    <t>Western Wildfires (Summer 2007)</t>
  </si>
  <si>
    <t>Western/Eastern Drought/Heat Wave (Summer-Fall 2007)</t>
  </si>
  <si>
    <t>AK,AZ,CA,CO,CT,DE,FL,GA,HI,ID,MA,MD,ME,MT,NC,NH,NJ,NM,NV,NY,OR,PA,RI,SC,UT,VA,VT,WA,WV,WY</t>
  </si>
  <si>
    <t>1,15,16,17,18,2,3,4,5,6,National</t>
  </si>
  <si>
    <t>Western, Central and Northeast Severe Weather (January 2008)</t>
  </si>
  <si>
    <t>AK,AZ,CA,CO,CT,HI,IA,ID,IL,IN,KS,MA,ME,MI,MN,MO,MT,ND,NE,NH,NJ,NM,NV,NY,OH,OK,OR,PA,RI,SD,TX,UT,VT,WA,WI,WY</t>
  </si>
  <si>
    <t>1,10,11,12,13,14,15,16,17,18,2,3,8,9,National</t>
  </si>
  <si>
    <t>Southeast Tornadoes and Severe Weather (February 2008)</t>
  </si>
  <si>
    <t>Southeast Tornadoes (March 2008)</t>
  </si>
  <si>
    <t>Southern Severe Weather (April 2008)</t>
  </si>
  <si>
    <t>Midwest Tornadoes and Severe Weather (May 2008)</t>
  </si>
  <si>
    <t>Midwest/Mid-Atlantic Severe Weather (June 2008)</t>
  </si>
  <si>
    <t>Midwest Flooding (Summer 2008)</t>
  </si>
  <si>
    <t>Hurricane Dolly (July 2008)</t>
  </si>
  <si>
    <t>TX</t>
  </si>
  <si>
    <t>Hurricane Gustav (September 2008)</t>
  </si>
  <si>
    <t>Hurricane Ike (September 2008)</t>
  </si>
  <si>
    <t>U.S. Wildfires (Fall 2008)</t>
  </si>
  <si>
    <t>U.S. Drought (2008)</t>
  </si>
  <si>
    <t>Southeast/Ohio Valley Severe Weather (February 2009)</t>
  </si>
  <si>
    <t>AL,FL,GA,IL,IN,KY,MO,MS,NC,OH,SC,TN,VA,WV</t>
  </si>
  <si>
    <t>Midwest/Southeast Tornadoes (March 2009)</t>
  </si>
  <si>
    <t>South/Southeast Severe Weather and Tornadoes (April 2009)</t>
  </si>
  <si>
    <t>AL,AR,FL,GA,KY,LA,MS,NC,OK,SC,TN,TX,VA,WV</t>
  </si>
  <si>
    <t>Central Derecho and Tornadoes (May 2009)</t>
  </si>
  <si>
    <t>Midwest, South and East Severe Weather (June 2009)</t>
  </si>
  <si>
    <t>AL,AR,CT,DE,FL,GA,IA,IL,IN,KS,KY,LA,MA,MD,ME,MI,MN,MO,MS,NC,ND,NE,NH,NJ,NY,OH,OK,PA,RI,SC,SD,TN,TX,VA,VT,WI,WV</t>
  </si>
  <si>
    <t>1,10,11,12,13,14,15,2,3,4,5,6,7,8,9,National</t>
  </si>
  <si>
    <t>Colorado Hail Storm (July 2009)</t>
  </si>
  <si>
    <t>Georgia Flooding (September 2009)</t>
  </si>
  <si>
    <t>GA</t>
  </si>
  <si>
    <t>4,5,6,National</t>
  </si>
  <si>
    <t>Western Wildfires (Summer-Fall 2009)</t>
  </si>
  <si>
    <t>Southwest/Great Plains Drought (2009)</t>
  </si>
  <si>
    <t>AZ,CO,KS,MT,ND,NE,NM,NV,OK,SD,TX,UT,WY</t>
  </si>
  <si>
    <t>11,12,13,14,15,16,17,National</t>
  </si>
  <si>
    <t>Northeast Winter Storm (February 2010)</t>
  </si>
  <si>
    <t>Northeast Flooding (March 2010)</t>
  </si>
  <si>
    <t>East/South Flooding and Severe Weather (May 2010)</t>
  </si>
  <si>
    <t>Oklahoma, Kansas, and Texas Tornadoes and Severe Weather (May 2010)</t>
  </si>
  <si>
    <t>KS,OK,TX</t>
  </si>
  <si>
    <t>11,12,13,14,15,National</t>
  </si>
  <si>
    <t>Rockies/Central/East Severe Weather (June 2010)</t>
  </si>
  <si>
    <t>CO,CT,DE,FL,GA,IA,ID,IL,IN,KS,MA,MD,ME,MI,MN,MO,MT,NC,ND,NE,NH,NJ,NY,OH,OK,PA,RI,SC,SD,TX,UT,VA,VT,WI,WV,WY</t>
  </si>
  <si>
    <t>1,10,11,12,13,14,15,16,17,2,3,4,5,6,8,9,National</t>
  </si>
  <si>
    <t>Midwest/Northeast Severe Storms and Flooding (July 2010)</t>
  </si>
  <si>
    <t>CT,IA,IL,IN,KS,MA,ME,MI,MN,MO,ND,NE,NH,NJ,NY,OH,PA,RI,SD,VT,WI</t>
  </si>
  <si>
    <t>1,10,11,12,13,2,3,8,9,National</t>
  </si>
  <si>
    <t>Arizona Severe Weather (October 2010)</t>
  </si>
  <si>
    <t>AZ</t>
  </si>
  <si>
    <t>15,16,17,National</t>
  </si>
  <si>
    <t>Groundhog Day Blizzard (February 2011)</t>
  </si>
  <si>
    <t>Midwest/Southeast Tornadoes and Derecho (April 2011)</t>
  </si>
  <si>
    <t>Southeast/Midwest Tornadoes (April 2011)</t>
  </si>
  <si>
    <t>Midwest/Southeast Tornadoes (April 2011)</t>
  </si>
  <si>
    <t>Ohio Valley Derecho and Southern Tornadoes (April 2011)</t>
  </si>
  <si>
    <t>AL,AR,FL,GA,IL,IN,KY,LA,MO,MS,NC,OH,OK,SC,TN,TX,VA,WV</t>
  </si>
  <si>
    <t>Southeast/Ohio Valley/Midwest Tornadoes (April 2011)</t>
  </si>
  <si>
    <t>Midwest/Southeast Tornadoes (May 2011)</t>
  </si>
  <si>
    <t>Mississippi River flooding (April-May 2011)</t>
  </si>
  <si>
    <t>MS</t>
  </si>
  <si>
    <t>6,7,8,National</t>
  </si>
  <si>
    <t>Midwest/Southeast Tornadoes and Severe Weather (June 2011)</t>
  </si>
  <si>
    <t>Missouri River flooding (May-June 2011)</t>
  </si>
  <si>
    <t>MO</t>
  </si>
  <si>
    <t>11,12,13,National</t>
  </si>
  <si>
    <t>North Central Severe Weather (July 1, 2011)</t>
  </si>
  <si>
    <t>Rockies and Midwest Derecho (July 10-11, 2011)</t>
  </si>
  <si>
    <t>CO,IA,ID,IL,IN,KS,MI,MN,MO,MT,ND,NE,OH,SD,UT,WI,WY</t>
  </si>
  <si>
    <t>10,11,12,13,15,16,17,8,9,National</t>
  </si>
  <si>
    <t>Midwest/Southeast Severe Weather (August 17-18, 2011)</t>
  </si>
  <si>
    <t>Hurricane Irene (August 2011)</t>
  </si>
  <si>
    <t>CT,MA,MD,ME,NC,NH,NJ,NY,VA,VT</t>
  </si>
  <si>
    <t>Southern Plains/Southwest Drought and Heat Wave (Spring-Summer 2011)</t>
  </si>
  <si>
    <t>AL,AR,AZ,CO,FL,GA,KS,KY,LA,MS,MT,NC,ND,NE,NM,NV,OK,SC,SD,TN,TX,UT,VA,WY</t>
  </si>
  <si>
    <t>11,12,13,14,15,16,17,3,4,5,6,7,8,National</t>
  </si>
  <si>
    <t>Tropical Storm Lee (September 2011)</t>
  </si>
  <si>
    <t>LA,NY,PA</t>
  </si>
  <si>
    <t>1,13,14,15,2,3,National</t>
  </si>
  <si>
    <t>Northeastern Winter Storm (October 2011)</t>
  </si>
  <si>
    <t>Texas, New Mexico, Arizona Wildfires (Summer-Fall 2011)</t>
  </si>
  <si>
    <t>AZ,NM,TX</t>
  </si>
  <si>
    <t>13,14,15,16,17,National</t>
  </si>
  <si>
    <t>Southeast/Ohio Valley Tornadoes (March 2012)</t>
  </si>
  <si>
    <t>Texas Tornadoes (April 2012)</t>
  </si>
  <si>
    <t>Midwest Tornadoes (April 2012)</t>
  </si>
  <si>
    <t>Midwest/Ohio Valley Severe Weather (April-May 2012)</t>
  </si>
  <si>
    <t>Southern Plains/Midwest/Northeast Severe Weather (May 2012)</t>
  </si>
  <si>
    <t>AL,AR,CO,CT,FL,GA,IA,IL,IN,KS,KY,LA,MA,ME,MI,MN,MO,MS,MT,NC,ND,NE,NH,NJ,NY,OH,OK,PA,RI,SC,SD,TN,TX,VA,VT,WI,WY</t>
  </si>
  <si>
    <t>1,10,11,12,13,14,15,16,17,2,3,4,5,6,7,8,9,National</t>
  </si>
  <si>
    <t>Rockies/Southwest Severe Weather (June 2012)</t>
  </si>
  <si>
    <t>AZ,CO,ID,MT,NM,NV,TX,UT,WY</t>
  </si>
  <si>
    <t>Plains/East/Northeast Derecho (June-July 2012)</t>
  </si>
  <si>
    <t>CO,CT,DE,FL,GA,KS,MA,MD,ME,MT,NC,ND,NE,NH,NJ,NY,OK,PA,RI,SC,SD,TX,VA,VT,WV,WY</t>
  </si>
  <si>
    <t>1,11,12,13,14,15,16,17,2,3,4,5,6,National</t>
  </si>
  <si>
    <t>Hurricane Isaac (August 2012)</t>
  </si>
  <si>
    <t>LA,MS</t>
  </si>
  <si>
    <t>Hurricane Sandy (October 2012)</t>
  </si>
  <si>
    <t>CT,DE,MA,MD,NH,NJ,NY,OH,PA,RI,VA,WV</t>
  </si>
  <si>
    <t>1,10,11,2,3,4,5,6,8,9,National</t>
  </si>
  <si>
    <t>Western Wildfires (Summer-Fall 2012)</t>
  </si>
  <si>
    <t>U.S. Drought/Heat Wave (2012)</t>
  </si>
  <si>
    <t>Southern Severe Weather (February 2013)</t>
  </si>
  <si>
    <t>Southeast Severe Weather (March 2013)</t>
  </si>
  <si>
    <t>Midwest/Plains Severe Weather (April 2013)</t>
  </si>
  <si>
    <t>Illinois Flooding and Severe Weather (April 2013)</t>
  </si>
  <si>
    <t>IL</t>
  </si>
  <si>
    <t>10,11,8,9,National</t>
  </si>
  <si>
    <t>Midwest/Plains/East Tornadoes (May 2013)</t>
  </si>
  <si>
    <t>CO,CT,DE,FL,GA,IA,IL,IN,KS,MA,MD,ME,MI,MN,MO,MT,NC,ND,NE,NH,NJ,NY,OH,OK,PA,RI,SC,SD,TX,VA,VT,WI,WV,WY</t>
  </si>
  <si>
    <t>Midwest/Plains/Northeast Tornadoes (May 2013)</t>
  </si>
  <si>
    <t>CO,CT,IA,IL,IN,KS,MA,ME,MI,MN,MO,MT,ND,NE,NH,NJ,NY,OH,OK,PA,RI,SD,TX,VT,WI,WY</t>
  </si>
  <si>
    <t>1,10,11,12,13,14,15,16,17,2,3,8,9,National</t>
  </si>
  <si>
    <t>Midwest Severe Weather (August 2013)</t>
  </si>
  <si>
    <t>Colorado Flooding (September 2013)</t>
  </si>
  <si>
    <t>Ohio Valley Tornadoes (November 2013)</t>
  </si>
  <si>
    <t>IL,IN,KY,MO,OH,TN,WV</t>
  </si>
  <si>
    <t>Western/Plains Drought/Heat Wave (Spring-Fall 2013)</t>
  </si>
  <si>
    <t>AK,AZ,CA,CO,HI,ID,KS,MT,ND,NE,NM,NV,OK,OR,SD,TX,UT,WA,WY</t>
  </si>
  <si>
    <t>11,12,13,14,15,16,17,18,National</t>
  </si>
  <si>
    <t>Midwest/Southeast/Northeast Winter Storm (January 2014)</t>
  </si>
  <si>
    <t>AL,CT,FL,GA,IA,IL,IN,KS,KY,MA,ME,MI,MN,MO,MS,NC,ND,NE,NH,NJ,NY,OH,PA,RI,SC,SD,TN,VA,VT,WI,WV</t>
  </si>
  <si>
    <t>1,10,11,12,13,2,3,4,5,6,7,8,9,National</t>
  </si>
  <si>
    <t>Plains Severe Weather (April 2014)</t>
  </si>
  <si>
    <t>CO,KS,MT,ND,NE,OK,SD,TX,WY</t>
  </si>
  <si>
    <t>Central Severe Weather (April 2014)</t>
  </si>
  <si>
    <t>Midwest/Southeast/Northeast Tornadoes and Flooding (April 2014)</t>
  </si>
  <si>
    <t>Center Severe Weather (May 2014)</t>
  </si>
  <si>
    <t>Rockies/Midwest/Eastern Severe Weather (May 2014)</t>
  </si>
  <si>
    <t>CO,CT,DE,FL,GA,IA,ID,IL,IN,KS,MA,MD,ME,MI,MN,MO,MT,NC,ND,NE,NH,NJ,NY,OH,PA,RI,SC,SD,UT,VA,VT,WI,WV,WY</t>
  </si>
  <si>
    <t>1,10,11,12,13,15,16,17,2,3,4,5,6,8,9,National</t>
  </si>
  <si>
    <t>Rockies/Central Plains Severe Weather (June 2014)</t>
  </si>
  <si>
    <t>CO,IA,ID,IL,IN,KS,MI,MN,MO,MT,ND,NE,OH,OK,SD,TX,UT,WI,WY</t>
  </si>
  <si>
    <t>Michigan and Northeast Flooding (August 2014)</t>
  </si>
  <si>
    <t>CT,DE,FL,GA,MA,MD,ME,MI,NC,NH,NJ,NY,PA,RI,SC,VA,VT,WV</t>
  </si>
  <si>
    <t>Rockies/Plains Severe Weather (September 2014)</t>
  </si>
  <si>
    <t>CO,ID,KS,MT,ND,NE,OK,SD,TX,UT,WY</t>
  </si>
  <si>
    <t>Western Drought (2014)</t>
  </si>
  <si>
    <t>Central and Eastern Winter storm, Cold Wave (February 2015)</t>
  </si>
  <si>
    <t>CT,DE,FL,GA,IA,IL,IN,KS,MA,MD,ME,MI,MN,MO,NC,ND,NE,NH,NJ,NY,OH,OK,PA,RI,SC,SD,TX,VA,VT,WI,WV</t>
  </si>
  <si>
    <t>1,10,11,12,13,14,15,2,3,4,5,6,8,9,National</t>
  </si>
  <si>
    <t>Midwest/Ohio Valley Severe Weather (April 2015)</t>
  </si>
  <si>
    <t>South/Southeast Severe Weather (April 2015)</t>
  </si>
  <si>
    <t>South and Southeast Severe Weather (April 2015)</t>
  </si>
  <si>
    <t>Southern Plains Tornadoes (May 2015)</t>
  </si>
  <si>
    <t>AL,AR,CO,FL,GA,KS,KY,LA,MS,MT,NC,ND,NE,OK,SC,SD,TN,TX,VA,WY</t>
  </si>
  <si>
    <t>Texas and Oklahoma Flooding and Severe Weather (May 2015)</t>
  </si>
  <si>
    <t>OK,TX</t>
  </si>
  <si>
    <t>Central and Northeast Severe Weather (June 2015)</t>
  </si>
  <si>
    <t>CT,IA,IL,IN,KS,MA,ME,MI,MN,MO,ND,NE,NH,NJ,NY,OH,OK,PA,RI,SD,TX,VT,WI</t>
  </si>
  <si>
    <t>1,10,11,12,13,14,15,2,3,8,9,National</t>
  </si>
  <si>
    <t>South Carolina and East Coast Flooding (October 2015)</t>
  </si>
  <si>
    <t>Western and Alaskan Wildfires (Summer-Fall 2015)</t>
  </si>
  <si>
    <t>Texas Tornadoes and Midwest Flooding (December 2015)</t>
  </si>
  <si>
    <t>IA,IL,IN,KS,MI,MN,MO,ND,NE,OH,SD,TX,WI</t>
  </si>
  <si>
    <t>Western Drought (2015)</t>
  </si>
  <si>
    <t>Southeast and Eastern Tornadoes (February 2016)</t>
  </si>
  <si>
    <t>AL,CT,DE,FL,GA,KY,MA,MD,ME,MS,NC,NH,NJ,NY,PA,RI,SC,TN,VA,VT,WV</t>
  </si>
  <si>
    <t>1,2,3,4,5,6,7,8,National</t>
  </si>
  <si>
    <t>Texas and Louisiana Flooding (March 2016)</t>
  </si>
  <si>
    <t>Southern Severe Weather (March 2016)</t>
  </si>
  <si>
    <t>North Texas Hail Storm (March 2016)</t>
  </si>
  <si>
    <t>North/Central Texas Hail Storm (April 2016)</t>
  </si>
  <si>
    <t>Houston Flooding (April 2016)</t>
  </si>
  <si>
    <t>South/Southeast Tornadoes (April 2016)</t>
  </si>
  <si>
    <t>Plains Tornadoes and Central Severe Weather (May 2016)</t>
  </si>
  <si>
    <t>Rockies/Central Tornadoes and Severe Weather (May 2016)</t>
  </si>
  <si>
    <t>West Virginia Flooding and Ohio Valley Tornadoes (June 2016)</t>
  </si>
  <si>
    <t>AK,AZ,CA,CO,HI,ID,IL,IN,KY,MO,MT,NM,NV,OH,OR,TN,UT,WA,WV,WY</t>
  </si>
  <si>
    <t>10,11,12,13,15,16,17,18,3,4,5,6,7,8,9,National</t>
  </si>
  <si>
    <t>Rockies and Northeast Severe Weather (July 2016)</t>
  </si>
  <si>
    <t>CO,CT,ID,MA,ME,MT,NH,NJ,NY,PA,RI,UT,VT,WY</t>
  </si>
  <si>
    <t>1,15,16,17,2,3,National</t>
  </si>
  <si>
    <t>Louisiana Flooding (August 2016)</t>
  </si>
  <si>
    <t>Hurricane Matthew (October 2016)</t>
  </si>
  <si>
    <t>Western/Southeast Wildfires (Summer-Fall 2016)</t>
  </si>
  <si>
    <t>AK,AL,AZ,CA,CO,FL,GA,HI,ID,KY,MS,MT,NC,NM,NV,OR,SC,TN,UT,VA,WA,WV,WY</t>
  </si>
  <si>
    <t>15,16,17,18,3,4,5,6,7,8,National</t>
  </si>
  <si>
    <t>West/Northeast/Southeast Drought (2016)</t>
  </si>
  <si>
    <t>AK,AL,AZ,CA,CO,CT,FL,GA,HI,ID,KY,MA,ME,MS,MT,NC,NH,NJ,NM,NV,NY,OR,PA,RI,SC,TN,UT,VA,VT,WA,WV,WY</t>
  </si>
  <si>
    <t>1,15,16,17,18,2,3,4,5,6,7,8,National</t>
  </si>
  <si>
    <t>Southern Tornado Outbreak and Western Storms (January 2017)</t>
  </si>
  <si>
    <t>AK,AL,AR,AZ,CA,CO,FL,GA,HI,ID,KY,LA,MS,MT,NC,NM,NV,OK,OR,SC,TN,TX,UT,VA,WA,WY</t>
  </si>
  <si>
    <t>13,14,15,16,17,18,3,4,5,6,7,8,National</t>
  </si>
  <si>
    <t>California Flooding (February 2017)</t>
  </si>
  <si>
    <t>Central/Southeast Tornado Outbreak (March 2017)</t>
  </si>
  <si>
    <t>AL,FL,GA,IA,IL,IN,KS,KY,MI,MN,MO,MS,NC,ND,NE,OH,OK,SC,SD,TN,TX,VA,WI,WV</t>
  </si>
  <si>
    <t>Midwest Tornado Outbreak (March 2017)</t>
  </si>
  <si>
    <t>Southeast Freeze (March 2017)</t>
  </si>
  <si>
    <t>South/Southeast Severe Weather (March 2017)</t>
  </si>
  <si>
    <t>Southeast Severe Weather and Tornadoes (April 2017)</t>
  </si>
  <si>
    <t>South and Southeast Severe Weather (April 2017)</t>
  </si>
  <si>
    <t>Missouri and Arkansas Flooding and Central Severe Weather (May 2017)</t>
  </si>
  <si>
    <t>AR,IA,IL,IN,KS,MI,MN,MO,ND,NE,OH,OK,SD,TX,WI</t>
  </si>
  <si>
    <t>Colorado Hail Storm and Central Severe Weather (May 2017)</t>
  </si>
  <si>
    <t>CO,IA,IL,IN,KS,MI,MN,MO,ND,NE,OH,OK,SD,TX,WI</t>
  </si>
  <si>
    <t>10,11,12,13,14,15,16,8,9,National</t>
  </si>
  <si>
    <t>North Central Severe Weather and Tornadoes (May 2017)</t>
  </si>
  <si>
    <t>Minnesota Hail Storm and Upper Midwest Severe Weather (June 2017)</t>
  </si>
  <si>
    <t>IA,MI,MN,ND,SD,WI</t>
  </si>
  <si>
    <t>Midwest Severe Weather (June 2017)</t>
  </si>
  <si>
    <t>Hurricane Harvey (August 2017)</t>
  </si>
  <si>
    <t>Hurricane Irma (September 2017)</t>
  </si>
  <si>
    <t>FL,GA,SC</t>
  </si>
  <si>
    <t>Hurricane Maria (September 2017)</t>
  </si>
  <si>
    <t>PR</t>
  </si>
  <si>
    <t>Western Wildfires, California Firestorm (Summer-Fall 2017)</t>
  </si>
  <si>
    <t>North Dakota, South Dakota and Montana Drought (Spring-Fall 2017)</t>
  </si>
  <si>
    <t>MT,ND,SD</t>
  </si>
  <si>
    <t>11,12,13,15,16,National</t>
  </si>
  <si>
    <t>Central and Eastern Winter Storm (January 2018)</t>
  </si>
  <si>
    <t>Northeast Winter Storm (March 2018)</t>
  </si>
  <si>
    <t>Southeastern Tornadoes and Severe Weather (March 2018)</t>
  </si>
  <si>
    <t>Southern and Eastern Tornadoes and Severe Weather (April 2018)</t>
  </si>
  <si>
    <t>Central and Northeast Severe Weather (May 2018)</t>
  </si>
  <si>
    <t>Central and Eastern Severe Weather (May 2018)</t>
  </si>
  <si>
    <t>Texas Hail Storm (June 2018)</t>
  </si>
  <si>
    <t>Colorado Hail Storm (June 2018)</t>
  </si>
  <si>
    <t>Central and Eastern Tornadoes and Severe Weather (July 2018)</t>
  </si>
  <si>
    <t>Mountain West Severe Weather (July 2018)</t>
  </si>
  <si>
    <t>Rockies and Plains Hail Storms (August 2018)</t>
  </si>
  <si>
    <t>Hurricane Florence (September 2018)</t>
  </si>
  <si>
    <t>NC,SC</t>
  </si>
  <si>
    <t>Hurricane Michael (October 2018)</t>
  </si>
  <si>
    <t>AL,FL,GA</t>
  </si>
  <si>
    <t>Southwest/Southern Plains Drought (Summer-Fall 2018)</t>
  </si>
  <si>
    <t>Western Wildfires, California Firestorm (Summer-Fall 2018)</t>
  </si>
  <si>
    <t>Southeast, Ohio Valley and Northeast Severe Weather (February 2019)</t>
  </si>
  <si>
    <t>AL,CT,FL,GA,IL,IN,KY,MA,ME,MO,MS,NC,NH,NJ,NY,OH,PA,RI,SC,TN,VA,VT,WV</t>
  </si>
  <si>
    <t>Texas Hail Storm (March 2019)</t>
  </si>
  <si>
    <t>Missouri River and North Central Flooding (March 2019)</t>
  </si>
  <si>
    <t>Southern and Eastern Tornadoes and Severe Weather (April 2019)</t>
  </si>
  <si>
    <t>South and Southeast Severe Weather (May 2019)</t>
  </si>
  <si>
    <t>Central Severe Weather (May 2019)</t>
  </si>
  <si>
    <t>Rockies, Central and Northeast Tornadoes and Severe Weather (May 2019)</t>
  </si>
  <si>
    <t>CO,CT,IA,ID,IL,IN,KS,MA,ME,MI,MN,MO,MT,ND,NE,NH,NJ,NY,OH,OK,PA,RI,SD,TX,UT,VT,WI,WY</t>
  </si>
  <si>
    <t>Arkansas River Flooding (June 2019)</t>
  </si>
  <si>
    <t>AR</t>
  </si>
  <si>
    <t>Colorado Hail Storms (July 2019)</t>
  </si>
  <si>
    <t>Mississippi River, Midwest and Southern Flooding (July 2019)</t>
  </si>
  <si>
    <t>AL,AR,FL,GA,IA,IL,IN,KS,KY,LA,MI,MN,MO,MS,NC,ND,NE,OH,OK,SC,SD,TN,TX,VA,WI</t>
  </si>
  <si>
    <t>Hurricane Dorian (September 2019)</t>
  </si>
  <si>
    <t>Tropical Storm Imelda (September 2019)</t>
  </si>
  <si>
    <t>Texas Tornadoes and Central Severe Weather (October 2019)</t>
  </si>
  <si>
    <t>California and Alaska Wildfires (Summer-Fall 2019)</t>
  </si>
  <si>
    <t>AK,CA</t>
  </si>
  <si>
    <t>Southeast Tornadoes and Northern Storms and Flooding (January 2020)</t>
  </si>
  <si>
    <t>AL,FL,GA,ID,KY,ME,MI,MN,MS,MT,NC,ND,NH,NY,SC,TN,VA,VT,WA,WI,WV</t>
  </si>
  <si>
    <t>1,10,11,12,13,15,16,17,18,2,3,4,5,6,7,8,9,National</t>
  </si>
  <si>
    <t>South, East and Northeast Severe Weather (February 2020)</t>
  </si>
  <si>
    <t>Tennessee Tornadoes and Southeast Severe Weather (March 2020)</t>
  </si>
  <si>
    <t>Midwest and Ohio Valley Severe Weather (March 2020)</t>
  </si>
  <si>
    <t>North Central and Ohio Valley Hail Storms and Severe Weather (April 2020)</t>
  </si>
  <si>
    <t>Southeast and Eastern Tornado Outbreak (April 2020)</t>
  </si>
  <si>
    <t>Southern Severe Weather (April 2020)</t>
  </si>
  <si>
    <t>Central, Southern and Eastern Severe Weather (April 2020)</t>
  </si>
  <si>
    <t>Central and Eastern Severe Weather (May 2020)</t>
  </si>
  <si>
    <t>South, Central and Eastern Severe Weather (May 2020)</t>
  </si>
  <si>
    <t>South Texas Hail Storms (May 2020)</t>
  </si>
  <si>
    <t>Central Severe Weather (July 2020)</t>
  </si>
  <si>
    <t>Hurricane Hanna (July 2020)</t>
  </si>
  <si>
    <t>Hurricane Isaias (August 2020)</t>
  </si>
  <si>
    <t>CT,FL,MA,NC,NJ,NY,PA,SC</t>
  </si>
  <si>
    <t>Central Severe Weather - Derecho (August 2020)</t>
  </si>
  <si>
    <t>Hurricane Laura (August 2020)</t>
  </si>
  <si>
    <t>Hurricane Sally (September 2020)</t>
  </si>
  <si>
    <t>AL,FL</t>
  </si>
  <si>
    <t>Hurricane Delta (October 2020)</t>
  </si>
  <si>
    <t>Hurricane Zeta (October 2020)</t>
  </si>
  <si>
    <t>AL,GA,LA,MS</t>
  </si>
  <si>
    <t>13,14,15,4,5,6,7,8,National</t>
  </si>
  <si>
    <t>Tropical Storm Eta (November 2020)</t>
  </si>
  <si>
    <t>Western Wildfires - California, Oregon, Washington Firestorms (Fall 2020)</t>
  </si>
  <si>
    <t>Western/Central Drought and Heat Wave (Summer-Fall 2020)</t>
  </si>
  <si>
    <t>California Flooding and Severe Weather (January 2021)</t>
  </si>
  <si>
    <t>Northwest, Central, Eastern Winter Storm and Cold Wave (February 2021)</t>
  </si>
  <si>
    <t>CT,DE,FL,GA,IA,ID,IL,IN,KS,MA,MD,ME,MI,MN,MO,MT,NC,ND,NE,NH,NJ,NY,OH,OK,OR,PA,RI,SC,SD,TX,VA,VT,WA,WI,WV</t>
  </si>
  <si>
    <t>1,10,11,12,13,14,15,16,17,18,2,3,4,5,6,8,9,National</t>
  </si>
  <si>
    <t>Southeast Tornadoes and Severe Weather (March 2021)</t>
  </si>
  <si>
    <t>Eastern Severe Weather (March 2021)</t>
  </si>
  <si>
    <t>Texas Hail Storms (April 2021)</t>
  </si>
  <si>
    <t>Texas and Oklahoma Severe Weather (April 2021)</t>
  </si>
  <si>
    <t>Southern Tornadoes and Southeast Severe Weather (May 2021)</t>
  </si>
  <si>
    <t>Louisiana Flooding (May 2021)</t>
  </si>
  <si>
    <t>Ohio Valley Hail Storms (June 2021)</t>
  </si>
  <si>
    <t>Central Severe Storms (June 2021)</t>
  </si>
  <si>
    <t>Tropical Storm Elsa (July 2021)</t>
  </si>
  <si>
    <t>Central Severe Storms (July 2021)</t>
  </si>
  <si>
    <t>North Central Severe Weather (August 2021)</t>
  </si>
  <si>
    <t>Tropical Storm Fred (August 2021)</t>
  </si>
  <si>
    <t>AL,FL,GA,NC</t>
  </si>
  <si>
    <t>Hurricane Ida (August 2021)</t>
  </si>
  <si>
    <t>CT,LA,MS,NJ,NY,PA</t>
  </si>
  <si>
    <t>1,13,14,15,2,3,6,7,8,National</t>
  </si>
  <si>
    <t>Hurricane Nicholas (September 2021)</t>
  </si>
  <si>
    <t>Southeast, Central Tornado Outbreak (December 2021)</t>
  </si>
  <si>
    <t>Midwest Derecho and Tornado Outbreak (December 2021)</t>
  </si>
  <si>
    <t>Western Wildfires (2021)</t>
  </si>
  <si>
    <t>Western Drought and Heat Wave (2021)</t>
  </si>
  <si>
    <t>Texas Hail Storms (February 2022)</t>
  </si>
  <si>
    <t>Southern Tornado Outbreak (March 2022)</t>
  </si>
  <si>
    <t>Southeast Tornado Outbreak (April 2022)</t>
  </si>
  <si>
    <t>Southern Severe Weather (April 2022)</t>
  </si>
  <si>
    <t>Southern and Central Severe Weather (May 2022)</t>
  </si>
  <si>
    <t>North Central Hail Storms (May 2022)</t>
  </si>
  <si>
    <t>North Central Severe Weather (May 2022)</t>
  </si>
  <si>
    <t>Central Severe Weather (June 2022)</t>
  </si>
  <si>
    <t>Central Derecho (June 2022)</t>
  </si>
  <si>
    <t>North Central and Eastern Severe Weather (July 2022)</t>
  </si>
  <si>
    <t>CT,DE,FL,GA,IA,IL,IN,KS,MA,MD,ME,MI,MN,MO,NC,ND,NE,NH,NJ,NY,OH,PA,RI,SC,SD,VA,VT,WI,WV</t>
  </si>
  <si>
    <t>1,10,11,12,13,2,3,4,5,6,8,9,National</t>
  </si>
  <si>
    <t>Kentucky and Missouri Flooding (July 2022)</t>
  </si>
  <si>
    <t>KY,MO</t>
  </si>
  <si>
    <t>11,12,13,6,7,8,National</t>
  </si>
  <si>
    <t>Hurricane Fiona (September 2022)</t>
  </si>
  <si>
    <t>Hurricane Ian (September 2022)</t>
  </si>
  <si>
    <t>FL,SC</t>
  </si>
  <si>
    <t>Hurricane Nicole (November 2022)</t>
  </si>
  <si>
    <t>Western Wildfires (Spring-Fall 2022)</t>
  </si>
  <si>
    <t>Central and Eastern Winter Storm and Cold Wave (December 2022)</t>
  </si>
  <si>
    <t>Western/Central Drought and Heat Wave (2022)</t>
  </si>
  <si>
    <t>Northeastern Winter Storm/Cold Wave (February 2023)</t>
  </si>
  <si>
    <t>Southern and Eastern Severe Weather (March 2023)</t>
  </si>
  <si>
    <t>California Flooding (December 2022 - March 2023)</t>
  </si>
  <si>
    <t>Southern and Eastern Severe Weather (April 2023)</t>
  </si>
  <si>
    <t>Central Tornado Outbreak and Eastern Severe Weather (March 2023)</t>
  </si>
  <si>
    <t>Central and Eastern Severe Weather (April 2023)</t>
  </si>
  <si>
    <t>Fort Lauderdale Flash Flood (April 2023)</t>
  </si>
  <si>
    <t>Central and Southern Severe Weather (April 2023)</t>
  </si>
  <si>
    <t>Central Severe Weather (April 2023)</t>
  </si>
  <si>
    <t>Southern Severe Weather (April 2023)</t>
  </si>
  <si>
    <t>Central Severe Weather (May 2023)</t>
  </si>
  <si>
    <t>Central and Eastern Tornadoes and Hail Storms (May 2023)</t>
  </si>
  <si>
    <t>Texas Hail Storms (May 2023)</t>
  </si>
  <si>
    <t>Typhoon Mawar (May 2023)</t>
  </si>
  <si>
    <t>GU</t>
  </si>
  <si>
    <t>Southern Severe Weather (June 2023)</t>
  </si>
  <si>
    <t>Central and Southern Severe Weather (June 2023)</t>
  </si>
  <si>
    <t>Rockies Hail Storms and Central and Eastern Severe Weather (June 2023)</t>
  </si>
  <si>
    <t>Central Severe Weather (June 2023)</t>
  </si>
  <si>
    <t>Northeastern Flooding and North Central Severe Weather (July 2023)</t>
  </si>
  <si>
    <t>North Central and Southeastern Severe Weather (July 2023)</t>
  </si>
  <si>
    <t>North Central and Eastern Severe Weather (July 2023)</t>
  </si>
  <si>
    <t>Hawaii Firestorm (August 2023)</t>
  </si>
  <si>
    <t>HI</t>
  </si>
  <si>
    <t>Northeastern and Eastern Severe Weather (August 2023)</t>
  </si>
  <si>
    <t>Minnesota Hail Storms (August 2023)</t>
  </si>
  <si>
    <t>MN</t>
  </si>
  <si>
    <t>Hurricane Idalia (August 2023)</t>
  </si>
  <si>
    <t>Southern Hail Storms (September 2023)</t>
  </si>
  <si>
    <t>Southern/Midwestern Drought and Heatwave (Spring-Fall 2023)</t>
  </si>
  <si>
    <t>East Coast Storm and Flooding (December 2023)</t>
  </si>
  <si>
    <t>Southern Tornado Outbreak and East Coast Storm (January 2024)</t>
  </si>
  <si>
    <t>Northwest Winter Storm (January 2024)</t>
  </si>
  <si>
    <t>ID,MT,OR,WA</t>
  </si>
  <si>
    <t>Central, Southern, Northeastern Winter Storm and Cold Wave (January 2024)</t>
  </si>
  <si>
    <t>AL,AR,CT,FL,GA,IA,IL,IN,KS,KY,LA,MA,ME,MI,MN,MO,MS,NC,ND,NE,NH,NJ,NY,OH,OK,PA,RI,SC,SD,TN,TX,VA,VT,WI</t>
  </si>
  <si>
    <t>Southern Severe Weather (February 2024)</t>
  </si>
  <si>
    <t>Central and Eastern Severe Weather (February 2024)</t>
  </si>
  <si>
    <t>Central and Southern Severe Weather (March 2024)</t>
  </si>
  <si>
    <t>Central Tornado Outbreak and Eastern Severe Weather (April 2024)</t>
  </si>
  <si>
    <t>Southern and Eastern Severe Weather (April 2024)</t>
  </si>
  <si>
    <t>Central and Southern Tornado Outbreak (April 2024)</t>
  </si>
  <si>
    <t>Central, Southern, Southeastern Tornado Outbreak (May 2024)</t>
  </si>
  <si>
    <t>AL,AR,FL,GA,IA,IL,IN,KS,KY,LA,MI,MN,MO,MS,NC,ND,NE,OH,OK,SC,SD,TN,TX,VA,WI,WV</t>
  </si>
  <si>
    <t>Southern Severe Weather (May 2024)</t>
  </si>
  <si>
    <t>Southern Derecho (May 2024)</t>
  </si>
  <si>
    <t>Central, Southern, Eastern Severe Weather (May 2024)</t>
  </si>
  <si>
    <t>Central Tornado Outbreak (May 2024)</t>
  </si>
  <si>
    <t>Texas Hail Storms (May 2024)</t>
  </si>
  <si>
    <t>Colorado Hail Storms and Southern Severe Weather (May 2024)</t>
  </si>
  <si>
    <t>AL,AR,CO,FL,GA,KY,LA,MS,NC,OK,SC,TN,TX,VA</t>
  </si>
  <si>
    <t>13,14,15,16,3,4,5,6,7,8,National</t>
  </si>
  <si>
    <t>Central and Eastern Severe Weather (June 2024)</t>
  </si>
  <si>
    <t>Upper Midwest Flooding (June 2024)</t>
  </si>
  <si>
    <t>Central and Northeast Severe Weather (June 2024)</t>
  </si>
  <si>
    <t>New Mexico Wildfires (June 2024)</t>
  </si>
  <si>
    <t>NM</t>
  </si>
  <si>
    <t>Hurricane Beryl (July 2024)</t>
  </si>
  <si>
    <t>Central and Eastern Tornado Outbreak and Severe Weather (July 2024)</t>
  </si>
  <si>
    <t>Hurricane Debby (August 2024)</t>
  </si>
  <si>
    <t>Hurricane Francine (September 2024)</t>
  </si>
  <si>
    <t>Hurricane Helene (September 2024)</t>
  </si>
  <si>
    <t>FL,GA,NC,SC,TN,VA</t>
  </si>
  <si>
    <t>Hurricane Milton (October 2024)</t>
  </si>
  <si>
    <t>Southern/Eastern/Northwestern Drought and Heat Wave (2024)</t>
  </si>
  <si>
    <t>AL,AR,CT,DE,FL,GA,ID,KY,LA,MA,MD,ME,MS,MT,NC,NH,NJ,NY,OK,OR,PA,RI,SC,TN,TX,VA,VT,WA,WV</t>
  </si>
  <si>
    <t>1,13,14,15,16,17,18,2,3,4,5,6,7,8,National</t>
  </si>
  <si>
    <t>Article #</t>
  </si>
  <si>
    <t>URL</t>
  </si>
  <si>
    <t>Title</t>
  </si>
  <si>
    <t>Snippet</t>
  </si>
  <si>
    <t>Relevance</t>
  </si>
  <si>
    <t>Attribution Index</t>
  </si>
  <si>
    <t>National Newspaper</t>
  </si>
  <si>
    <t>Calibration Sample</t>
  </si>
  <si>
    <t>Full Article Text</t>
  </si>
  <si>
    <t>https://www.nytimes.com/2000/01/24/us/500000-homes-left-dark-by-ice-storm-in-southeast.html</t>
  </si>
  <si>
    <t>500000 Homes Left Dark By Ice Storm in Southeast</t>
  </si>
  <si>
    <t>Jan 24, 2000 ... Winter storm sweeps Southeast, from northeast Georgia to central ... 24, 2000, Section A, Page 12 of the National edition with the ...</t>
  </si>
  <si>
    <t>http://www.cnn.com/2000/US/08/13/wildfires.02/index.html</t>
  </si>
  <si>
    <t>Western wildfires finally lose ground - August 13, 2000 - CNN</t>
  </si>
  <si>
    <t>Aug 13, 2000 ... CNN.com · U.S. News ; Western wildfires finally lose ground. GALLERY. A cheatgrass fire in Nevada moves as fast as the wind will carry it -- ...</t>
  </si>
  <si>
    <t>http://www.cnn.com/2000/US/07/04/colorado.wildfires/index.html</t>
  </si>
  <si>
    <t>Two wildfires burn in Colorado - July 4, 2000 - CNN</t>
  </si>
  <si>
    <t>Jul 4, 2000 ... June 15, 2000. Wildfires rage in western United States June 14, 2000. Firefighters gain hold on Southern California wildfire. June 12, 2000</t>
  </si>
  <si>
    <t>http://www.cnn.com/2000/US/09/12/wildfires.01/index.html</t>
  </si>
  <si>
    <t>West still on wildfire watch - September 12, 2000 - CNN</t>
  </si>
  <si>
    <t>Sep 12, 2000 ... The National Interagency Fire Center reported that several states, mostly in the West, have very high to extreme fire conditions -- Arizona, ...</t>
  </si>
  <si>
    <t>http://www.cnn.com/2000/NATURE/08/18/urban.interface/index.html</t>
  </si>
  <si>
    <t>Western wildfires often battled in the front yard - August 18, 2000</t>
  </si>
  <si>
    <t>Aug 18, 2000 ... As the wildfires continue to burn in Montana's Bitteroot Valley, nearly a quarter of a million acres of the Bitteroot National Forest have ...</t>
  </si>
  <si>
    <t>http://www.cnn.com/2000/US/09/08/wildfires.02/index.html</t>
  </si>
  <si>
    <t>'Good progress' against U.S. wildfires - September 8, 2000 - CNN</t>
  </si>
  <si>
    <t>Sep 8, 2000 ... By Jim Morris CNN.com Senior Writer. GALLERY. Click here for images of the ongoing fight against the wildfires. WEATHER FORECASTS. Idaho</t>
  </si>
  <si>
    <t>https://www.baltimoresun.com/2000/03/14/drought-forecast-in-much-of-us-some-states-face-crisis-md-warned-to-expect-less-rain-than-usual/</t>
  </si>
  <si>
    <t>Drought forecast in much of U.S.; Some states face crisis; Md ...</t>
  </si>
  <si>
    <t>Mar 14, 2000 ... These frequently produce heavy rains in the Northwest, drought in the Southeast and more tropical storms and hurricanes in the Atlantic Ocean.</t>
  </si>
  <si>
    <t>https://www.chron.com/news/houston-texas/article/Tropical-Storm-Allison-takesHouston-Galveston-by-2046653.php</t>
  </si>
  <si>
    <t>Tropical Storm Allison takesHouston, Galveston by surprise - Chron</t>
  </si>
  <si>
    <t>Jun 5, 2001 ... The first named storm of the hurricane season, Tropical Storm Allison ... He is a proud native of South Africa, citizen of the United States and ...</t>
  </si>
  <si>
    <t>https://www.chron.com/life/article/Fresh-news-Tropical-Storm-Allison-dumps-on-city-2048790.php</t>
  </si>
  <si>
    <t>Fresh news: Tropical Storm Allison dumps on city - Chron</t>
  </si>
  <si>
    <t>Jun 14, 2001 ... Tropical Storm Allison broke Houston's heart, but not its spirit. ... None of the hurricanes hit the United States. ... June 14, 2001. Chron ...</t>
  </si>
  <si>
    <t>https://www.nytimes.com/2001/06/11/us/tropical-storm-leaves-16-dead-in-2-gulf-states.html</t>
  </si>
  <si>
    <t>Tropical Storm Leaves 16 Dead In 2 Gulf States - The New York Times</t>
  </si>
  <si>
    <t>Jun 11, 2001 ... ... Tropical Storm Allison, which left 15 people dead and about 10000 ... https://www.nytimes.com/2001/06/11/us/tropical-storm-leaves-16 ...</t>
  </si>
  <si>
    <t>http://www.cnn.com/2002/WEATHER/04/28/storm.deaths/index.html</t>
  </si>
  <si>
    <t>Twisters leave at least 6 dead - April 29, 2002 - CNN</t>
  </si>
  <si>
    <t>Apr 29, 2002 ... The twister system in the Midwest killed three people in three states early Sunday, while three others died in Maryland when a tornado ...</t>
  </si>
  <si>
    <t>http://www.cnn.com/2002/WEATHER/04/29/storm.deaths/index.html</t>
  </si>
  <si>
    <t>Killer tornado becomes one for the books in Maryland - April 29, 2002</t>
  </si>
  <si>
    <t>Violent storms kill at least 6 in 4 states. April 29, 2002 Posted: 11:07 PM EDT (0307 GMT) ... "One of the strongest tornadoes ever to strike the state of ...</t>
  </si>
  <si>
    <t>https://www.nytimes.com/2002/05/07/science/finding-the-what-when-where-and-why-of-the-supertwister.html?eafs_enabled=false</t>
  </si>
  <si>
    <t>Finding the What, When, Where and Why of the Supertwister</t>
  </si>
  <si>
    <t>May 7, 2002 ... Fujita described as merely ''devastating,'' account for 1 percent or so of the 1,000 tornadoes that form in the United States each year.</t>
  </si>
  <si>
    <t>http://www.cnn.com/2002/WEATHER/09/30/lili/index.html</t>
  </si>
  <si>
    <t>Hurricane Lili batters Caymans - Sep. 30, 2002 - CNN</t>
  </si>
  <si>
    <t>Sep 30, 2002 ... Near Kiln, Mississippi, locals are still burning debris and drying carpets after Tropical Storm Isidore. They are keeping a close eye on ...</t>
  </si>
  <si>
    <t>http://www.cnn.com/2002/WEATHER/10/05/lili/</t>
  </si>
  <si>
    <t>Lili damage estimated at $600 million - Oct. 5, 2002 - CNN</t>
  </si>
  <si>
    <t>Oct 5, 2002 ... But Lili, the first hurricane to hit U.S. shores in 2002, could have been far worse. ... Tropical Storm Isidore, which came ashore in almost the ...</t>
  </si>
  <si>
    <t>http://www.cnn.com/2002/WEATHER/10/01/lili/index.html</t>
  </si>
  <si>
    <t>Lili strengthens, aims for U.S. - Oct. 1, 2002 - CNN</t>
  </si>
  <si>
    <t>Oct 2, 2002 ... That would put it about 200 miles west of where Tropical Storm Isidore made landfall a week ago in southeastern Louisiana. Mississippi Gov ...</t>
  </si>
  <si>
    <t>https://www.washingtonpost.com/archive/politics/2002/10/03/500000-ordered-to-flee-as-lili-nears-gulf-coast/858d3b42-aa47-435e-8a0e-ebc69afd9872/</t>
  </si>
  <si>
    <t>500000 Ordered to Flee As Lili Nears Gulf Coast</t>
  </si>
  <si>
    <t>Oct 2, 2002 ... It is potentially far more destructive than last week's Tropical Storm Isidore. Forecasters upgraded Lili to a Category 4 hurricane, the ...</t>
  </si>
  <si>
    <t>https://www.capecodtimes.com/story/news/2002/11/12/deadly-winds/50957526007/</t>
  </si>
  <si>
    <t>Deadly winds - Cape Cod Times</t>
  </si>
  <si>
    <t>Nov 12, 2002 ... Residents of Mossy Grove, Tenn., sift through the wreckage left by a tornado. Savage rash of twisters slices across U.S., killing at least 35 ...</t>
  </si>
  <si>
    <t>https://edition.cnn.com/2002/US/08/30/hln.hot.earth.wildfires/index.html</t>
  </si>
  <si>
    <t>Logging not the answer to wildfires residents say - September 2, 2002</t>
  </si>
  <si>
    <t>Sep 2, 2002 ... All parties agree that seven years of drought in the West have resulted in the worst wildfire season in U.S. history. At issue is what can ...</t>
  </si>
  <si>
    <t>http://www.cnn.com/2002/US/09/01/california.fire/index.html</t>
  </si>
  <si>
    <t>Wildfire threatens holiday weekend campers in California - CNN</t>
  </si>
  <si>
    <t>Sep 1, 2002 ... She advised people in the forest to take State Highway 2 either east toward Wrightwood or west toward Chilao. ... August 30, 2002 • Wind ...</t>
  </si>
  <si>
    <t>https://www.cnn.com/2002/WEATHER/07/22/us.drought/index.html</t>
  </si>
  <si>
    <t>Far-reaching drought chokes much of U.S. - July 22, 2002 - CNN</t>
  </si>
  <si>
    <t>Jul 22, 2002 ... The last major drought in the United States occurred in the late 1980s and had an estimated economic impact of nearly $40 billion. The ...</t>
  </si>
  <si>
    <t>https://www.nytimes.com/2002/03/15/us/drought-leaves-maine-stoic-but-struggling.html</t>
  </si>
  <si>
    <t>Drought Leaves Maine Stoic but Struggling - The New York Times</t>
  </si>
  <si>
    <t>Mar 15, 2002 ... ... us/drought-leaves-maine-stoic-but-struggling.html. Share full article ... Lent, district chief for the United States Geological Survey.</t>
  </si>
  <si>
    <t>http://www.cnn.com/2002/WEATHER/08/14/drought.heat/index.html</t>
  </si>
  <si>
    <t>Drought grips much of U.S. - August 15, 2002 - CNN</t>
  </si>
  <si>
    <t>Aug 15, 2002 ... An extraordinary drought and near-record warm temperatures stretched across the United States in July, the National Oceanic and Atmospheric ...</t>
  </si>
  <si>
    <t>https://www.nytimes.com/2002/08/13/health/most-deadly-of-the-natural-disasters-the-heat-wave.html</t>
  </si>
  <si>
    <t>Most Deadly of the Natural Disasters: The Heat Wave</t>
  </si>
  <si>
    <t>Aug 13, 2002 ... Article on deadliest of natural disasters: heat wave; University of Delaware's Center for Climatic Research reports average of 1500 American ...</t>
  </si>
  <si>
    <t>http://www.cnn.com/2003/WEATHER/05/12/tornadoes/</t>
  </si>
  <si>
    <t>Alabama latest to be declared disaster - May. 12, 2003 - CNN</t>
  </si>
  <si>
    <t>May 12, 2003 ... If those preliminary numbers hold, they would constitute the worst tornado outbreak during a seven-day period in the United States -- in ...</t>
  </si>
  <si>
    <t>http://edition.cnn.com/2003/WEATHER/05/06/tornadoes/index.html</t>
  </si>
  <si>
    <t>Tornado strikes eastern Missouri town - May. 6, 2003 - CNN</t>
  </si>
  <si>
    <t>May 7, 2003 ... ... tornado and this time a small town on the state's eastern edge bore the brunt of the damage it caused. The twister struck "numerous ...</t>
  </si>
  <si>
    <t>http://www.cnn.com/2003/WEATHER/05/08/tornadoes/index.html</t>
  </si>
  <si>
    <t>Tornado hits Oklahoma as storms batter Midwest - May. 8, 2003 - CNN</t>
  </si>
  <si>
    <t>May 8, 2003 ... CNN's Miles O'Brien recaps the storms that have rocked the midwest and southern U.S. premium content. PLAY VIDEO. Pierce City, Missouri, ...</t>
  </si>
  <si>
    <t>http://www.cnn.com/2003/WEATHER/05/09/tornadoes/index.html</t>
  </si>
  <si>
    <t>Flood waters rising as tornado threat persists - May. 9, 2003 - CNN</t>
  </si>
  <si>
    <t>May 9, 2003 ... A state trooper walks past the tornado-damaged offices of the United Auto Workers near the GM plant in Oklahoma City.</t>
  </si>
  <si>
    <t>http://www.cnn.com/2003/WEATHER/05/07/tornadoes/index.html</t>
  </si>
  <si>
    <t>CNN.com - States face new tornado forecast - May. 7, 2003</t>
  </si>
  <si>
    <t>May 7, 2003 ... ... Severe weather continues to threaten the Southern United States. CNN's Aaron Brown reports. (May 7) premium content. PLAY VIDEO. Personal ...</t>
  </si>
  <si>
    <t>https://www.cnn.com/2003/WEATHER/05/05/tornadoes/index.html</t>
  </si>
  <si>
    <t>Death, damage reported in twisters' wake - May. 5, 2003 - CNN</t>
  </si>
  <si>
    <t>May 5, 2003 ... Downed power lines block access to downtown Jackson, Tennessee. Much of the storm damage appeared to be across the Kansas state line in Missouri ...</t>
  </si>
  <si>
    <t>https://www.npr.org/2003/09/18/1435416/hurricane-isabel-makes-u-s-landfall</t>
  </si>
  <si>
    <t>Hurricane Isabel Makes U.S. Landfall - NPR</t>
  </si>
  <si>
    <t>Hurricane Isabel Makes U.S. Landfall. September 18, 200312:00 AM ET. Heard on Day to Day. By. Alex Chadwick. ,. Brian Naylor. Hurricane Isabel Makes U.S. ...</t>
  </si>
  <si>
    <t>https://edition.cnn.com/2003/WEATHER/09/18/isabel.environment/index.html</t>
  </si>
  <si>
    <t>Isabel may save costliest twist for last - Sep. 19, 2003 - CNN</t>
  </si>
  <si>
    <t>Sep 19, 2003 ... Hurricane Isabel promises to be no exception. Although the storm system was not one of the strongest hurricanes as it smashed onto the U.S. ...</t>
  </si>
  <si>
    <t>https://www.nytimes.com/2003/09/19/nyregion/the-hurricane-hits-new-jersey-shore-thousands-lose-power-in-the-south-of-state.html</t>
  </si>
  <si>
    <t>THE HURRICANE HITS: NEW JERSEY SHORE; Thousands Lose ...</t>
  </si>
  <si>
    <t>... Lose Power in the South of State. Share full article. By Iver Peterson. Sept. 19, 2003. Stormy weather in advance of Hurricane Isabel wheeled into the ...</t>
  </si>
  <si>
    <t>https://www.cnn.com/2003/US/West/10/28/california.wildfire/</t>
  </si>
  <si>
    <t>California wildfires burn through 600000 acres - Oct. 29, 2003 - CNN</t>
  </si>
  <si>
    <t>Oct 29, 2003 ... Skip to main content. U.S.. California wildfires burn through 600,000 acres. Wind shift helps and hinders firefighters. Wednesday, October 29 ...</t>
  </si>
  <si>
    <t>http://www.cnn.com/2003/US/West/11/03/california.wildfire/</t>
  </si>
  <si>
    <t>California wildfire victims head back home - Nov. 3, 2003 - CNN</t>
  </si>
  <si>
    <t>Nov 3, 2003 ... How the destructive California wildfires started and grew. premium content. PLAY VIDEO. A family celebrates Halloween in an old airplane hangar.</t>
  </si>
  <si>
    <t>http://www.cnn.com/2003/US/West/11/02/california.wildfire/index.html</t>
  </si>
  <si>
    <t>Firefighters getting major blazes under control - Nov. 3, 2003 - CNN</t>
  </si>
  <si>
    <t>Nov 3, 2003 ... CNN's Miguel Marquez on wildfire evacuees returning home. ... How the destructive California wildfires started and grew. premium ...</t>
  </si>
  <si>
    <t>https://www.washingtonpost.com/archive/politics/2003/11/05/bush-views-wildfire-damage-in-california/09f80fad-425b-4215-8c0e-a5c9c7154a01/</t>
  </si>
  <si>
    <t>Bush Views Wildfire Damage in California - The Washington Post</t>
  </si>
  <si>
    <t>Nov 5, 2003 ... ... California wildfires raged. The two chambers must work out the differences, but the administration has suggested both versions are ...</t>
  </si>
  <si>
    <t>https://www.cnn.com/2003/ALLPOLITICS/11/04/bush.california/index.html</t>
  </si>
  <si>
    <t>Bush tours fire-ravaged Southern California - Nov. 5, 2003 - CNN</t>
  </si>
  <si>
    <t>Nov 5, 2003 ... ... PLAY VIDEO. CNN's Miguel Marquez on wildfire evacuees returning home. premium content. PLAY VIDEO. RELATED. Gallery: Raging California wildfires ...</t>
  </si>
  <si>
    <t>https://www.latimes.com/archives/la-xpm-2003-oct-31-me-main31-story.html</t>
  </si>
  <si>
    <t>Weather Cools Wildfires' Fury - Los Angeles Times</t>
  </si>
  <si>
    <t>Oct 31, 2003 ... Northridge earthquake -- An article in Friday's Section A about the Southern California wildfires gave the wrong date for the Northridge ...</t>
  </si>
  <si>
    <t>http://www.cnn.com/2003/US/West/11/01/california.wildfire/</t>
  </si>
  <si>
    <t>One fire fully contained - Nov. 2, 2003 - CNN</t>
  </si>
  <si>
    <t>Nov 2, 2003 ... ... in the battle to contain wildfires across California. Story Tools. more video VIDEO. How the destructive California wildfires started and grew.</t>
  </si>
  <si>
    <t>https://www.latimes.com/la-mediacenter-2003-1031-story.html</t>
  </si>
  <si>
    <t>Los Angeles Times Responds to Wildfire Devastation</t>
  </si>
  <si>
    <t>Oct 31, 2003 ... LOS ANGELES, October 31, 2003 -- The Los Angeles Times is responding to the devastation wrought by wildfires across Southern California by ...</t>
  </si>
  <si>
    <t>https://www.baltimoresun.com/2003/10/27/blazes-merge-in-california-form-lethal-walls-of-fire/</t>
  </si>
  <si>
    <t>Blazes merge in California, form lethal walls of fire – Baltimore Sun</t>
  </si>
  <si>
    <t>Oct 27, 2003 ... By nightfall, more than 100,000 acres of San Diego County had burned in fires in the northern part of the county and near the U.S.-Mexico border ...</t>
  </si>
  <si>
    <t>https://www.washingtonpost.com/archive/politics/2003/06/22/waging-shrub-warfare-against-a-culprit-in-wests-drought/637993ee-0594-40bb-857b-fa3ef39e4b72/</t>
  </si>
  <si>
    <t>Waging Shrub Warfare Against a Culprit in West's Drought</t>
  </si>
  <si>
    <t>Jun 21, 2003 ... ... in the worst possible place: along the banks of the Colorado River, the prime water source for seven western states. In some parts of the ...</t>
  </si>
  <si>
    <t>https://www.nytimes.com/2004/08/14/us/hurricane-charley-the-overview-hurricane-rips-path-of-damage-across-florida.html</t>
  </si>
  <si>
    <t>THE OVERVIEW; Hurricane Rips Path of Damage Across Florida</t>
  </si>
  <si>
    <t>Aug 14, 2004 ... Hurricane Charley rips into Florida's west coast packing winds of ... Since 2022, 9-year-olds in the United States have made hopeful gains.</t>
  </si>
  <si>
    <t>https://www.nytimes.com/2004/08/15/us/hurricane-charley-president-president-s-response-hurricane-carries-reminders.html</t>
  </si>
  <si>
    <t>President's Response to Hurricane Carries Reminders of Political ...</t>
  </si>
  <si>
    <t>Aug 15, 2004 ... ... Hurricane Charley, the worst storm to hit the United States since Hurricane Andrew. ... 15, 2004, Section 1, Page 24 of the National ...</t>
  </si>
  <si>
    <t>https://www.nytimes.com/2004/08/18/us/hurricane-charley-economics-with-storm-gone-floridians-are-hit-with-price.html</t>
  </si>
  <si>
    <t>HURRICANE CHARLEY: THE ECONOMICS; With Storm Gone ...</t>
  </si>
  <si>
    <t>Aug 18, 2004 ... Correction: August 19, 2004, Thursday A front-page article yesterday about price gouging in the wake of Hurricane Charley in Florida ...</t>
  </si>
  <si>
    <t>https://www.nytimes.com/2004/08/16/us/hurricane-charley-the-overview-florida-assesses-damage-in-wake-of-deadly-storm.html</t>
  </si>
  <si>
    <t>HURRICANE CHARLEY: THE OVERVIEW; FLORIDA ASSESSES ...</t>
  </si>
  <si>
    <t>Aug 16, 2004 ... Two days after Hurricane Charley tore across the state, the death ... 16, 2004, Section A, Page 1 of the National edition with the ...</t>
  </si>
  <si>
    <t>http://www.cnn.com/2004/WEATHER/08/18/charley/</t>
  </si>
  <si>
    <t>Charley-ravaged island reopens - Aug 19, 2004 - CNN</t>
  </si>
  <si>
    <t>Aug 19, 2004 ... ... August 12, when it was evacuated in advance of Hurricane Charley ... United States. Hurricane Andrew, a Category 5 storm in 1992, was the ...</t>
  </si>
  <si>
    <t>https://www.nytimes.com/2004/08/15/us/hurricane-charley-the-overview-florida-digs-out-as-mighty-storm-rips-northward.html</t>
  </si>
  <si>
    <t>HURRICANE CHARLEY: THE OVERVIEW; FLORIDA DIGS OUT AS ...</t>
  </si>
  <si>
    <t>Aug 15, 2004 ... Hurricane Charley -- one of the most powerful storms in the nation's ... 15, 2004, Section 1, Page 1 of the National edition with the ...</t>
  </si>
  <si>
    <t>https://www.recordonline.com/story/news/2004/09/06/frances-carves-its-way-across/51138448007/</t>
  </si>
  <si>
    <t>Frances carves its way across Florida - Times Herald-Record</t>
  </si>
  <si>
    <t>Sep 6, 2004 ... — Hurricane Frances cut a big, soggy path across the heart of ... United States, the hurricane center said. However, the center's map ...</t>
  </si>
  <si>
    <t>https://www.capitalgazette.com/2004/09/09/hurricane-frances-sept-11-2004-coverage/</t>
  </si>
  <si>
    <t>Hurricane Frances — Sept. 11, 2004 coverage – Capital Gazette</t>
  </si>
  <si>
    <t>Sep 9, 2004 ... Read coverage from the print edition of the Orlando Sentinel on Hurricane Frances ... 11, 2004 coverage ... United States' Gunnar Henderson (11) ...</t>
  </si>
  <si>
    <t>https://www.nytimes.com/2004/09/06/us/2nd-hurricane-deepens-wounds-in-stricken-florida.html</t>
  </si>
  <si>
    <t>2nd Hurricane Deepens Wounds in Stricken Florida</t>
  </si>
  <si>
    <t>Sep 6, 2004 ... Hurricane Frances envelopes most of Florida in severe squalls ... 6, 2004, Section A, Page 1 of the National edition with the headline ...</t>
  </si>
  <si>
    <t>https://www.nytimes.com/2004/09/05/us/climate-and-bad-luck-favor-hurricanes-in-florida.html</t>
  </si>
  <si>
    <t>Climate, and Bad Luck, Favor Hurricanes in Florida</t>
  </si>
  <si>
    <t>Sep 5, 2004 ... 5, 2004, Section 1, Page 21 of the National edition with the headline: HURRICANE FRANCES: METEOROLOGY; Florida's Luck Runs Out With 2 Hits ...</t>
  </si>
  <si>
    <t>http://www.cnn.com/2004/TECH/science/09/02/hurricane.science.cnn/</t>
  </si>
  <si>
    <t>More mega-hurricanes loom on horizon - Sep 3, 2004 - CNN</t>
  </si>
  <si>
    <t>Sep 3, 2004 ... As Hurricane Frances bears down on the United States, weather trackers are sounding the alarm. Yet Frances may be first in a series of ...</t>
  </si>
  <si>
    <t>https://www.washingtonpost.com/archive/business/technology/2004/09/17/the-remnants-of-hurricane-ivan/38ee3f32-4b77-4354-8832-8be9bac29730/</t>
  </si>
  <si>
    <t>The remnants of Hurricane Ivan ...</t>
  </si>
  <si>
    <t>Sep 16, 2004 ... The remnants of Hurricane Ivan spawned severe weather across much of the southeastern United States today, unleashing heavy rains, flooding ...</t>
  </si>
  <si>
    <t>https://www.cnn.com/2004/WEATHER/09/14/hurricane.ivan/</t>
  </si>
  <si>
    <t>Gulf Coast residents begin evacuations - Sep 14, 2004 - CNN</t>
  </si>
  <si>
    <t>Hurricane Ivan churning toward U.S. landfall. Wednesday, September 15, 2004 Posted: 12:10 AM EDT (0410 GMT). story.causeway.tues.jpg. Motorists clog the ...</t>
  </si>
  <si>
    <t>https://www.nytimes.com/2004/09/17/us/hurricane-ivans-fury-kills-23-along-the-middle-gulf-coast.html</t>
  </si>
  <si>
    <t>Hurricane Ivan's Fury Kills 23 Along the Middle Gulf Coast</t>
  </si>
  <si>
    <t>Sep 17, 2004 ... Hurricane Ivan carves path of destruction through Southeast; winds ... 17, 2004, Section A, Page 1 of the National edition with the ...</t>
  </si>
  <si>
    <t>https://www.washingtonpost.com/archive/politics/2004/09/16/hurricane-ivan-tears-into-us-gulf-coast/e49b5ad4-bf29-4c4f-ba76-a53d2aec2055/</t>
  </si>
  <si>
    <t>Hurricane Ivan Tears Into U.S. Gulf Coast - The Washington Post</t>
  </si>
  <si>
    <t>Sep 15, 2004 ... Hurricane Ivan Tears Into U.S. Gulf Coast. Storm Expected to Make An Emphatic Landfall Today Near Mobile, Ala. September 15, 2004More than 21 ...</t>
  </si>
  <si>
    <t>https://www.post-gazette.com/frontpage/weather/2004/09/16/ivan-rumbling-ashore/stories/200409160233</t>
  </si>
  <si>
    <t>Ivan rumbling ashore | Pittsburgh Post-Gazette</t>
  </si>
  <si>
    <t>Sep 15, 2004 ... -- Hurricane Ivan's powerful nucleus was expected to finally thunder ... Ivan is the third hurricane to make landfall in the United States in just ...</t>
  </si>
  <si>
    <t>https://www.npr.org/2004/09/16/3921491/hurricane-ivan-hits-alabama-continues-north</t>
  </si>
  <si>
    <t>Hurricane Ivan Hits Alabama, Continues North - NPR</t>
  </si>
  <si>
    <t>Sep 16, 2004 ... NPR's Noah Adams speaks with NPR's Adam Hochberg, reporting from the U.S. Gulf Coast, on the damage caused by Hurricane Ivan. The storm ...</t>
  </si>
  <si>
    <t>https://www.cnn.com/2004/WEATHER/09/16/hurricane.ivan/index.html</t>
  </si>
  <si>
    <t>Ivan's stormy trek floods Southeast - Sep 16, 2004 - CNN</t>
  </si>
  <si>
    <t>Sep 16, 2004 ... Remnants of Hurricane Ivan soaked the Southeast Thursday evening after the storm ... of the storm surge on the barrier islands," Gov. Bush ...</t>
  </si>
  <si>
    <t>http://www.cnn.com/2004/WEATHER/09/26/hurricane.jeanne/</t>
  </si>
  <si>
    <t>Four dead as Jeanne moves through Florida - Sep 26, 2004 - CNN</t>
  </si>
  <si>
    <t>Sep 27, 2004 ... Hurricane Jeanne, downgraded Sunday to a tropical storm, is ... in the United States. (Full story). Dave Bruns, a spokesman for the ...</t>
  </si>
  <si>
    <t>http://www.cnn.com/2004/WEATHER/09/27/hurricane.jeanne/index.html</t>
  </si>
  <si>
    <t>Relief pours in as Jeanne moves north - Sep 27, 2004 - CNN</t>
  </si>
  <si>
    <t>Sep 27, 2004 ... A look back: Four hurricanes slam Florida in the state's worst-ever storm season. ... Scenes of Hurricane Jeanne pounding the Florida coast.</t>
  </si>
  <si>
    <t>https://www.nytimes.com/2004/09/25/politics/campaign/in-florida-the-campaigning-just-has-to-wait.html</t>
  </si>
  <si>
    <t>In Florida, the Campaigning Just Has to Wait - The New York Times</t>
  </si>
  <si>
    <t>Sep 25, 2004 ... As a hurricane warning was posted for Florida's entire eastern seaboard Friday for Hurricane Jeanne and Governor Bush declared the fourth state ...</t>
  </si>
  <si>
    <t>https://www.npr.org/2004/09/27/4048527/hurricane-jeanne-kills-six-millions-without-power</t>
  </si>
  <si>
    <t>Hurricane Jeanne Kills Six, Millions Without Power - NPR</t>
  </si>
  <si>
    <t>Sep 27, 2004 ... Hurricane Jeanne sweeps through much of central Florida, killing six ... Tickets for the opening match of the United States at the World Cup have ...</t>
  </si>
  <si>
    <t>Sep 16, 2004 ... Tropical Storm Jeanne. Hurricane Jeanne lost some of its strength Thursday, after it scraped the northern coast of the Dominican Republic and ...</t>
  </si>
  <si>
    <t>https://www.tuscaloosanews.com/story/news/2005/07/12/state-learning-its-lessons-from-series-of-disasters/27891771007/</t>
  </si>
  <si>
    <t>State learning its lessons from series of disasters</t>
  </si>
  <si>
    <t>July 12, 2005, 12:01 a.m. CT. We're thankful that Hurricane Dennis, which made landfall Sunday on the northern Gulf Coast, didn't carry as a big a stick as ...</t>
  </si>
  <si>
    <t>https://www.npr.org/2005/07/10/4737556/hurricane-dennis-strengthens</t>
  </si>
  <si>
    <t>Hurricane Dennis Strengthens - NPR</t>
  </si>
  <si>
    <t>Jul 10, 2005 ... Hurricane Dennis is moving toward the U.S. coast of the Gulf of Mexico. It remains a Category 4 storm with winds near 145 miles an hour.</t>
  </si>
  <si>
    <t>https://www.npr.org/2005/07/11/4738286/dennis-downgraded-to-tropical-storm</t>
  </si>
  <si>
    <t>Dennis Downgraded to Tropical Storm - NPR</t>
  </si>
  <si>
    <t>Jul 11, 2005 ... As a Category 4 hurricane, Dennis looked destined to become the strongest storm ever to hit the U.S. Gulf Coast.</t>
  </si>
  <si>
    <t>https://www.post-gazette.com/frontpage/weather/2005/07/12/hurricane-leftovers-on-menu-again-for-southwest-pa/stories/200507120190</t>
  </si>
  <si>
    <t>Hurricane leftovers on menu again for Southwest Pa.</t>
  </si>
  <si>
    <t>Jul 11, 2005 ... Hurricane Dennis' crawl across the Midwest could mean more than four days of rain over Pittsburgh and some flash floods, but the storm's.</t>
  </si>
  <si>
    <t>https://www.ocala.com/story/news/2005/07/15/storms-wrath-pressures-black-skimmer-population/31339255007/</t>
  </si>
  <si>
    <t>Storm's wrath pressures black skimmer population</t>
  </si>
  <si>
    <t>July 15, 2005, 12:01 a.m. ET. The storm surge from Hurricane Dennis all but wiped out an entire generation of black skimmers on Florida's Gulf Coast.</t>
  </si>
  <si>
    <t>https://www.npr.org/2005/07/10/4738056/hurricane-dennis-makes-landfall-in-florida</t>
  </si>
  <si>
    <t>Hurricane Dennis Makes Landfall in Florida - NPR</t>
  </si>
  <si>
    <t>Jul 10, 2005 ... Hurricane Dennis was a compact storm. Still, at its strongest, four ... AVERHART: Thank you. Copyright © 2005 NPR. All rights reserved ...</t>
  </si>
  <si>
    <t>https://www.chron.com/news/hurricanes/article/Hurricane-exposes-U-S-energy-s-weakness-1525104.php</t>
  </si>
  <si>
    <t>Hurricane exposes U.S. energy's weakness - Chron</t>
  </si>
  <si>
    <t>Sep 4, 2005 ... ... 2005. WASHINGTON — Hurricane Katrina has exposed the vulnerable flank of the nation's energy sector. ... of the United States," Rothschild said.</t>
  </si>
  <si>
    <t>https://www.nytimes.com/2005/08/30/us/hurricane-katrina-slams-into-gulf-coast-dozens-are-dead.html</t>
  </si>
  <si>
    <t>Hurricane Katrina Slams Into Gulf Coast; Dozens Are Dead</t>
  </si>
  <si>
    <t>Aug 30, 2005 ... Hurricane Katrina pounds Gulf Coast with devastating force, sparing ... The storm was potent enough to rank as one of the most punishing ...</t>
  </si>
  <si>
    <t>https://www.chron.com/news/hurricanes/article/STORM-NEWS-ROUNDUP-1937260.php</t>
  </si>
  <si>
    <t>STORM NEWS ROUNDUP - Chron</t>
  </si>
  <si>
    <t>STORM NEWS ROUNDUP. Sep 1, 2005. ENVIRONMENT. Storm surge broke Camille's record. Hurricane Katrina's storm surge ... in the United States, scientists said ...</t>
  </si>
  <si>
    <t>https://www.chron.com/news/houston-weather/hurricanes/article/VIGNETTES-1525069.php</t>
  </si>
  <si>
    <t>VIGNETTES - Chron</t>
  </si>
  <si>
    <t>Sep 8, 2005 ... Hurricanes &amp; Tropical Storms ... Hurricane Katrina relief efforts. It was a way of repaying a debt to the United States ... Sep 8, 2005. Chron Logo ...</t>
  </si>
  <si>
    <t>https://www.nytimes.com/2005/09/01/us/hurricane-katrina-the-storm-surge-wall-of-water-set-a-record.html</t>
  </si>
  <si>
    <t>HURRICANE KATRINA: THE STORM SURGE; Wall of Water Set a ...</t>
  </si>
  <si>
    <t>Sep 1, 2005 ... Hurricane Katrina's storm surge--wall of water it pushed ashore when it struck Gulf Coast--was highest ever measured in US, estimated at 25 ...</t>
  </si>
  <si>
    <t>https://transcripts.cnn.com/show/acd/date/2005-08-25/segment/01</t>
  </si>
  <si>
    <t>Hurricane Katrina Headed for Florida; Bill ... - Transcripts - CNN</t>
  </si>
  <si>
    <t>Aug 25, 2005 ... Hurricane Katrina, already the 11th named storm of the ... Our coverage of Hurricane Katrina takes us a bit up the coast to CNN's Jason Carroll.</t>
  </si>
  <si>
    <t>https://transcripts.cnn.com/show/le/date/2005-08-28/segment/01</t>
  </si>
  <si>
    <t>CNN.com - Transcripts</t>
  </si>
  <si>
    <t>Interview With Zalmay Khalilzad; Hurricane Katrina Threatens New Orleans. Aired August 28, 2005 - 12:00 ... More now on that very dangerous storm we're following here in the United States, Hurricane Katrina.</t>
  </si>
  <si>
    <t>https://www.nytimes.com/2005/08/15/us/drought-threatens-crops-and-shuts-river-in-midwest.html</t>
  </si>
  <si>
    <t>Drought Threatens Crops and Shuts River in Midwest</t>
  </si>
  <si>
    <t>Aug 15, 2005 ... ... states, with ... 15, 2005, Section A, Page 13 of the National edition with the headline: Midwest Drought Threatens Crops and Closes River.</t>
  </si>
  <si>
    <t>https://www.wsj.com/articles/SB112419807999814393</t>
  </si>
  <si>
    <t>Deere Blames Midwest Drought For Profit Drop, Lower Forecast - WSJ</t>
  </si>
  <si>
    <t>Aug 17, 2005 ... Deere Blames Midwest Drought For Profit Drop, Lower Forecast. By ... states. At the same time, farmers stuck with sickly corn stalks won ...</t>
  </si>
  <si>
    <t>https://www.baltimoresun.com/2005/08/21/serious-drought-affects-economy-across-midwest/</t>
  </si>
  <si>
    <t>Serious drought affects economy across Midwest – Baltimore Sun</t>
  </si>
  <si>
    <t>Aug 21, 2005 ... PUBLISHED: August 21, 2005 ... The price of drought can be counted many ways in sections of the Midwest suffering the worst dry spell since the ...</t>
  </si>
  <si>
    <t>https://www.chron.com/neighborhood/article/Hurricane-Rita-exposes-need-for-individual-9743189.php</t>
  </si>
  <si>
    <t>Hurricane Rita exposes need for individual preparedness - Chron</t>
  </si>
  <si>
    <t>Hurricane Rita exposes need for individual preparedness. By Brandon De Hoyos Oct 4, 2005. Nearly two weeks after the storm made landfall on the East Texas ...</t>
  </si>
  <si>
    <t>https://www.npr.org/2005/09/26/4864048/political-aftermath-of-hurricane-rita</t>
  </si>
  <si>
    <t>Political Aftermath of Hurricane Rita - NPR</t>
  </si>
  <si>
    <t>Sep 26, 2005 ... Political Aftermath of Hurricane Rita. September 26, 200512:00 AM ET ... Tickets for the opening match of the United States at the World Cup have ...</t>
  </si>
  <si>
    <t>https://www.npr.org/2005/09/21/4857885/the-scene-inside-hurricane-rita</t>
  </si>
  <si>
    <t>The Scene Inside Hurricane Rita - NPR</t>
  </si>
  <si>
    <t>Sep 21, 2005 ... The Scene Inside Hurricane Rita As Hurricane Rita barrels into the ... Tickets for the opening match of the United States at the World Cup have ...</t>
  </si>
  <si>
    <t>https://www.npr.org/2005/09/28/4866958/cameron-parish-hit-hard-by-hurricane-rita</t>
  </si>
  <si>
    <t>Cameron Parish Hit Hard by Hurricane Rita - NPR</t>
  </si>
  <si>
    <t>Sep 28, 2005 ... Transcript. Enlarge this image. Cameron Parish, La., flooded in the wake of Hurricane Rita. ... Tickets for the opening match of the United States ...</t>
  </si>
  <si>
    <t>https://www.npr.org/2005/09/20/4856042/hurricane-rita-hits-florida-keys-headed-for-gulf</t>
  </si>
  <si>
    <t>Hurricane Rita Hits Florida Keys, Headed for Gulf - NPR</t>
  </si>
  <si>
    <t>Sep 20, 2005 ... CHADWICK: That's Florida Governor Jeb Bush today speaking to residents in the Florida Keys, where Hurricane Rita is. ... Copyright © 2005 NPR.</t>
  </si>
  <si>
    <t>https://www.npr.org/2005/10/04/4944838/the-true-death-toll-from-hurricane-rita</t>
  </si>
  <si>
    <t>The True Death Toll from Hurricane Rita - NPR</t>
  </si>
  <si>
    <t>Oct 4, 2005 ... MIKE PESCA reporting: A day after Hurricane Rita made landfall at the extreme southeast tip of Texas, that state's governor, Rick Perry, ...</t>
  </si>
  <si>
    <t>https://www.chron.com/news/hurricanes/article/Museums-prepared-for-Hurricane-Rita-1929354.php</t>
  </si>
  <si>
    <t>Museums prepared for Hurricane Rita - Chron</t>
  </si>
  <si>
    <t>By PATRICIA C. JOHNSON, Copyright 2005 Houston Chronicle Sep 21, 2005. As Hurricane Rita whips toward the Gulf Coast, museum personnel ... "I think if there was a major storm surge, our precautions would be ...</t>
  </si>
  <si>
    <t>https://www.chron.com/news/hurricanes/article/2-U-S-oil-reserve-sites-may-shut-for-10-days-1553002.php</t>
  </si>
  <si>
    <t>2 U.S. oil reserve sites may shut for 10 days - Chron</t>
  </si>
  <si>
    <t>Sep 29, 2005 ... Hurricanes &amp; Tropical Storms. 2 U.S. oil ... Hurricane Rita and will not be able to ... Sep 29, 2005. TOM DOGGETT. Chron Logo. Want ...</t>
  </si>
  <si>
    <t>https://www.npr.org/2005/09/24/4862035/hurricane-rita-storms-into-texas-louisiana</t>
  </si>
  <si>
    <t>Hurricane Rita Storms into Texas, Louisiana - NPR</t>
  </si>
  <si>
    <t>Sep 24, 2005 ... The Category 3 storm threatens a wide swath of the two states, but will pass well to the east of Houston ... Hurricane Rita Storms into Texas, ...</t>
  </si>
  <si>
    <t>https://www.nytimes.com/2005/09/23/us/nationalspecial/miles-of-traffic-as-texans-heed-order-to-leave.html</t>
  </si>
  <si>
    <t>Miles of Traffic as Texans Heed Order to Leave - The New York Times</t>
  </si>
  <si>
    <t>Sep 23, 2005 ... ... Hurricane Rita, particularly after the devastation and death caused less than a month ago by Hurricane Katrina. As the day progressed the storm ...</t>
  </si>
  <si>
    <t>https://www.npr.org/2005/10/24/4971075/hurricane-wilma-makes-landfall-in-southwest-florida</t>
  </si>
  <si>
    <t>Hurricane Wilma Makes Landfall in Southwest Florida - NPR</t>
  </si>
  <si>
    <t>Oct 24, 2005 ... NAPLES, Fla. (AP) - Hurricane Wilma plowed into southwest Florida early Monday with howling 125 mph winds and dashed across the state to the ...</t>
  </si>
  <si>
    <t>https://www.nytimes.com/2005/10/24/world/americas/hurricane-wilma-makes-landfall-along-floridas-southwest-coast.html</t>
  </si>
  <si>
    <t>Hurricane Wilma makes landfall along Florida's southwest coast</t>
  </si>
  <si>
    <t>Hurricane Wilma makes landfall along Florida's southwest coast. Share full article. Oct. 24, 2005. KEY WEST, Florida — Hurricane Wilma crashed ashore early ...</t>
  </si>
  <si>
    <t>https://www.npr.org/2005/10/24/4970984/hurricane-wilma-lashes-florida</t>
  </si>
  <si>
    <t>Hurricane Wilma Lashes Florida - NPR</t>
  </si>
  <si>
    <t>Oct 24, 2005 ... Hurricane Wilma has been smashing into Florida for most of this morning. The eye of the storm hovers somewhere near West Palm Beach and it's ...</t>
  </si>
  <si>
    <t>https://www.nytimes.com/2006/04/15/us/iowa-college-town-reeling-in-wake-of-tornado-strikes.html</t>
  </si>
  <si>
    <t>Iowa College Town Reeling in Wake of Tornado Strikes</t>
  </si>
  <si>
    <t>Apr 15, 2006 ... It is tornado season in the Midwest, and while Iowa City is ... A version of this article appears in print on April 15, 2006, Section A ...</t>
  </si>
  <si>
    <t>https://transcripts.cnn.com/show/sitroom?start_fileid=sitroom_2006-04-17_01</t>
  </si>
  <si>
    <t>• Bush Supports Rumsfeld; Mumps Outbreak in Midwestern States ... • Severe Weather Hits Nashville; Bush's ... Iran Offers to Talk to United States About Iraq ...</t>
  </si>
  <si>
    <t>https://transcripts.cnn.com/show/acd?start_fileid=acd_2006-04-24_01</t>
  </si>
  <si>
    <t>• Severe Weather Threatens Country; High School Murder Plot Foiled?; Interview With John Walsh ... • Tornadoes Rock South and Midwest ... United States; Police ...</t>
  </si>
  <si>
    <t>https://www.post-gazette.com/breaking/2006/06/28/flood-threat-triggers-mass-evacuation-in-wilkes-barre-area/stories/200606280173</t>
  </si>
  <si>
    <t>Flood threat triggers mass evacuation in Wilkes-Barre area</t>
  </si>
  <si>
    <t>A dozen lives lost already in Northeast flooding. Mark Scolforo. The Associated Press. Jun 27, 2006. 9:00 PM. WILKES-BARRE, Pa. -- Up to 200,000 people in ...</t>
  </si>
  <si>
    <t>https://www.nytimes.com/2006/06/28/us/28cnd-flood.html</t>
  </si>
  <si>
    <t>Rain Subsides, but Floods Now Threaten Northeast - The New York ...</t>
  </si>
  <si>
    <t>Jun 28, 2006 ... https://www.nytimes.com/2006/06/28/us/28cnd-flood.html. Share ... in the state were impassable because of flooding. Hundreds of roads ...</t>
  </si>
  <si>
    <t>https://www.nytimes.com/2006/06/29/us/29cnd-flood.html</t>
  </si>
  <si>
    <t>Floods Level Off, Leaving Northeast Inundated - The New York Times</t>
  </si>
  <si>
    <t>Jun 29, 2006 ... Today's Paper · U.S.|Floods Level Off, Leaving Northeast Inundated. https://www.nytimes.com/2006/06/29/us/29cnd-flood.html. Share full article.</t>
  </si>
  <si>
    <t>https://www.npr.org/2006/08/03/5614064/western-united-states-braces-for-more-wildfires</t>
  </si>
  <si>
    <t>Western United States Braces for More Wildfires - NPR</t>
  </si>
  <si>
    <t>Aug 3, 2006 ... For NPR News, I'm Kathy Witkowsky in Missoula, Montana. Copyright © 2006 NPR. All rights reserved. Visit our website terms of use and ...</t>
  </si>
  <si>
    <t>https://www.nytimes.com/2006/05/28/us/28fire.html</t>
  </si>
  <si>
    <t>With Illegal Immigrants Fighting Wildfires, West Faces a Dilemma</t>
  </si>
  <si>
    <t>May 28, 2006 ... ... 2006/05/28/us/28fire.html ... A recent report by the inspector general for the United States Forest Service said illegal immigrants had been ...</t>
  </si>
  <si>
    <t>https://www.washingtonpost.com/archive/business/2007/01/20/california-freeze-puts-squeeze-on-citrus-crop-span-classbankheadprices-to-rise-as-cold-curtails-orange-vegetable-harvests-span/edcfcc6e-357a-4233-904d-18badcaccac7/</t>
  </si>
  <si>
    <t>California Freeze Puts Squeeze on Citrus Crop - The Washington Post</t>
  </si>
  <si>
    <t>Jan 20, 2007 ... California Freeze Puts Squeeze on Citrus Crop. Prices to Rise as Cold ... 2007More than 19 years ago. Make us preferred on Google. By Annys Shin.</t>
  </si>
  <si>
    <t>https://www.npr.org/2007/01/17/6893844/california-crops-suffer-deep-freeze</t>
  </si>
  <si>
    <t>California Crops Suffer Deep Freeze - NPR</t>
  </si>
  <si>
    <t>Jan 17, 2007 ... A California farmer and the secretary of the Food and Agriculture Department in the state talk about the history of fruit freezes, and the ...</t>
  </si>
  <si>
    <t>https://www.npr.org/transcripts/6893844</t>
  </si>
  <si>
    <t>Jan 17, 2007 ... NEAL CONAN, host: The cold snap in California is taking its toll on farmers. Much of the state's billion-dollar citrus crop has been ...</t>
  </si>
  <si>
    <t>https://www.redlandsdailyfacts.com/general-news/20070128/the-1913-freeze-the-first-and-the-worst-for-redlands/</t>
  </si>
  <si>
    <t>The 1913 freeze: the first and the worst for Redlands</t>
  </si>
  <si>
    <t>Jan 28, 2007 ... ... California, but it is neither the first nor the worst freeze to hit Redlands ... Killing frost. Fresh north-east winds, diminishing. The forecast ...</t>
  </si>
  <si>
    <t>https://www.chieftain.com/story/news/2007/04/22/two-tornadoes-hit-southeastern-plains/9043081007/</t>
  </si>
  <si>
    <t>Two tornadoes hit Southeastern plains - Pueblo Chieftain</t>
  </si>
  <si>
    <t>Apr 22, 2007 ... LAMAR - Two powerful thunderstorms that produced at least two tornadoes and quarter-sized hail slammed into parts of Southeastern Colorado ...</t>
  </si>
  <si>
    <t>https://www.denverpost.com/2007/04/24/spring-storm-brings-tornadoes-snow-hail-floods-to-colorado/</t>
  </si>
  <si>
    <t>Spring storm brings tornadoes, snow, hail, floods to Colorado</t>
  </si>
  <si>
    <t>Apr 24, 2007 ... ... in the county about 80 miles south of Denver. “It was zero ... of the state's busiest highways, Interstates 25 and 70. A jackknifed ...</t>
  </si>
  <si>
    <t>https://transcripts.cnn.com/show/sitroom/date/2007-04-13/segment/03</t>
  </si>
  <si>
    <t>Apr 13, 2007 ... He took heat for helping steer the United States ... in the Southeast as well as parts of the Eastern Seaboard... ... hail and tornados farther ...</t>
  </si>
  <si>
    <t>https://bendbulletin.com/2007/07/22/oregon-wildfire-update/</t>
  </si>
  <si>
    <t>Oregon wildfire update | The Bulletin</t>
  </si>
  <si>
    <t>Oregon wildfire update. Published 5:00 am Sunday, July 22, 2007. By Staff reports. Oregon ... shifted to other states as fires in the region are controlled.</t>
  </si>
  <si>
    <t>https://www.nytimes.com/2007/07/08/world/americas/08iht-heat.4.6552899.html</t>
  </si>
  <si>
    <t>Wildfires rage amid heat wave in western United States</t>
  </si>
  <si>
    <t>Wildfires rage amid heat wave in western United States. Share full article. July 8, 2007. SALT LAKE CITY, Utah — A scorching heat wave coupled with ...</t>
  </si>
  <si>
    <t>https://www.baltimoresun.com/2007/07/20/maryland-drought-deepens/</t>
  </si>
  <si>
    <t>Maryland drought deepens – Baltimore Sun</t>
  </si>
  <si>
    <t>Jul 20, 2007 ... ... Eastern Shore. The rest of the state – including far western Maryland and the northeast corner (from northern Carrol, across northern ...</t>
  </si>
  <si>
    <t>https://www.baltimoresun.com/2007/07/27/omalley-seeks-us-drought-aid-2/</t>
  </si>
  <si>
    <t>O'Malley seeks U.S. drought aid – Baltimore Sun</t>
  </si>
  <si>
    <t>Jul 27, 2007 ... PUBLISHED: July 27, 2007 at 12:00 ... western Montgomery County have slipped from ... Moderate drought continues in a swath from eastern ...</t>
  </si>
  <si>
    <t>https://www.baltimoresun.com/2007/06/19/amid-drought-southeast-feels-powerful-thirst-2/</t>
  </si>
  <si>
    <t>Amid drought, Southeast feels powerful thirst – Baltimore Sun</t>
  </si>
  <si>
    <t>Jun 19, 2007 ... ... of the United States is in the grip [ ... While much of the West has experienced drought ... Artist renderings of the new White House East ...</t>
  </si>
  <si>
    <t>https://www.baltimoresun.com/2007/10/18/maryland-drought-deepens-usgs/</t>
  </si>
  <si>
    <t>Maryland drought deepens – USGS – Baltimore Sun</t>
  </si>
  <si>
    <t>Oct 18, 2007 ... ... drought affecting the southeastern United States, centered on northern Georgia and western South Carolina. Although declining streamflows ...</t>
  </si>
  <si>
    <t>https://www.baltimoresun.com/2007/09/06/la-nina-coming-with-sw-drought-se-hurricanes/</t>
  </si>
  <si>
    <t>La Nina coming, with SW drought, SE hurricanes – Baltimore Sun</t>
  </si>
  <si>
    <t>Sep 6, 2007 ... That could mean a deepening drought in the southwestern United States ... in the eastern and central Pacific are cooling. The green color in the ...</t>
  </si>
  <si>
    <t>https://transcripts.cnn.com/show/cnr?start_fileid=cnr_2007-07-20_05</t>
  </si>
  <si>
    <t>Jul 20, 2007 ... • U.S. Terror Threat; Vitter Sex Scandal;. July 16, 2007. • ... Heat Wave Hits East Coast • Utah's Biggest ... Heat Wave Continues in Western U.S. ...</t>
  </si>
  <si>
    <t>https://www.nytimes.com/2008/03/16/us/16atlanta.html</t>
  </si>
  <si>
    <t>Tornadoes Tear Through Downtown Atlanta - The New York Times</t>
  </si>
  <si>
    <t>Mar 16, 2008 ... No fatalities had been reported by Saturday morning, but crews were combing through a loft complex in the southeastern part of the city where ...</t>
  </si>
  <si>
    <t>https://transcripts.cnn.com/show/cnr?start_fileid=cnr_2008-03-19_03</t>
  </si>
  <si>
    <t>March 19, 2008 ... • More Coverage of the Presidential Campaigns; More Tornadoes ... • Severe Weather Happening in Parts of Florida; New Unemployment Numbers Out; On the Trail With Chelsea Clinton.</t>
  </si>
  <si>
    <t>https://www.npr.org/2008/05/26/90832126/midwest-suffers-hits-from-deadly-tornadoes</t>
  </si>
  <si>
    <t>Midwest Suffers Hits from Deadly Tornadoes - NPR</t>
  </si>
  <si>
    <t>May 26, 2008 ... Midwest Suffers Hits from Deadly Tornadoes. May 26, 20084:00 PM ET ... Tickets for the opening match of the United States at the World Cup have ...</t>
  </si>
  <si>
    <t>https://www.npr.org/2008/06/09/91303683/severe-weather-hits-the-midwest</t>
  </si>
  <si>
    <t>Severe Weather Hits the Midwest - NPR</t>
  </si>
  <si>
    <t>Jun 9, 2008 ... Severe Weather Hits the Midwest Storms and tornadoes hit the Midwest over the weekend. ... of the Mid-Atlantic states. You can go to npr ...</t>
  </si>
  <si>
    <t>https://www.mprnews.org/story/2008/06/17/bush-to-visit-iowa-flood-site</t>
  </si>
  <si>
    <t>Bush to visit Iowa flood site | MPR News</t>
  </si>
  <si>
    <t>Jun 17, 2008 ... US President George W. Bush speaks during a briefing on U.S. Midwest flooding on June 17, 2008, at the White House in Washington, D.C. More than ...</t>
  </si>
  <si>
    <t>https://www.mprnews.org/story/2008/06/18/midwest-flooding-may-cause-more-levee-overflows</t>
  </si>
  <si>
    <t>Midwest flooding may cause more levee overflows - MPR News</t>
  </si>
  <si>
    <t>Jun 18, 2008 ... Midwest flooding may cause more levee overflows. Go Deeper. Create an ... 2008, in Clarksville, Missouri. Communities along the ...</t>
  </si>
  <si>
    <t>https://www.mprnews.org/story/2008/06/19/100yearflood</t>
  </si>
  <si>
    <t>Major rain events are happening more frequently - MPR News</t>
  </si>
  <si>
    <t>Jun 19, 2008 ... ... states. It seems as if the flooding is as bad as it's ever been, and ... Midwest flooding may cause more levee overflows · Pawlenty seeks ...</t>
  </si>
  <si>
    <t>https://www.startribune.com/midwest-floods-help-push-corn-past-7-mark/19809259</t>
  </si>
  <si>
    <t>Midwest floods help push corn past $7 mark - Star Tribune</t>
  </si>
  <si>
    <t>Jun 11, 2008 ... Concerns about more Midwest flooding pushed corn prices to $7.0325 a ... states and the District of Columbia, the Environmental ...</t>
  </si>
  <si>
    <t>https://www.tuscaloosanews.com/story/news/2008/06/17/helicopter-saves-sandbaggers-from-midwest-flooding/27752290007/</t>
  </si>
  <si>
    <t>Helicopter saves sandbaggers from Midwest flooding</t>
  </si>
  <si>
    <t>Helicopter saves sandbaggers from Midwest flooding. Allen G. Breed AP National Writer. June 17 ... About Us Careers Accessibility Sitemap Legals Our Ethical ...</t>
  </si>
  <si>
    <t>https://www.npr.org/2008/06/23/91791873/midwest-flooding-raises-costs-of-staple-crops</t>
  </si>
  <si>
    <t>Midwest Flooding Raises Costs of Staple Crops - NPR</t>
  </si>
  <si>
    <t>Jun 23, 2008 ... Midwest Flooding Raises Costs of Staple Crops. June 23, 20086:00 AM ... Tickets for the opening match of the United States at the World Cup have ...</t>
  </si>
  <si>
    <t>https://www.npr.org/2008/06/16/91544422/9-feet-over-flood-stage-iowa-river-engulfs-campus</t>
  </si>
  <si>
    <t>9 Feet over Flood Stage, Iowa River Engulfs Campus - NPR</t>
  </si>
  <si>
    <t>Jun 16, 2008 ... Gallery: Midwest Flooding. More on the Flooding. National · Fresh Water ... Players of the United States pose for a team photograph prior to their ...</t>
  </si>
  <si>
    <t>https://www.nytimes.com/2008/06/16/us/16midwest.html</t>
  </si>
  <si>
    <t>In Midwest Floods, a Broad Threat to Crops - The New York Times</t>
  </si>
  <si>
    <t>Jun 16, 2008 ... https://www.nytimes.com/2008/06/16/us/16midwest.html. Share full ... Midwest flooding may lie ahead. Credit...Stephen Mally for The New ...</t>
  </si>
  <si>
    <t>https://www.npr.org/2008/06/23/91791877/mississippi-river-flood-defense-lacks-funding</t>
  </si>
  <si>
    <t>Mississippi River Flood Defense Lacks Funding - NPR</t>
  </si>
  <si>
    <t>Jun 23, 2008 ... After the devastating 1993 floods, a few Midwestern states got ... Midwest Flooding Raises Costs of Staple Crops · National · Author Talks ...</t>
  </si>
  <si>
    <t>https://www.chron.com/news/nation-world/article/Floods-wreak-havoc-throughout-Midwest-1765722.php</t>
  </si>
  <si>
    <t>Floods wreak havoc throughout Midwest - Chron</t>
  </si>
  <si>
    <t>Jun 11, 2008 ... ➕ Make Chron your preferred Google source · News|U.S. &amp; World. Floods wreak havoc throughout Midwest. By Associated Press June 11, 2008.</t>
  </si>
  <si>
    <t>https://www.chron.com/news/nation-world/article/Midwest-flood-takes-a-baseball-star-s-fading-1777610.php</t>
  </si>
  <si>
    <t>Midwest flood takes a baseball star's fading memories - Chron</t>
  </si>
  <si>
    <t>Jun 27, 2008 ... ... regret." June 27, 2008. JIM LITKE. Chron Logo. Want more Chron? Make us a Preferred Source on Google to see more of us when you search.</t>
  </si>
  <si>
    <t>https://www.chron.com/news/nation-world/article/After-the-flood-sandbags-leave-soggy-Midwest-mess-1590944.php</t>
  </si>
  <si>
    <t>After the flood, sandbags leave soggy Midwest mess - Chron</t>
  </si>
  <si>
    <t>Jun 29, 2008 ... News|U.S. &amp; World. After the flood, sandbags leave soggy Midwest mess ... June 29, 2008. JIM SALTER. Chron Logo. Want ... . Informercial star turned ...</t>
  </si>
  <si>
    <t>https://www.chron.com/news/nation-world/article/New-sting-for-flooding-victims-mosquitoes-1755644.php</t>
  </si>
  <si>
    <t>New sting for flooding victims — mosquitoes - Chron</t>
  </si>
  <si>
    <t>Jul 3, 2008 ... Mosquitoes are the latest problem faced by search-and-rescue teams in the Midwest. MATT RYERSON/THE HAWK EYE. CHICAGO — First came the floods — ...</t>
  </si>
  <si>
    <t>https://www.chron.com/news/article/Floods-hammer-Iowa-City-despite-sandbagging-effort-1775066.php</t>
  </si>
  <si>
    <t>Floods hammer Iowa City despite sandbagging effort - Chron</t>
  </si>
  <si>
    <t>Jun 16, 2008 ... The city had no estimate of the number of homes that flooded ... Culver said the southeastern part of the state ... Elsewhere in the Midwest, ...</t>
  </si>
  <si>
    <t>https://www.galesburg.com/story/news/2008/06/18/ghns-illinois-budget-6-18/47785238007/</t>
  </si>
  <si>
    <t>GHNS Illinois Budget (6/18/08) - Galesburg Register Mail</t>
  </si>
  <si>
    <t>Jun 18, 2008 ... Updated June 18, 2008 ... FLOOD FIGHT: The following stories on Illinois flooding will be available this evening. ... By Chris Young of the State ...</t>
  </si>
  <si>
    <t>https://www.npr.org/2008/06/09/91327133/midwest-faces-flooding-deaths-after-rains</t>
  </si>
  <si>
    <t>Midwest Faces Flooding, Deaths After Rains - NPR</t>
  </si>
  <si>
    <t>Jun 9, 2008 ... Flooding continues in parts of the Midwest today. That's after weekend thunderstorms battered communities in Indiana, Wisconsin and other states.</t>
  </si>
  <si>
    <t>https://www.npr.org/2008/06/13/91461350/hour-two-midwest-floods-reach-historic-proportions</t>
  </si>
  <si>
    <t>Hour Two: Midwest Floods Reach 'Historic' Proportions - NPR</t>
  </si>
  <si>
    <t>Jun 13, 2008 ... Secretary MICHAEL CHERTOFF (U.S. Department of Homeland Security): We will work as hard and as efficiently as we can to get everybody stabilized ...</t>
  </si>
  <si>
    <t>https://www.nytimes.com/2008/06/17/us/17Flood.html</t>
  </si>
  <si>
    <t>In Midwest Floods, a Threat to Crops - The New York Times</t>
  </si>
  <si>
    <t>Jun 17, 2008 ... ... to site index. U.S. · Today's Paper · U.S.|In Midwest Floods, a Threat to Crops. https://www.nytimes.com/2008/06/17/us/17Flood.html. Share ...</t>
  </si>
  <si>
    <t>https://www.npr.org/2008/04/18/89750319/flood-experts-say-east-midwest-primed-for-disaster</t>
  </si>
  <si>
    <t>Flood Experts Say East, Midwest Primed for Disaster - NPR</t>
  </si>
  <si>
    <t>Apr 18, 2008 ... The U.S. government's "flood chasers," who study flows of water to improve flood forecasts, are on high alert. Sponsor Message. STEVE INSKEEP, ...</t>
  </si>
  <si>
    <t>https://www.npr.org/2008/06/13/91461313/massive-midwest-floods-reach-historic-proportions</t>
  </si>
  <si>
    <t>Massive Midwest Floods Reach 'Historic' Proportions - NPR</t>
  </si>
  <si>
    <t>Jun 13, 2008 ... Massive Midwest Floods Reach 'Historic' Proportions. June 13, 20087:00 AM ET ... In southwestern parts of the state, flashfloods closed two ...</t>
  </si>
  <si>
    <t>https://www.chron.com/neighborhood/tomball/news/article/NWEMS-deployed-to-San-Antonio-for-hurricane-relief-9400865.php</t>
  </si>
  <si>
    <t>NWEMS deployed to San Antonio for hurricane relief - Chron</t>
  </si>
  <si>
    <t>Jul 23, 2008 ... NWEMS deployed to San Antonio for hurricane relief. By ALLEN JONES July 23, 2008 ... Hurricane Dolly hits South Texas. Northwest ... Want more Chron ...</t>
  </si>
  <si>
    <t>https://www.denverpost.com/2008/07/23/hurricane-dolly-roars-ashore-weakens/</t>
  </si>
  <si>
    <t>Hurricane Dolly roars ashore, weakens - The Denver Post</t>
  </si>
  <si>
    <t>Jul 23, 2008 ... Brownsville Police officers clear debris from a store damaged during Hurricane Dolly, Wednesday, July 23, 2008, in Texas. ... in the heavily ...</t>
  </si>
  <si>
    <t>https://www.deseret.com/2008/7/24/20265592/hurricane-dolly-spares-levees-in-south-texas/</t>
  </si>
  <si>
    <t>Hurricane Dolly spares levees in South Texas - Deseret News</t>
  </si>
  <si>
    <t>Jul 24, 2008 ... U.S. &amp; World. Hurricane Dolly spares levees in South Texas. It weakens to tropical storm as authorities watch for flooding. Published: July 24 ...</t>
  </si>
  <si>
    <t>https://transcripts.cnn.com/show/cnr/date/2008-07-23/segment/06</t>
  </si>
  <si>
    <t>Hurricane Dolly Makes Landfall; One-on-One With LeBron James</t>
  </si>
  <si>
    <t>Jul 23, 2008 ... My friends, when I'm president of the United States, we will come home. ... And Hurricane Dolly has made landfall near the coastal border between ...</t>
  </si>
  <si>
    <t>https://www.washingtonpost.com/archive/national/2008/07/23/hurricane-dolly-lashes-south-texas-coast/4274f79d-45a8-40e2-acb7-262a99a227c9/</t>
  </si>
  <si>
    <t>Hurricane Dolly Lashes South Texas Coast - The Washington Post</t>
  </si>
  <si>
    <t>Hurricane Dolly Lashes South Texas Coast. July 23, 2008More than 17 years ago. Make us preferred on Google. By William Branigin. Hurricane Dolly slammed ...</t>
  </si>
  <si>
    <t>https://transcripts.cnn.com/show/sitroom?start_fileid=sitroom_2008-08-11_01</t>
  </si>
  <si>
    <t>July 23, 2008. • Hurricane Dolly Hits; Obama Visits Israel • Hurricane Dolly Hits Texas; President Bush Caught On Camera and Off-Guard; War Crimes Trial to ...</t>
  </si>
  <si>
    <t>https://www.chron.com/news/hurricanes/article/Southeast-Texas-expecting-high-winds-rain-from-1758355.php</t>
  </si>
  <si>
    <t>Southeast Texas expecting high winds, rain from Gustav tonight</t>
  </si>
  <si>
    <t>Sep 1, 2008 ... Water tops the Industrial Canal flood wall as Hurricane Gustav moves through New Orleans on Monday. Melissa Phillip/Chronicle. Hurricane Gustav ...</t>
  </si>
  <si>
    <t>https://www.chron.com/news/hurricanes/article/Texas-Louisiana-gear-up-for-Hurricane-Ike-s-1545695.php</t>
  </si>
  <si>
    <t>Texas, Louisiana gear up for Hurricane Ike's landfall - Chron</t>
  </si>
  <si>
    <t>Sep 8, 2008 ... By Dale Lezon, DANE SCHILLER, Copyright 2008 Houston Chronicle Sep 8, 2008 ... Hurricane Gustav raked the Gulf Coast ... of the state, Gov. Bobby ...</t>
  </si>
  <si>
    <t>https://www.npr.org/2008/09/08/94379104/cuba-pounded-by-ike-rejects-u-s-aid</t>
  </si>
  <si>
    <t>Cuba Pounded By Ike, Rejects U.S. Aid - NPR</t>
  </si>
  <si>
    <t>Sep 8, 2008 ... Hurricane Gustav pummeled Cuba last week before the storm made landfall in the U.S. ... GJELTEN: Anytime, Michel. Copyright © 2008 NPR. All ...</t>
  </si>
  <si>
    <t>https://www.nytimes.com/2008/09/07/world/americas/cubaforweb.html</t>
  </si>
  <si>
    <t>Cuba Rejects American Offer of Hurricane Aid - The New York Times</t>
  </si>
  <si>
    <t>Sep 6, 2008 ... ... United States to help Cuban victims of Hurricane Gustav would be for it to lift the economic embargo on the island. Cuba said it had its own ...</t>
  </si>
  <si>
    <t>https://www.npr.org/2008/09/01/94171048/hurricane-gustav-storms-past-new-orleans</t>
  </si>
  <si>
    <t>Hurricane Gustav Storms Past New Orleans - NPR</t>
  </si>
  <si>
    <t>Sep 1, 2008 ... Hurricane Gustav, although still powerful, was downgraded to a Category 2 storm ... Protesters hold signs in front the of the Utah State Capitol ...</t>
  </si>
  <si>
    <t>https://www.npr.org/2008/09/01/94174382/hurricane-gustav-makes-landfall</t>
  </si>
  <si>
    <t>Hurricane Gustav Makes Landfall - NPR</t>
  </si>
  <si>
    <t>Sep 1, 2008 ... NPR's Greg Allen offers an on-the-ground report from Louisiana. Hurricane Gustav Storms Past New Orleans ... Players of the United States pose for ...</t>
  </si>
  <si>
    <t>https://www.nytimes.com/2008/09/01/science/earth/01storm.html</t>
  </si>
  <si>
    <t>Air Mass in Atlantic Gives Speed and Power - The New York Times</t>
  </si>
  <si>
    <t>Aug 31, 2008 ... Still in the Atlantic is Tropical Storm Hanna, and its path depends on the same high-pressure ridge that has steered Hurricane Gustav. On ...</t>
  </si>
  <si>
    <t>https://www.nytimes.com/2008/09/08/world/americas/08iht-storm.1.15972964.html</t>
  </si>
  <si>
    <t>Hurricane Ike batters Caribbean islands - The New York Times</t>
  </si>
  <si>
    <t>Sep 8, 2008 ... The total of those killed in Haiti in the recent storms was in the hundreds. In Cuba, where relief efforts from Hurricane Gustav were under way ...</t>
  </si>
  <si>
    <t>https://www.nytimes.com/2008/09/15/us/15ike.html</t>
  </si>
  <si>
    <t>After Powerful Hurricane, Rescuers Scour Ravaged Areas</t>
  </si>
  <si>
    <t>Sep 14, 2008 ... State and federal officials said Hurricane Ike had claimed at least ... of the worst hurricanes to hit the United States. Winds covered ...</t>
  </si>
  <si>
    <t>https://www.npr.org/2008/09/13/94596823/surveying-the-hurricanes-aftermath</t>
  </si>
  <si>
    <t>Surveying The Hurricane's Aftermath - NPR</t>
  </si>
  <si>
    <t>Surveying The Hurricane's Aftermath Houston and Baytown, Texas, were severely damaged by Hurricane Ike. National. Surveying The Hurricane's Aftermath.</t>
  </si>
  <si>
    <t>https://www.chieftain.com/story/news/2008/09/14/rescuers-search-for-victims-hurricane/9031944007/</t>
  </si>
  <si>
    <t>Rescuers search for victims of hurricane</t>
  </si>
  <si>
    <t>Sep 14, 2008 ... ... Hurricane Ike. The storm roared ashore hours ... The storm, which killed more than 80 in the Caribbean before reaching the U.S. ... in the history ...</t>
  </si>
  <si>
    <t>https://www.npr.org/2008/09/16/94658919/texas-livestock-a-casualty-of-hurricane-ike</t>
  </si>
  <si>
    <t>Texas Livestock A Casualty Of Hurricane Ike - NPR</t>
  </si>
  <si>
    <t>Sep 16, 2008 ... Many small towns in Texas have been devastated by Hurricane Ike. The agricultural community of Fannett, Texas, was flattened by the storm.</t>
  </si>
  <si>
    <t>https://www.nytimes.com/2008/09/13/us/13cnd-ike.html</t>
  </si>
  <si>
    <t>Hurricane Damage Extensive in Texas - The New York Times</t>
  </si>
  <si>
    <t>Sep 13, 2008 ... ... of the impact of Hurricane Ike ... of the worst hurricanes to hit the United States. Winds covered the main highway ...</t>
  </si>
  <si>
    <t>https://www.nytimes.com/2008/09/23/science/23islands.html</t>
  </si>
  <si>
    <t>Gulf Coast Islands Rearranged After Hurricane Ike</t>
  </si>
  <si>
    <t>Sep 22, 2008 ... ... Hurricane Ike struck the Gulf Coast, as part of the survey's long-standing effort to track storm damage on the coast. Advertisement. SKIP ...</t>
  </si>
  <si>
    <t>https://www.npr.org/series/94172209/hurricane-season-brings-string-of-storms</t>
  </si>
  <si>
    <t>Hurricane Season Brings String Of Storms - NPR</t>
  </si>
  <si>
    <t>Coast Guard Assesses Damage Along Ike's Path · September 16, 2008 • The U.S. Coast Guard is among the agencies assessing the damage caused by Hurricane Ike.</t>
  </si>
  <si>
    <t>https://www.nytimes.com/2008/06/11/nyregion/11heat.html</t>
  </si>
  <si>
    <t>Records Tumble and Sweaty New Yorkers Grumble as Heat Persists</t>
  </si>
  <si>
    <t>Jun 11, 2008 ... Heat Wave Blankets New York City. 2:02. New Yorkers sweltered in this year's first heat wave as temperatures climbed to 99 degrees in some areas ...</t>
  </si>
  <si>
    <t>https://www.nytimes.com/2008/03/25/business/worldbusiness/25iht-wine.1.11395929.html</t>
  </si>
  <si>
    <t>Drought forces wine makers in Australia to think again - ny times</t>
  </si>
  <si>
    <t>Mar 25, 2008 ... 3 in the United States, after France and Italy. The smaller 2008 vintage, made worse by a record-breaking heat wave that withered grapes on ...</t>
  </si>
  <si>
    <t>https://transcripts.cnn.com/show/cnr/date/2009-03-28/segment/08</t>
  </si>
  <si>
    <t>Severe Weather Across the Country; Floodwaters in North Dakota Rising; More Tornadoes for the Southeast. Aired March 28, 2009 - 11:00 ET. THIS IS A RUSH ...</t>
  </si>
  <si>
    <t>https://transcripts.cnn.com/show/cnr?start_fileid=cnr_2009-04-04_04</t>
  </si>
  <si>
    <t>Apr 4, 2009 ... ... Severe Weather in the U.S. ... March 28, 2009. • Tackling Tuition 101 • Severe Weather Across the Country; Floodwaters in North Dakota Rising; ...</t>
  </si>
  <si>
    <t>https://www.cantonrep.com/story/news/2009/04/11/tornado-kills-2-injures-41/42564446007/</t>
  </si>
  <si>
    <t>Tornado kills 2, injures 41 in central Tenn.</t>
  </si>
  <si>
    <t>Apr 11, 2009 ... ... in the Southeast. Elsewhere, a tornado touched down in southwestern Kentucky, injuring two people and destroying homes. A possible tornado ...</t>
  </si>
  <si>
    <t>https://www.cjonline.com/story/news/local/2009/05/09/shelter-stressed-for-tornado-season/16403298007/</t>
  </si>
  <si>
    <t>Shelter stressed for tornado season</t>
  </si>
  <si>
    <t>May 8, 2009 ... They had no place to go.At least 60 percent of the 57 people killed last year in the deadliest U.S. tornado outbreak in more than two ...</t>
  </si>
  <si>
    <t>https://transcripts.cnn.com/show/cnr?start_fileid=cnr_2009-10-03_08</t>
  </si>
  <si>
    <t>October 03, 2009. • Additional Troops ... Georgia Flooding Victims Find They Needed Flood Insurance ... • United States and European Nations Confront Iran's ...</t>
  </si>
  <si>
    <t>https://bendbulletin.com/2009/07/22/pressure-is-on-to-curb-costs-of-fighting-wildfires/</t>
  </si>
  <si>
    <t>Pressure is on to curb costs of fighting wildfires | The Bulletin</t>
  </si>
  <si>
    <t>Jul 22, 2009 ... Increased firefighting costs have sucked nearly $2 billion since 2002 from other programs administered by the U.S. Forest Service, Jay Jensen, ...</t>
  </si>
  <si>
    <t>https://www.marinij.com/2009/10/13/wildfire-ravaged-areas-prepare-for-storm/amp/</t>
  </si>
  <si>
    <t>Wildfire-ravaged areas prepare for storm – Marin Independent Journal</t>
  </si>
  <si>
    <t>Oct 13, 2009 ... The U.S. Geological Survey recently warned of potentially massive debris flows from the area burned by the late summer Station Fire. Two ...</t>
  </si>
  <si>
    <t>https://www.npr.org/2010/04/01/125441549/new-england-struggles-after-record-flooding</t>
  </si>
  <si>
    <t>New England Struggles After Record Flooding - NPR</t>
  </si>
  <si>
    <t>Apr 1, 2010 ... The flooding ends a month of unprecedented rainfall across the Northeast. ... Tickets for the opening match of the United States at the World Cup ...</t>
  </si>
  <si>
    <t>https://www.nytimes.com/2010/03/31/nyregion/31rain.html</t>
  </si>
  <si>
    <t>Northeast Storm Sets Records, Stops Traffic and Makes Life Miserable</t>
  </si>
  <si>
    <t>Mar 30, 2010 ... March 30, 2010. A wind-driven deluge broke rainfall records across the Northeast on Tuesday, flooding roads and basements almost as quickly ...</t>
  </si>
  <si>
    <t>https://www.nytimes.com/2010/05/05/us/05flood.html</t>
  </si>
  <si>
    <t>Nashville Flooding Eases as Rain-Swollen River Recedes</t>
  </si>
  <si>
    <t>May 4, 2010 ... Powerful thunderstorms across the Southeast over the weekend drenched the region and left at least 24 people dead in Tennessee, Kentucky and ...</t>
  </si>
  <si>
    <t>https://www.nytimes.com/2011/02/02/us/02storm.html</t>
  </si>
  <si>
    <t>Winter Storm Disrupts Air and Road Traffic - The New York Times</t>
  </si>
  <si>
    <t>Feb 1, 2011 ... Winter Storm Disrupts Much of the Country ... In Kansas City, Mo., people spent the day the way people do when trying to decide whether to believe ...</t>
  </si>
  <si>
    <t>https://www.npr.org/2011/02/02/133423901/midwest-buckles-under-monstrous-storm</t>
  </si>
  <si>
    <t>Winter Storm Leaves Midwest, East Paralyzed - NPR</t>
  </si>
  <si>
    <t>Feb 2, 2011 ... ... winter storm covered more than 2,000 miles and 30 states. "We have 122 weather forecast offices across the U.S. And over 50 of our weather ...</t>
  </si>
  <si>
    <t>https://www.thetimes-tribune.com/2011/05/23/mo-tornado-single-deadliest-in-us-since-1950/</t>
  </si>
  <si>
    <t>Mo. tornado single deadliest in US since 1950</t>
  </si>
  <si>
    <t>May 23, 2011 ... The Storm Prediction Center in Norman, Okla., said a repeat could be setting up, with a possible large tornado outbreak in the Midwest on ...</t>
  </si>
  <si>
    <t>https://www.nytimes.com/2011/05/24/us/24tornado.html</t>
  </si>
  <si>
    <t>Deadly Tornado Hits Joplin, Mo. - The New York Times</t>
  </si>
  <si>
    <t>May 23, 2011 ... May 23, 2011. JOPLIN, Mo. — When the warning — “Execute Condition ... Storms in the Midwest and South have killed hundreds of people in ...</t>
  </si>
  <si>
    <t>https://www.npr.org/sections/thetwo-way/2011/05/26/136672541/more-midwest-tornadoes-missing-serbian-war-criminal-reportedly-arrested</t>
  </si>
  <si>
    <t>More Midwest Tornadoes; Missing Serbian War Criminal Reportedly ...</t>
  </si>
  <si>
    <t>May 26, 2011 ... More Midwest Tornadoes; Missing Serbian War Criminal Reportedly Arrested. May 26, 20117:11 AM ET ... storm damage in several regions, most ...</t>
  </si>
  <si>
    <t>https://www.al.com/wire/2011/05/receding_mississippi_river_flo.html</t>
  </si>
  <si>
    <t>Receding Mississippi River floodwaters uncover ruined homes, crops</t>
  </si>
  <si>
    <t>May 24, 2011 ... mississippi-river-flooding-yazoo-city-2011.jpg View full size ... Residents in several states are fretting about where they'll get ...</t>
  </si>
  <si>
    <t>https://www.al.com/wire/2011/05/mississippi_river_greenville_casinos_flooding.html</t>
  </si>
  <si>
    <t>Mississippi River flooding: Greenville casinos plan Tuesday reopening</t>
  </si>
  <si>
    <t>May 27, 2011 ... Mississippi River flooding: Greenville casinos plan Tuesday reopening ... Water still covers U.S. 61 South at the Claiborne County line, where " ...</t>
  </si>
  <si>
    <t>https://www.al.com/wire/2011/05/mississippi_river_flooding_coa.html</t>
  </si>
  <si>
    <t>Mississippi River flooding: Coast Guard halts barge traffic - al.com</t>
  </si>
  <si>
    <t>Mississippi River flooding: Coast Guard halts barge traffic. Updated: May. 17, 2011, 5:11 p.m.; | Published: May. 17, 2011, 4:11 p.m.. Add us on Google.</t>
  </si>
  <si>
    <t>https://www.al.com/wire/2011/05/flooding_from_river_causes_mis.html</t>
  </si>
  <si>
    <t>Flooding from river causes Mississippi man's death - AL.com</t>
  </si>
  <si>
    <t>May 19, 2011 ... Enter zip code or city and state. Set Location. Subscribe. Sign in. Sign ... 2011. Mississippi River flooding is expected on both sides of the ...</t>
  </si>
  <si>
    <t>https://www.al.com/wire/2011/05/louisianas_cajun_country_prepa.html</t>
  </si>
  <si>
    <t>Louisiana's Cajun country prepares for Mississippi River floodwaters</t>
  </si>
  <si>
    <t>May 13, 2011 ... mississippi-river-flooding-louisiana.jpg View full sizeCrops and ... 2011, during a tour of areas that may be affected by flooding if ...</t>
  </si>
  <si>
    <t>https://www.gulflive.com/mississippi-press-news/2011/05/mississippi_river_flooding_vic.html</t>
  </si>
  <si>
    <t>Mississippi River Flooding: Vicksburg company measures depth ...</t>
  </si>
  <si>
    <t>May 21, 2011 ... Mississippi River Flooding: Vicksburg company measures depth, velocity ... 2011. The river crested at 57.1 feet at Vicksburg. (AP Photo/The ...</t>
  </si>
  <si>
    <t>https://www.nytimes.com/2011/05/18/us/18river.html</t>
  </si>
  <si>
    <t>Even Before Mississippi River Flooding Is Done, Its Toll Mounts</t>
  </si>
  <si>
    <t>May 17, 2011 ... Economists are only just beginning to assess the potential headwinds of the Mississippi River flooding. ... United States cropland, according to ...</t>
  </si>
  <si>
    <t>https://www.npr.org/2011/05/10/136133888/mississippi-river-could-crest-in-hours-at-memphis</t>
  </si>
  <si>
    <t>Memphis Landmarks Spared From Mississippi River Flooding - NPR</t>
  </si>
  <si>
    <t>May 9, 2011 ... Mississippi River Flooding. Mississippi Flodding. Source: NOAA. Credit ... Tickets for the opening match of the United States at the World Cup ...</t>
  </si>
  <si>
    <t>https://www.npr.org/2011/06/02/136896445/midwest-towns-farmers-brace-for-summer-floods</t>
  </si>
  <si>
    <t>Midwest Towns, Farmers Brace For Summer Floods - NPR</t>
  </si>
  <si>
    <t>Jun 2, 2011 ... Taken together with the Mississippi River flooding, government ... Large portions of the state have been inundated, including the city ...</t>
  </si>
  <si>
    <t>https://www.npr.org/sections/thetwo-way/2011/05/20/136490620/flooding-crests-in-vicksburg-u-s-diplomats-attacked-in-pakistan</t>
  </si>
  <si>
    <t>Flooding Crests In Vicksburg; U.S. Diplomats Attacked In Pakistan</t>
  </si>
  <si>
    <t>May 20, 2011 ... ... 2011. Scott Olson/Getty Images hide caption. toggle caption. Scott ... Mississippi River flooding · Fukushima Dai-Ichi nuclear power plant ...</t>
  </si>
  <si>
    <t>https://www.npr.org/2011/05/12/136230360/unease-in-the-miss-delta-as-floodwaters-spread</t>
  </si>
  <si>
    <t>Anxious Mississippi Delta Watches Flooding Spread - NPR</t>
  </si>
  <si>
    <t>May 12, 2011 ... Mississippi River Flooding. Mississippi Flodding. Source: NOAA. Credit ... Tickets for the opening match of the United States at the World Cup ...</t>
  </si>
  <si>
    <t>https://www.cjonline.com/story/news/politics/state/2011/06/17/survey-rural-bankers-worried-about-flood-effects/16465115007/</t>
  </si>
  <si>
    <t>Survey: Rural bankers worried about flood effects</t>
  </si>
  <si>
    <t>Jun 16, 2011 ... ... of the Monument for Labor by Matthew J. OMAHA, Neb. — Rural bankers in 10 Midwest and Plains states worry that Missouri River flooding will ...</t>
  </si>
  <si>
    <t>https://journalstar.com/news/state-and-regional/nebraska/collection_52484b33-e9a9-553c-9ac3-0d69640af888.html</t>
  </si>
  <si>
    <t>Gallery: Nebraska Flooding - Lincoln Journal Star</t>
  </si>
  <si>
    <t>Missouri River flooding June 15, 2011. Missouri River flooding June 15, 2011 ... Missouri river flooding forced residents from Big lake earlier in the week.</t>
  </si>
  <si>
    <t>https://siouxcityjournal.com/news/local/collection_18db1dcb-e5b4-5a37-a687-149dd26c0f6c.html</t>
  </si>
  <si>
    <t>Tuesday aerial photos of Missouri River flooding - Sioux City Journal</t>
  </si>
  <si>
    <t>... Missouri River flooding is shown in an aerial photograph on June 7, 2011. ... United States of America, US Virgin Islands, United States Minor Outlying ...</t>
  </si>
  <si>
    <t>https://www.twincities.com/2011/06/28/missouri-river-flood-disrupts-amtrak-service-between-st-paul-montana-city/</t>
  </si>
  <si>
    <t>Missouri River flood disrupts Amtrak service between St. Paul ...</t>
  </si>
  <si>
    <t>Jun 28, 2011 ... ... 2011 at 11:01 PM ... Amtrak also says Missouri River flooding will temporarily disrupt its California Zephyr service today and Thursday.</t>
  </si>
  <si>
    <t>https://www.twincities.com/2011/06/29/two-amtrak-routes-disrupted-by-floods/</t>
  </si>
  <si>
    <t>Two Amtrak routes disrupted by floods – Twin Cities - Pioneer Press</t>
  </si>
  <si>
    <t>Jun 29, 2011 ... ... 2011 at 11:01 PM CDT | UPDATED ... Amtrak also said Missouri River flooding will temporarily disrupt its California Zephyr service today.</t>
  </si>
  <si>
    <t>https://www.washingtonpost.com/national/souris-river-flooding-forces-thousands-of-minot-north-dakota-residents-to-evacuate/2011/06/23/AGlPikhH_story.html</t>
  </si>
  <si>
    <t>Souris river flooding forces thousands of Minot, North Dakota ...</t>
  </si>
  <si>
    <t>Jun 23, 2011 ... From the Mississippi River to the Missouri, river flooding has been relentless in 2011. ... in the town. As AP explained: Plastic sheeting ...</t>
  </si>
  <si>
    <t>https://www.npr.org/2011/06/03/136909458/s-d-flood-waters-will-raise-when-corps-opens-dams</t>
  </si>
  <si>
    <t>S.D. Floodwaters Will Rise When Corps Opens Dams - NPR</t>
  </si>
  <si>
    <t>Jun 3, 2011 ... ... Missouri River flooding Doug Dreyer/AP hide caption. toggle caption. Doug Dreyer/AP. Water pools in the street in front of sandbagged homes in ...</t>
  </si>
  <si>
    <t>https://www.cjonline.com/story/news/politics/state/2011/06/28/flooding-closes-roads-bridges-near-missouri-river/16464070007/</t>
  </si>
  <si>
    <t>Flooding closes roads, bridges near Missouri River</t>
  </si>
  <si>
    <t>Flooding closes roads, bridges near Missouri River ... The water has forced the closing of portions of Interstate 29 and US-136 and US-159 highways. "A ...</t>
  </si>
  <si>
    <t>https://bismarcktribune.com/news/state-and-regional/as-missouri-river-enters-flood-stage-officials-confident-levees-will-hold/article_160d4bba-8d71-11e0-a92e-001cc4c03286.html</t>
  </si>
  <si>
    <t>As Missouri River enters flood stage, officials confident levees will hold</t>
  </si>
  <si>
    <t>Jun 3, 2011 ... United States of America, US Virgin Islands, United States Minor Outlying Islands, Canada, Mexico, United Mexican States, Bahamas, Commonwealth ...</t>
  </si>
  <si>
    <t>https://www.fultonsun.com/news/2011/jun/21/corps-may-dump-more-water-rains-create-flooding-ha/</t>
  </si>
  <si>
    <t>Corps may dump more water - rains create flooding hazards on ...</t>
  </si>
  <si>
    <t>Jun 21, 2011 ... Corps may dump more water - rains create flooding hazards on Missouri River. June 21, 2011 | Updated June 21, 2011 ... Add a lot of rain in the ...</t>
  </si>
  <si>
    <t>https://www.grandforksherald.com/newsmd/bismarck-mandan-ready-for-higher-missouri</t>
  </si>
  <si>
    <t>Bismarck-Mandan ready for higher Missouri - Grand Forks Herald ...</t>
  </si>
  <si>
    <t>Jun 1, 2011 ... BISMARCK -- Flood operations in the Bismarck ... The North Dakota State University ... 2011 FLOODBISMARCK. What To Read Next. An ...</t>
  </si>
  <si>
    <t>https://www.grandforksherald.com/newsmd/minot-flood-river-to-remain-high-minot-issues-boil-order-for-drinking-water</t>
  </si>
  <si>
    <t>MINOT FLOOD: River to remain high; Minot issues 'boil' order for ...</t>
  </si>
  <si>
    <t>Jun 25, 2011 ... ... of the Broadway bridge in Minot, ND on June 25, 2011. ... flooding on the Missouri ... It's true that the United States did pay for part of the ...</t>
  </si>
  <si>
    <t>https://www.twincities.com/2011/05/02/demolition-of-missouri-levee-eases-mississippi-river-flood-threat-to-illinois-town/</t>
  </si>
  <si>
    <t>Demolition of Missouri levee eases Mississippi River flood threat to ...</t>
  </si>
  <si>
    <t>May 2, 2011 ... ... Part of the 130,000 acres of farmland flooded by an intentional break in the Birds Point levee is seen Tuesday, May 3, 2011 ...</t>
  </si>
  <si>
    <t>https://www.nytimes.com/2011/07/31/us/31flood.html</t>
  </si>
  <si>
    <t>In the Flood Zone, but Astonished by High Water</t>
  </si>
  <si>
    <t>Jul 30, 2011 ... But when he left office this year, he moved into a house in Pierre, the state capital, right on the Missouri River. He was forced to ...</t>
  </si>
  <si>
    <t>https://www.npr.org/2011/05/09/136056393/army-corps-makes-tough-calls-with-floods</t>
  </si>
  <si>
    <t>Army Corps Makes Tough Calls With Floods - NPR</t>
  </si>
  <si>
    <t>May 9, 2011 ... The decision last week by the U.S. Army Corps of Engineers to blast a levee in southeast Missouri has drawn criticism.</t>
  </si>
  <si>
    <t>https://www.nytimes.com/2011/07/24/us/24missouri.html</t>
  </si>
  <si>
    <t>After Floods, Debate Over Missouri River Rolls On</t>
  </si>
  <si>
    <t>Jul 23, 2011 ... https://www.nytimes.com/2011/07/24/us/24missouri.html. Share full ... Floods, Debate Over Mission Of the Missouri Rolls On. Order ...</t>
  </si>
  <si>
    <t>https://www.nytimes.com/2011/05/04/us/04insure.html</t>
  </si>
  <si>
    <t>Flooded Farmers in Missouri Worry About Insurance</t>
  </si>
  <si>
    <t>May 3, 2011 ... https://www.nytimes.com/2011/05/04/us/04insure.html. Share full ... in the Birds Point levee Tuesday in southeast Missouri.Credit...Jeff ...</t>
  </si>
  <si>
    <t>https://www.nytimes.com/2011/05/04/us/04flood.html</t>
  </si>
  <si>
    <t>A Mississippi Levee Breached, and New Flood Worries Downstream</t>
  </si>
  <si>
    <t>May 3, 2011 ... https://www.nytimes.com/2011/05/04/us/04flood.html. Share full ... Demolition of Levee Floods Missouri Farmland. 8 Photos. View Slide Show ...</t>
  </si>
  <si>
    <t>https://www.blufftontoday.com/story/news/2011/08/26/coastal-south-carolina-residents-prepared-hurricane-survey-shows/14055190007/</t>
  </si>
  <si>
    <t>Coastal South Carolina residents prepared for hurricane, survey ...</t>
  </si>
  <si>
    <t>Aug 26, 2011 ... 26, 2011, 12:25 p.m. ET. CHARLESTON -With Hurricane Irene upon us, residents along the state's coast say they are prepared for this hurricane ...</t>
  </si>
  <si>
    <t>https://www.al.com/montgomery-web/2011/08/irene_claims_first_lives_6500_us_troops_on_alert_1.html</t>
  </si>
  <si>
    <t>Irene claims first lives; 6,500 US troops on alert - al.com</t>
  </si>
  <si>
    <t>Irene claims first lives; 6,500 US troops on alert. Published: Aug. 27, 2011, 5:11 p.m.. Slow-moving Hurricane Irene has taken three lives since making landfall in North Carolina on Saturday morning.</t>
  </si>
  <si>
    <t>https://www.nytimes.com/2011/08/27/nyregion/new-york-city-begins-evacuations-before-hurricane.html</t>
  </si>
  <si>
    <t>Evacuations Ordered in New York as Hurricane Irene Nears</t>
  </si>
  <si>
    <t>Aug 26, 2011 ... The naval submarine base in Groton, Conn., sent four submarines out to ride out the storm deep in the Atlantic Ocean. Hurricane Irene Nears ...</t>
  </si>
  <si>
    <t>https://www.npr.org/sections/thetwo-way/2011/08/27/139988795/irene-starts-bashing-east-coast</t>
  </si>
  <si>
    <t>Hurricane Irene Bashes East Coast After Landfall; Heads To New York</t>
  </si>
  <si>
    <t>Aug 27, 2011 ... Hurricane Irene, one of the largest and potentially most damaging storms to hit the East Coast of the United States in decades, is pounding ...</t>
  </si>
  <si>
    <t>https://cityroom.blogs.nytimes.com/2011/08/27/hurricane-irene-what-you-need-to-know-in-new-york/</t>
  </si>
  <si>
    <t>Hurricane Irene: What You Need to Know in New York</t>
  </si>
  <si>
    <t>Aug 27, 2011 ... 2:29 p.m. Sunday | Updated Most of New York City's agencies shut down service in anticipation of Hurricane Irene. ... United States August 27, ...</t>
  </si>
  <si>
    <t>https://www.nytimes.com/2011/08/30/us/30inland.html</t>
  </si>
  <si>
    <t>Hurricane Irene Hit Hardest in Mountains of New York and Vermont</t>
  </si>
  <si>
    <t>Aug 29, 2011 ... Aug. 29, 2011. In the end, the storm made more waves in the mountains than it did along the shore. Before Hurricane Irene's arrival, there ...</t>
  </si>
  <si>
    <t>https://www.capecodtimes.com/story/news/2011/08/28/hurricane-irene-eye-on-storm/49921110007/</t>
  </si>
  <si>
    <t>Hurricane Irene: Eye on the storm - Cape Cod Times</t>
  </si>
  <si>
    <t>Hurricane Irene: Eye on the storm. Staff Writer. Cape Cod Times ... The state police are deploying four amphibious vehicles across the state, including southeastern Massachusetts.</t>
  </si>
  <si>
    <t>https://www.recordonline.com/story/news/2011/08/30/region-left-awash-by-hurricane/49919305007/</t>
  </si>
  <si>
    <t>Region left awash by Hurricane Irene - Times Herald-Record</t>
  </si>
  <si>
    <t>Aug 30, 2011 ... 30, 2011, 2:00 a.m. ET. Downtown Warwick along South Street remained flooded Monday, a day after Hurricane Irene came ashore. Hurricane Irene ...</t>
  </si>
  <si>
    <t>https://www.al.com/wire/2011/08/irene_a_bit_weaker_begins_its.html</t>
  </si>
  <si>
    <t>Hurricane Irene drenching Atlantic coast - AL.com</t>
  </si>
  <si>
    <t>Aug 28, 2011 ... NEW YORK — A weakened but still dangerous Hurricane Irene shut down ... Irene was the first hurricane to make landfall in the continental United ...</t>
  </si>
  <si>
    <t>https://www.npr.org/sections/thetwo-way/2011/08/28/140015402/irene-makes-second-landfall-pounds-new-york-city</t>
  </si>
  <si>
    <t>Though Worst Of Irene Over, Flooding Still A Concern - NPR</t>
  </si>
  <si>
    <t>Aug 28, 2011 ... Hurricane Irene Storm Tracker ... Irene first made U.S. landfall on Saturday morning in North Carolina's Outer Banks. Through the day and night it ...</t>
  </si>
  <si>
    <t>https://www.startribune.com/southern-plains-drought-worsens/119865334</t>
  </si>
  <si>
    <t>Southern Plains Drought Worsens - Star Tribune</t>
  </si>
  <si>
    <t>Apr 14, 2011 ... ... drought conditions in portions of the Southwest andsouthern Plains through the weekend.Exceptional to extreme drought continues to expand ...</t>
  </si>
  <si>
    <t>https://www.nytimes.com/2011/07/12/us/12drought.html</t>
  </si>
  <si>
    <t>Drought Spreads Pain From Florida to Arizona - The New York Times</t>
  </si>
  <si>
    <t>Jul 11, 2011 ... In Texas, where the drought is the worst, virtually no part of the state ... That, too, dried a broad part of the southern tier of states into ...</t>
  </si>
  <si>
    <t>https://www.denverpost.com/2011/09/03/extreme-weather-toppling-u-s-records-in-2011/</t>
  </si>
  <si>
    <t>Extreme weather toppling U.S. records in 2011 - The Denver Post</t>
  </si>
  <si>
    <t>Sep 3, 2011 ... Drought and heat wave continues in Texas, Oklahoma and neighboring states. Damage has passed the $5 billion mark. • Tornadoes in the Midwest ...</t>
  </si>
  <si>
    <t>https://www.adn.com/alaska-news/article/while-it-sizzled-down-south-alaska-remained-soggy-and-lukewarm/2011/09/12/</t>
  </si>
  <si>
    <t>While it sizzled down south, Alaska remained soggy and lukewarm</t>
  </si>
  <si>
    <t>Sep 12, 2011 ... The heat wave continued to prolong a terrible drought in Texas ... Alaska climateNation-WorldAlaska weather2011 Texas wildfiresTexas droughtsummer ...</t>
  </si>
  <si>
    <t>https://www.npr.org/2011/08/05/138618976/massive-heat-wave-could-cause-corn-prices-to-pop</t>
  </si>
  <si>
    <t>Massive Heat Wave Could Cause Corn Prices To Pop : NPR</t>
  </si>
  <si>
    <t>Jul 22, 2011 ... ... drought and heat wave, said Alexander. A drought that began last year has hammered the wheat-producing states of Kansas, Oklahoma and Texas ...</t>
  </si>
  <si>
    <t>https://www.nhregister.com/news/article/Connecticut-power-outages-rise-again-as-remnants-11565866.php</t>
  </si>
  <si>
    <t>Connecticut power outages rise again as remnants of Tropical Storm ...</t>
  </si>
  <si>
    <t>Sep 6, 2011 ... Outage numbers for both Connecticut Light &amp; Power and The United Illuminating Co. surged Tuesday morning as the remnants of Tropical Storm Lee ...</t>
  </si>
  <si>
    <t>https://www.chron.com/news/houston-texas/article/Tropical-storm-could-form-in-Atlantic-today-2158588.php</t>
  </si>
  <si>
    <t>Tropical storm could form in Atlantic today - Chron</t>
  </si>
  <si>
    <t>Sep 7, 2011 ... ... SEPTEMBER 6: In this satellite handout from NOAA, the remnants of Tropical Storm Lee is seen over the eastern U.S. after ...</t>
  </si>
  <si>
    <t>Sep 3, 2011 ... ... of the hurricane season. The Gulf Coast expected a soaking this weekend from Tropical Storm Lee, and forecasters were watching Katia, which ...</t>
  </si>
  <si>
    <t>https://www.denverpost.com/2011/09/03/tropical-storm-lee-knocks-out-power-to-thousands-in-louisiana-and-mississippi/</t>
  </si>
  <si>
    <t>Tropical Storm Lee knocks out power to thousands in Louisiana and ...</t>
  </si>
  <si>
    <t>... Tropical Storm Lee in Jean Lafitte, La. By The Associated Press | The Associated Press. PUBLISHED: September 3, 2011 at 2:48 PM MDT | UPDATED: June 13, ...</t>
  </si>
  <si>
    <t>https://www.nj.com/news/2011/09/tropical_storm_lee_begins_pelt.html</t>
  </si>
  <si>
    <t>Tropical Storm Lee begins pelting Gulf Coast - nj.com</t>
  </si>
  <si>
    <t>Sep 3, 2011 ... NASA via Getty ImageTropical Depression Thirteen strengthens into Tropical Storm Lee September 2, 2011 over the Gulf of Mexico. The U.S. ...</t>
  </si>
  <si>
    <t>https://www.nj.com/weather-guy/2011/09/tropical_storm_lee_hurricane_k.html</t>
  </si>
  <si>
    <t>Tropical Storm Lee, Hurricane Katia pose tricky N.J. forecast for next ...</t>
  </si>
  <si>
    <t>Sep 2, 2011 ... 02, 2011, 7:00 p.m.. Add us on ... Newly christened Tropical Storm Lee and Hurricane Katia are both churning towards the United States ...</t>
  </si>
  <si>
    <t>https://www.nj.com/weather-guy/2011/09/hurricane_katia_no_longer_a_th.html</t>
  </si>
  <si>
    <t>Hurricane Katia threat diminishes, but Tropical Storm Lee could ...</t>
  </si>
  <si>
    <t>Sep 3, 2011 ... ... United States, according to new ... A more pressing concern is Tropical Storm Lee, which this morning was lurching toward Louisiana.</t>
  </si>
  <si>
    <t>https://www.burlingtoncountytimes.com/story/news/2011/09/14/fema-to-open-disaster-recovery/17310494007/</t>
  </si>
  <si>
    <t>FEMA to open disaster recovery center - Burlington County Times</t>
  </si>
  <si>
    <t>Sep 14, 2011 ... 14, 2011, 5:00 a.m. ET. MOUNT HOLLY — With Hurricane Irene and Tropical Storm Lee well gone and the resulting floodwaters receded, the ...</t>
  </si>
  <si>
    <t>https://www.pennlive.com/midstate/2011/09/two_weeks_after_flooding_from.html</t>
  </si>
  <si>
    <t>Two weeks after flooding from Tropical Storm Lee, a number of ...</t>
  </si>
  <si>
    <t>Two weeks after flooding from Tropical Storm Lee, a number of Pennsylvania state parks remain closed. Updated: Sep. 24, 2011, 5:00 a.m.; | Published: Sep.</t>
  </si>
  <si>
    <t>https://www.pennlive.com/midstate/2011/09/tropical_storm_lee_dumped_more.html</t>
  </si>
  <si>
    <t>Map: Tropical Storm Lee dumped more than 13 inches of rain in ...</t>
  </si>
  <si>
    <t>Sep 11, 2011 ... Map: Tropical Storm Lee dumped more than 13 inches of rain in some central Pennsylvania towns ... in the state. The rains resulted in ...</t>
  </si>
  <si>
    <t>https://www.phillyburbs.com/story/news/state/2011/09/24/fema-extends-disaster-relief-to/17874560007/</t>
  </si>
  <si>
    <t>FEMA extends disaster relief to those affected by Tropical Storm Lee</t>
  </si>
  <si>
    <t>Sep 24, 2011 ... 24, 2011, 6:00 a.m. ET. Bucks and Montgomery county residents devastated by Tropical Storm Lee ... USA TODAY Network Style Guide Responsible ...</t>
  </si>
  <si>
    <t>https://www.nytimes.com/2011/09/09/nyregion/remnants-of-tropical-storm-soak-an-already-battered-northeast.html</t>
  </si>
  <si>
    <t>Weakened Tropical Storm Lee Soaks Battered Northeast</t>
  </si>
  <si>
    <t>Sep 8, 2011 ... As the remnants of Tropical Storm Lee deluged states across the ... 9, 2011, Section A, Page 22 of the New York edition with the ...</t>
  </si>
  <si>
    <t>https://www.washingtonpost.com/tropical-storm-lee-inundates-dc-region/2011/09/08/gIQA7OHIDK_story.html</t>
  </si>
  <si>
    <t>Torrential rains inundate D.C. region: 3 killed, roads closed</t>
  </si>
  <si>
    <t>Sep 9, 2011 ... Recently besieged by an earthquake and hurricane, the Washington area endures flooding from the remnants of Tropical Storm Lee.</t>
  </si>
  <si>
    <t>https://www.npr.org/2011/09/09/140341335/tropical-storm-lee-flooding-gallery</t>
  </si>
  <si>
    <t>Tropical Storm Lee Flooding Gallery - NPR</t>
  </si>
  <si>
    <t>Tropical Storm Lee Flooding Gallery. September 9, 20113:17 PM ET. Days ... states. Previous Next. Matt Rourke/AP. Crews from the New York State Department of Transportation monitor floodwaters at Lock 9, where.</t>
  </si>
  <si>
    <t>https://www.nytimes.com/2011/09/06/nyregion/paterson-nj-and-other-storm-struck-spots-brace-for-new-rain.html</t>
  </si>
  <si>
    <t>Paterson, N.J., and Other Storm-Struck Spots Brace for New Rain</t>
  </si>
  <si>
    <t>Sep 5, 2011 ... The remnants of Tropical Storm Lee, which made landfall in Louisiana ... in the United States, the National Hurricane Center in Miami said.</t>
  </si>
  <si>
    <t>https://www.nytimes.com/2011/10/31/nyregion/october-snowstorm-sows-havoc-on-northeastern-states.html</t>
  </si>
  <si>
    <t>Cleaning Up After Nature Plays a Trick - The New York Times</t>
  </si>
  <si>
    <t>Oct 30, 2011 ... By the time the great snowstorm of October 2011 finally ended ... Kennedy School of Government at Harvard, said a surprise winter storm ...</t>
  </si>
  <si>
    <t>https://www.chron.com/news/houston-texas/article/Wildfire-burns-near-Magnolia-2156862.php</t>
  </si>
  <si>
    <t>Wildfire burns near Magnolia - Chron</t>
  </si>
  <si>
    <t>Sep 6, 2011 ... A burned out house and cars are seen in the Remington Forest subdivision near Magnolia, Texas, on Tuesday, Sept. 6, 2011. A large blaze burning ...</t>
  </si>
  <si>
    <t>https://www.npr.org/sections/thetwo-way/2011/06/14/137161918/wildfire-season-already-worst-than-last-year</t>
  </si>
  <si>
    <t>Wildfire Season Already Worse Than Last Year : The Two-Way - NPR</t>
  </si>
  <si>
    <t>Jun 13, 2011 ... New numbers just out from the National Interagency Fire Center (NIFC) confirm what the flames and smoke in Arizona, New Mexico, Oklahoma and ...</t>
  </si>
  <si>
    <t>https://www.deseret.com/2012/4/4/20404932/texas-residents-sift-through-rubble-from-tornadoes/</t>
  </si>
  <si>
    <t>Texas residents sift through rubble from tornadoes - Deseret News</t>
  </si>
  <si>
    <t>Apr 4, 2012 ... ... 2012, in Forney, Texas. Tornadoes tore through the Dallas area Tuesday, peeling roofs off homes, tossing big-rig trucks into the air and ...</t>
  </si>
  <si>
    <t>https://www.cnn.com/2012/04/04/us/texas-weather</t>
  </si>
  <si>
    <t>Dallas area surveys damage after tornadoes rip through - CNN</t>
  </si>
  <si>
    <t>Apr 4, 2012 ... United Kingdom · Politics · Elections 2026 · Trump · Facts First · CNN ... You can help those affected by the Texas tornadoes. Find out how at ...</t>
  </si>
  <si>
    <t>https://www.npr.org/sections/thetwo-way/2012/04/04/149982330/top-stories-texas-tornadoes-romneys-wins-u-n-team-heads-to-syria</t>
  </si>
  <si>
    <t>Top Stories: Texas Tornadoes; Romney's Wins; U.N. Team Heads ...</t>
  </si>
  <si>
    <t>Apr 4, 2012 ... Top Stories: Texas Tornadoes; Romney's Wins; U.N. Team Heads To Syria. April 4, 20129:30 AM ET ... The red state, blue state divide is real.</t>
  </si>
  <si>
    <t>https://transcripts.cnn.com/show/sitroom/date/2012-04-03/segment/02</t>
  </si>
  <si>
    <t>Tornadoes Hit Dallas-Fort Worth Area; Al Qaeda Threat in NYC?</t>
  </si>
  <si>
    <t>Apr 3, 2012 ... Brian Todd is joining us right now. He's got a closer look at some of the other horrifying images coming in from these Texas tornadoes. What ...</t>
  </si>
  <si>
    <t>https://transcripts.cnn.com/show/cnr/date/2012-04-03/segment/07</t>
  </si>
  <si>
    <t>Glimpse at Tornado Aftermath; All Planes Grounded at Dallas-Fort ...</t>
  </si>
  <si>
    <t>Apr 3, 2012 ... ... States and around the ... BALDWIN: We are just now seeing some of the damage from these Texas tornadoes playing out in Dallas County, Ft.</t>
  </si>
  <si>
    <t>https://www.deseret.com/2012/4/4/20404977/texas-residents-sift-through-tornado-rubble/</t>
  </si>
  <si>
    <t>Texas residents sift through tornado rubble - Deseret News</t>
  </si>
  <si>
    <t>Apr 4, 2012 ... ... tornado damaged home Wednesday, April 4, 2012, in Forney, Texas. The ... United States prepares to celebrate 250 years. YouTube-born ...</t>
  </si>
  <si>
    <t>https://stateimpact.npr.org/texas/2012/04/04/eyes-of-the-storm-photos-of-tornado-damage-in-texas/multiple-tornadoes-touch-down-in-dallas-fort-worth-area-9/</t>
  </si>
  <si>
    <t>Multiple Tornadoes Touch Down In Dallas-Fort Worth Area</t>
  </si>
  <si>
    <t>Apr 4, 2012 ... April Bridges searches through the remains of a house she at when it was destroyed by a tornado on April 3, 2012 in Arlington, Texas.</t>
  </si>
  <si>
    <t>https://www.mprnews.org/story/2012/04/15/near-miss-minnesota-narrowly-dodges-severe-weather-bullet</t>
  </si>
  <si>
    <t>Near Miss: Minnesota narrowly dodges severe weather bullet</t>
  </si>
  <si>
    <t>Apr 15, 2012 ... Saturday's serious tornado outbreak put up some astounding numbers. ... of the Midwest. Officials said the enhanced language was developed ...</t>
  </si>
  <si>
    <t>https://www.cnn.com/2012/04/13/us/midwest-storms</t>
  </si>
  <si>
    <t>Plains states could see tornado outbreak | CNN</t>
  </si>
  <si>
    <t>Apr 13, 2012 ... The “impact based” warning test, which began earlier this month, comes on the heels of the May 22-27 Midwest/Southeast tornado outbreak, ...</t>
  </si>
  <si>
    <t>https://www.nytimes.com/2012/04/16/us/violent-storms-cut-across-the-central-plains.html</t>
  </si>
  <si>
    <t>100 Tornadoes in 24 Hours, but Plenty of Notice - The New York Times</t>
  </si>
  <si>
    <t>Apr 15, 2012 ... Severe Storms Spawn Tornadoes in the Midwest. 9 Photos. View Slide ... “This is one of the lessons learned from the various deadly outbreaks of ...</t>
  </si>
  <si>
    <t>https://transcripts.cnn.com/show/cnr?start_fileid=cnr_2012-04-16_03</t>
  </si>
  <si>
    <t>Apr 16, 2012 ... April 15, 2012. • A Tornado Emergency, an Outbreak in the Midwest ... April 14, 2012. • Tornadoes in the Midwest; Prostitution Scandal Rocks ...</t>
  </si>
  <si>
    <t>https://www.npr.org/2012/04/15/150686224/tornado-warnings-may-have-had-desired-effect</t>
  </si>
  <si>
    <t>Tornado Warnings May Have Had Desired Effect - NPR</t>
  </si>
  <si>
    <t>Apr 15, 2012 ... ... tornado outbreaks. As we move into May, they'll become more widespread across the United States and into the Midwest region. And, of course ...</t>
  </si>
  <si>
    <t>https://www.mprnews.org/story/2012/04/15/sunday-severe-weather</t>
  </si>
  <si>
    <t>More tornadoes possible Sunday in battered Midwest - MPR News</t>
  </si>
  <si>
    <t>Apr 15, 2012 ... ... Sunday, April 15, 2012. A large part of the town in the western part of the state was destroyed Saturday night, possibly by a tornado, but ...</t>
  </si>
  <si>
    <t>https://www.npr.org/sections/thetwo-way/2012/04/15/150656022/tornadoes-storms-swirl-through-midwest-and-plains</t>
  </si>
  <si>
    <t>5 Dead After Tornadoes Swirl Through Midwest And Plains - NPR</t>
  </si>
  <si>
    <t>America. 5 Dead After Tornadoes Swirl Through Midwest And Plains. April 15, 20121:58 AM ET. Dana Farrington, photographed for NPR, 11 March 2020, in ...</t>
  </si>
  <si>
    <t>https://www.cnn.com/2012/04/16/us/midwest-storms</t>
  </si>
  <si>
    <t>Oklahoma tornado claims sixth victim - CNN</t>
  </si>
  <si>
    <t>Apr 16, 2012 ... ... states in the Midwest and Plains over the weekend. The only known casualties occurred in the northern Oklahoma city of about 12,000, about ...</t>
  </si>
  <si>
    <t>https://www.nytimes.com/2012/04/15/us/tornadoes-and-storms-hit-iowa-kansas-nebraska-and-oklahoma.html</t>
  </si>
  <si>
    <t>Tornadoes and Storms Hit Iowa, Kansas, Nebraska, and Oklahoma</t>
  </si>
  <si>
    <t>Apr 15, 2012 ... It was just the second time in United States history that the center ... A version of this article appears in print on April 15, 2012 ...</t>
  </si>
  <si>
    <t>https://www.cnn.com/2012/04/15/us/midwest-storms</t>
  </si>
  <si>
    <t>Damaging tornadoes fail to materialize in upper Mississippi Valley</t>
  </si>
  <si>
    <t>Apr 15, 2012 ... ... Midwest and Plains states ... Midwest on Saturday, the service was cautioning residents of the storm's potential damage.</t>
  </si>
  <si>
    <t>https://www.cnn.com/2012/04/15/us/gallery/mid-west-storms</t>
  </si>
  <si>
    <t>Deadly twisters tear through Midwest - CNN</t>
  </si>
  <si>
    <t>U.S.. Deadly twisters tear through Midwest. Updated 9:08 AM EDT, Sun April 15, 2012. Link Copied! A house is left damaged after an aparent tornado hit on ...</t>
  </si>
  <si>
    <t>https://www.mprnews.org/story/2012/04/16/severe-weather-awareness</t>
  </si>
  <si>
    <t>Snow up north, twisters down south: Severe Weather Awareness ...</t>
  </si>
  <si>
    <t>Apr 16, 2012 ... ... in the Midwest, Monday's start of Severe Weather Awareness Week comes with good timing. State officials are urging families to make sure ...</t>
  </si>
  <si>
    <t>https://www.npr.org/sections/thetwo-way/2012/07/02/156106723/word-of-the-day-derecho</t>
  </si>
  <si>
    <t>Word Of The Day: 'Derecho' : The Two-Way - NPR</t>
  </si>
  <si>
    <t>Jul 2, 2012 ... -- "Derechos in the United States are most common in the late ... Plains northeast into the mid Mississippi Valley." As for the term ...</t>
  </si>
  <si>
    <t>https://www.chron.com/news/article/Tropical-Storm-Isaac-lashes-the-Florida-Keys-3816245.php</t>
  </si>
  <si>
    <t>Gulf Coast braces for Isaac's wrath - Chron</t>
  </si>
  <si>
    <t>Aug 26, 2012 ... ... of the state by flooding after Hurricane Isaac. ... 31, 2012 after rain from Hurricane Isaac caused flooding in the area. ... 2012 in Lafitte ...</t>
  </si>
  <si>
    <t>https://www.chron.com/neighborhood/dayton/news/article/Sam-Houston-EC-sends-Hurricane-Isaac-recovery-9542079.php</t>
  </si>
  <si>
    <t>Sam Houston EC sends Hurricane Isaac recovery assistance to ...</t>
  </si>
  <si>
    <t>Sep 1, 2012 ... In the wake of Hurricane Isaac's damage, Sam ... Sep 1, 2012. From Community Reports. Chron ... The developers have filed with the state of Texas to ...</t>
  </si>
  <si>
    <t>https://www.al.com/live/2012/09/port_of_mobile_reopens_to_norm.html</t>
  </si>
  <si>
    <t>Port of Mobile reopens to normal ship traffic in wake of Hurricane Isaac</t>
  </si>
  <si>
    <t>Sep 1, 2012 ... ... under restrictions by the U.S. Coast Guard in the wake of Hurricane Isaac, the Alabama State Port Authority announced.</t>
  </si>
  <si>
    <t>https://www.al.com/breaking/2012/08/isaac_gives_boost_to_already_i.html</t>
  </si>
  <si>
    <t>Hurricane Isaac gives boost to already increasing gasoline prices ...</t>
  </si>
  <si>
    <t>Aug 30, 2012 ... 30, 2012, 7:18 p.m. ... HUNTSVILLE, Alabama - It didn't take Hurricane Isaac ... The price of gasoline increased more in the Great Lakes area ...</t>
  </si>
  <si>
    <t>https://www.al.com/live/2012/08/the_floors_hard_but_its_safe_a.html</t>
  </si>
  <si>
    <t>The floor's hard, but it's safe at Isaac shelter in Theodore - al.com</t>
  </si>
  <si>
    <t>Aug 28, 2012 ... MOBILE, Alabama -- Tami Wilkins of downtown Mobile didn't want to take any chances as what may become Hurricane Isaac approaches landfall ...</t>
  </si>
  <si>
    <t>https://www.al.com/live/2012/08/while_you_were_sleeping_an_upd.html</t>
  </si>
  <si>
    <t>While you were sleeping: An update on Hurricane Isaac overnight ...</t>
  </si>
  <si>
    <t>Aug 29, 2012 ... 29, 2012, 9:34 a.m.; | Published: Aug. 29 ... in the storm surge from Isaac, on Lakeshore ... MOBILE, Alabama -- While Hurricane Isaac ...</t>
  </si>
  <si>
    <t>https://www.gulflive.com/mississippi-press-news/2012/09/hurricane_isaac_hit_louisianas.html</t>
  </si>
  <si>
    <t>Hurricane Isaac hit Louisiana's citrus crop right before harvest</t>
  </si>
  <si>
    <t>Hurricane Isaac hit Louisiana's citrus crop right before harvest. Updated: Sep. 15, 2012, 7:35 p.m.; | Published: Sep. 15, 2012, 6:35 p.m.. By.</t>
  </si>
  <si>
    <t>https://cullmantimes.com/2012/08/30/locals-ready-to-help-with-hurricane-relief/</t>
  </si>
  <si>
    <t>Locals ready to help with hurricane relief | The Cullman Times</t>
  </si>
  <si>
    <t>Aug 30, 2012 ... According to the Associated Press, the U.S. National Hurricane Center says Hurricane Isaac could keep its strength heading into today as it ...</t>
  </si>
  <si>
    <t>https://stateimpact.npr.org/texas/2012/08/30/eyes-of-the-storm-hurricane-isaac-in-photos/</t>
  </si>
  <si>
    <t>Eyes of the Storm: Hurricane Isaac in Photos | StateImpact Texas</t>
  </si>
  <si>
    <t>Aug 30, 2012 ... A car sits submerged in the flood waters of Hurricane Isaac in the River Forest subdivision on August 29, 2012 in LaPlace, Louisiana. Rescue ...</t>
  </si>
  <si>
    <t>https://www.nytimes.com/2012/08/29/us/tropical-storm-isaac-on-verge-of-becoming-a-category-1-hurricane.html</t>
  </si>
  <si>
    <t>Hurricane Isaac Makes Landfall Along Gulf Coast</t>
  </si>
  <si>
    <t>Aug 28, 2012 ... “We're ready for whatever Hurricane Isaac brings us,” she said. ... 29, 2012, Section A, Page 1 of the New York edition with the headline ...</t>
  </si>
  <si>
    <t>https://www.nytimes.com/2012/08/30/us/hurricane-isaac-makes-landfall.html</t>
  </si>
  <si>
    <t>Hurricane Isaac Sits and Saturates Gulf Coast - The New York Times</t>
  </si>
  <si>
    <t>Aug 29, 2012 ... U.S.|Isaac Drenches Gulf Coast and High Water Cuts Off Many. https://www.nytimes.com/2012/08/30/us/hurricane-isaac-makes-landfall.html. Share ...</t>
  </si>
  <si>
    <t>https://college.usatoday.com/2012/08/29/hurricane-isaac-prompts-student-evacuations-canceled-classes/</t>
  </si>
  <si>
    <t>hurricane-isaac-prompts-student-evacuations-canceled-classes</t>
  </si>
  <si>
    <t>Aug 29, 2012 ... Friedman is one of many college students in the United States who are feeling the effects of Hurricane Isaac -- which started as a tropical ...</t>
  </si>
  <si>
    <t>https://www.npr.org/sections/thetwo-way/2012/08/28/160157839/isaac-on-the-verge-of-hurricane-strength-forecast-for-landfall-tonight</t>
  </si>
  <si>
    <t>Hurricane Isaac Makes Landfall In Southeast Louisiana, Headed For ...</t>
  </si>
  <si>
    <t>America. Hurricane Isaac Makes Landfall In Southeast Louisiana, Headed For Baton Rouge. August 28, 20125:15 PM ET. By. Krishnadev Calamur. ,.</t>
  </si>
  <si>
    <t>https://www.al.com/live/2012/08/hurricane_isaac_floods_daphnes.html</t>
  </si>
  <si>
    <t>Hurricane Isaac floods Daphne's waterfront parks but causes no ...</t>
  </si>
  <si>
    <t>Aug 29, 2012 ... ... sizeWater from Hurricane Isaac covers the parking lot and other areas of Bayfront Park in Daphne, Alabama, on Wednesday, Aug. 29, 2012.</t>
  </si>
  <si>
    <t>https://www.washingtonpost.com/politics/hurricane-isaac-makes-landfall-southeast-of-new-orleans/2012/08/28/ff771e40-f15f-11e1-adc6-87dfa8eff430_story.html</t>
  </si>
  <si>
    <t>Hurricane Isaac makes landfall southeast of New Orleans</t>
  </si>
  <si>
    <t>Aug 28, 2012 ... ... AmericaCourts &amp; LawNational SecurityElections. Hurricane Isaac makes landfall southeast of New Orleans. August 28, 2012More than 13 years ago.</t>
  </si>
  <si>
    <t>https://www.al.com/live/2012/08/hurricane_center_shifts_isaacs.html</t>
  </si>
  <si>
    <t>Hurricane Center shifts Isaac's forecast west; watch now includes ...</t>
  </si>
  <si>
    <t>Aug 26, 2012 ... Hurricane Isaac remaining 'nearly stationary' near Louisiana's coastAug. 29, 2012, 6:14 a.m.. Find up-to-date information about tropical storms ...</t>
  </si>
  <si>
    <t>https://www.al.com/live/2012/08/tropical_storm_isaac_forces_cl.html</t>
  </si>
  <si>
    <t>Hurricane Isaac forces closings in Mobile County (updated) - al.com</t>
  </si>
  <si>
    <t>Aug 28, 2012 ... 28, 2012 ... Mobile, Alabama -- Hurricane Isaac has forced many closings and postponements throughout Mobile County. ... For up-to-date storm ...</t>
  </si>
  <si>
    <t>https://www.al.com/businessnews/2012/11/hundreds_of_alabama_power_empl.html</t>
  </si>
  <si>
    <t>Hundreds of Alabama Power employees working to restore power in ...</t>
  </si>
  <si>
    <t>Nov 1, 2012 ... ... U.S. working to restore power in nine states and the District of Columbia in the wake of Hurricane Sandy, which made landfall on Monday. As ...</t>
  </si>
  <si>
    <t>https://stateimpact.npr.org/texas/2012/10/30/eyes-of-the-storm-hurricane-sandy-in-photos/</t>
  </si>
  <si>
    <t>Eyes of the Storm: Hurricane Sandy in Photos | StateImpact Texas</t>
  </si>
  <si>
    <t>Oct 30, 2012 ... ... Hurricane Sandy on October 30, 2012 in New York, United States. In this handout GOES satellite image provided by NASA, Hurricane Sandy ...</t>
  </si>
  <si>
    <t>https://archive.nytimes.com/learning.blogs.nytimes.com/2012/10/30/teaching-hurricane-sandy-ideas-and-resources/</t>
  </si>
  <si>
    <t>Teaching Hurricane Sandy: Ideas and Resources</t>
  </si>
  <si>
    <t>Oct 30, 2012 ... 29, as Hurricane Sandy made landfall in the northeastern United States. ... A Late-October Surprise: Hurricane Sandy and Election 2012.</t>
  </si>
  <si>
    <t>https://www.capitalgazette.com/2012/11/07/new-york-harbor-open-but-under-alert-ahead-of-noreaster/</t>
  </si>
  <si>
    <t>New York Harbor open but under alert ahead of nor'easter – Capital ...</t>
  </si>
  <si>
    <t>Nov 7, 2012 ... ... 2012 at 1:00 AM EST | UPDATED: August 22 ... Some of the largest refineries and ... Hurricane Sandy's storm surge. Rowe said ...</t>
  </si>
  <si>
    <t>https://www.denverpost.com/2012/07/20/study-challenges-views-about-western-forest-fires/</t>
  </si>
  <si>
    <t>Study challenges views about Western forest fires - The Denver Post</t>
  </si>
  <si>
    <t>Jul 20, 2012 ... ... Western wildfires behaved historically. Researchers at the ... An updated view was summarized in the 2012 spring edition of California ...</t>
  </si>
  <si>
    <t>https://www.hcn.org/wotr/notes-from-a-wildfire-refugee/</t>
  </si>
  <si>
    <t>Notes from a wildfire refugee - High Country News</t>
  </si>
  <si>
    <t>Jun 28, 2012 ... ... United States in the coming years. ... Over the last 17 years, the study also notes, there's been an increase in the number of Western wildfires, ...</t>
  </si>
  <si>
    <t>https://www.cnn.com/2012/07/03/us/western-wildfires-why</t>
  </si>
  <si>
    <t>Study warns of continued rise in wildfires in western U.S., elsewhere</t>
  </si>
  <si>
    <t>Jul 3, 2012 ... “The winter of 2011-2012 really dealt the cards,” Frederick said. The frequency and length of the fire season for forest fires has increased ...</t>
  </si>
  <si>
    <t>https://www.cnn.com/2012/08/16/us/western-wildfires</t>
  </si>
  <si>
    <t>Wildfires roast western states - CNN</t>
  </si>
  <si>
    <t>Aug 16, 2012 ... Story highlights. Dozens of fires are burning west of the Mississippi River ... of the Western wildfires. It was ignited by a lightning strike on ...</t>
  </si>
  <si>
    <t>https://www.cnn.com/2012/06/26/us/western-wildfires</t>
  </si>
  <si>
    <t>32,000 evacuated in fast-moving Colorado Springs wildfire - CNN</t>
  </si>
  <si>
    <t>Jun 26, 2012 ... A firefighter works a burnout operation on the north flank of the Fontenelle Fire outside Big. Photos: Wildfires devastate Western states. 51 ...</t>
  </si>
  <si>
    <t>https://www.cnn.com/2012/07/02/us/western-wildfires</t>
  </si>
  <si>
    <t>Evacuee: Colorado wildfire's destructive aftermath is 'kind of ... - CNN</t>
  </si>
  <si>
    <t>Jul 2, 2012 ... A firefighter works a burnout operation on the north flank of the Fontenelle Fire outside Big. Photos: Wildfires devastate Western states. 51 ...</t>
  </si>
  <si>
    <t>https://www.washingtonpost.com/news/wonk/wp/2012/06/30/western-wildfires-are-getting-worse-why-is-that/</t>
  </si>
  <si>
    <t>Why Western wildfires keep getting worse - The Washington Post</t>
  </si>
  <si>
    <t>Why Western wildfires keep getting worse. June 30, 2012More than 13 years ago. Make us preferred on Google. By Brad Plumer. It's been an ugly week in ...</t>
  </si>
  <si>
    <t>https://www.denverpost.com/2012/08/23/california-wildfire-burns-64-homes-some-evacuees-return-home/</t>
  </si>
  <si>
    <t>California wildfire burns 64 homes; some evacuees return home</t>
  </si>
  <si>
    <t>Aug 23, 2012 ... ... Western wildfires, pine needles bent back on themselves, unburned but dried to a brittle dusty gray by the intense heat of the Ponderosa fire.</t>
  </si>
  <si>
    <t>https://edition.cnn.com/2012/08/15/us/western-wildfires/index.html</t>
  </si>
  <si>
    <t>Heartbreaking losses as Western wildfires rage - CNN</t>
  </si>
  <si>
    <t>Aug 15, 2012 ... Extreme fire weather across much of the Western United States on ... Fire, the largest of the Western wildfires. It was ignited by a ...</t>
  </si>
  <si>
    <t>https://www.cnn.com/2012/06/24/us/western-wildfires</t>
  </si>
  <si>
    <t>Wildfires burn across Colorado, thousands evacuated - CNN</t>
  </si>
  <si>
    <t>Jun 24, 2012 ... A firefighter works a burnout operation on the north flank of the Fontenelle Fire outside Big. Photos: Wildfires devastate Western states. 51 ...</t>
  </si>
  <si>
    <t>https://www.chieftain.com/story/news/local/2012/06/23/wildfire-prompts-evacuations-west-colorado/8976769007/</t>
  </si>
  <si>
    <t>Wildfire prompts evacuations west of Colorado Springs</t>
  </si>
  <si>
    <t>Updated June 23, 2012, 3:05 p.m. MT. Wildfire near Waldo Canyon. EL PASO COUNTY, Colo. - Cedar Heights, a gated community near U.S. 24 and Manitou Ave, ...</t>
  </si>
  <si>
    <t>https://bendbulletin.com/2012/08/11/lake-county-evacuations-ordered-as-wildfire-grows/</t>
  </si>
  <si>
    <t>Lake County evacuations ordered as wildfire grows | The Bulletin</t>
  </si>
  <si>
    <t>Aug 11, 2012 ... Lightning last weekend set off dozens fires in Oregon, most of them relatively small. The largest fire burning in the state is the Holloway fire ...</t>
  </si>
  <si>
    <t>https://bendbulletin.com/2012/07/09/washington-wildfire-puts-some-residents-on-evacuation-notice/</t>
  </si>
  <si>
    <t>Washington wildfire puts some residents on evacuation notice | The ...</t>
  </si>
  <si>
    <t>Jul 9, 2012 ... ... in the evacuation notices for all residents living on the west side of Navarre Coulee Road from its junction with U.S. Highway 97 to milepost 7.</t>
  </si>
  <si>
    <t>https://www.marinij.com/general-news/20120627/colorado-wildfire-winds-at-waldo-canyon-fire-concern-officials/</t>
  </si>
  <si>
    <t>Colorado wildfire: Winds at Waldo Canyon Fire concern officials ...</t>
  </si>
  <si>
    <t>Jun 27, 2012 ... Golden State Warriors ... PUBLISHED: June 27, 2012 at 12:00 AM PDT ... Fales lives in the west side of the city, off Fillmore Street.</t>
  </si>
  <si>
    <t>https://www.cnn.com/2012/08/15/us/western-wildfires</t>
  </si>
  <si>
    <t>Aug 15, 2012 ... Extreme fire weather across much of the Western United States on Wednesday continued to fuel dozens of wildfires, endangering many homes.</t>
  </si>
  <si>
    <t>https://www.cnn.com/2012/12/24/us/new-york-firefighters-shooting</t>
  </si>
  <si>
    <t>'Chaos:' Gunman ambushes, kills two firefighters at New York blaze</t>
  </si>
  <si>
    <t>Dec 24, 2012 ... ... 2012, 8:53 AM ET. Updated Dec 24, 2012 ... Michael Chiapperini, was a veteran of the West Webster Fire Department and a police lieutenant.</t>
  </si>
  <si>
    <t>https://www.npr.org/2012/07/18/156989764/interactive-mapping-the-u-s-drought</t>
  </si>
  <si>
    <t>Interactive: Mapping The U.S. Drought - NPR</t>
  </si>
  <si>
    <t>Jul 18, 2012 ... July 18, 20126:28 PM ET. By ... Now that the state is seeing some relief, drought conditions have consumed more than half the United States.</t>
  </si>
  <si>
    <t>https://www.nytimes.com/2012/07/17/us/drought-is-the-worst-in-56-years.html</t>
  </si>
  <si>
    <t>Drought Is the Worst in 56 Years - The New York Times</t>
  </si>
  <si>
    <t>Jul 17, 2012 ... ... drought gripping the United States is the widest since 1956. The monthly State of the Climate drought report released on Monday by the National ...</t>
  </si>
  <si>
    <t>https://www.nytimes.com/interactive/2012/07/20/us/drought-footprint.html</t>
  </si>
  <si>
    <t>Drought's Footprint - Graphic - The New York Times</t>
  </si>
  <si>
    <t>Jul 19, 2012 ... More than half of the country was under moderate to extreme drought in June, the largest area of the contiguous United States affected by such dryness in ...</t>
  </si>
  <si>
    <t>https://www.npr.org/2012/07/19/157052844/effects-of-midwest-drought-spread-across-nation</t>
  </si>
  <si>
    <t>Effects Of Midwest Drought Spread Across Nation - NPR</t>
  </si>
  <si>
    <t>Jul 19, 2012 ... ... of the U.S. or at least the lower 48 states covered in drought. ... MORRIS: Thank you, Jennifer. Copyright © 2012 NPR. All rights reserved ...</t>
  </si>
  <si>
    <t>https://www.washingtonpost.com/news/wonk/wp/2012/07/17/how-droughts-will-reshape-the-united-states/</t>
  </si>
  <si>
    <t>How droughts will reshape the United States - The Washington Post</t>
  </si>
  <si>
    <t>Jul 17, 2012 ... Everything you need to know about the current drought hitting the United States ... us about climate change, and how farmers can adapt to a ...</t>
  </si>
  <si>
    <t>https://www.cnn.com/2012/06/29/us/extreme-heat</t>
  </si>
  <si>
    <t>Intense heat bakes tens of millions in U.S., spawns potent storms</t>
  </si>
  <si>
    <t>Jun 29, 2012 ... PUBLISHED Jun 29, 2012, 1:03 AM ET. pkg us extreme heat forecast _00010013. Video Ad Feedback. America is having a heat wave. 1:27 • Source: CNN.</t>
  </si>
  <si>
    <t>https://www.cnn.com/2013/01/08/us/extreme-weather</t>
  </si>
  <si>
    <t>NOAA: 2012 broke U.S. heat records | CNN</t>
  </si>
  <si>
    <t>Jan 8, 2013 ... Drought occurred. Photos: Heat wave, drought ravage Midwest. 31 photos ... Every state in the contiguous United States saw above-average ...</t>
  </si>
  <si>
    <t>https://www.cnn.com/2012/07/11/us/extreme-heat</t>
  </si>
  <si>
    <t>Dry storms and heat torment the western United States - CNN</t>
  </si>
  <si>
    <t>Jul 11, 2012 ... Photos: Extreme heat strikes U.S.. 24 photos. Fatima Domingpe ... A record heat wave has been in the area for more than a week. The ...</t>
  </si>
  <si>
    <t>https://www.npr.org/2012/07/13/156731302/climate-change-ups-odds-of-heat-waves-drought</t>
  </si>
  <si>
    <t>Climate Change Ups Odds Of Heat Waves, Drought - NPR</t>
  </si>
  <si>
    <t>Jul 13, 2012 ... Give us, for example, the one about Texas, the heat wave. PETERSON: Well, thank you. So yes, our paper is trying to bring together a lot of ...</t>
  </si>
  <si>
    <t>https://www.cnn.com/2013/01/15/us/2012-global-warming</t>
  </si>
  <si>
    <t>2012 is 10th warmest for world since 1880 | CNN</t>
  </si>
  <si>
    <t>Jan 15, 2013 ... Drought occurred. Photos: Heat wave, drought ravage Midwest. 31 photos ... Every state in the contiguous United States saw above-average ...</t>
  </si>
  <si>
    <t>https://www.nytimes.com/2013/01/09/science/earth/2012-was-hottest-year-ever-in-us.html</t>
  </si>
  <si>
    <t>2012 Was Hottest Year Ever in U.S. - The New York Times</t>
  </si>
  <si>
    <t>Jan 8, 2013 ... The numbers are in: 2012, the year of a surreal March heat wave, a severe drought in the Corn Belt and a huge storm that caused broad ...</t>
  </si>
  <si>
    <t>https://www.gulflive.com/mississippi-press-news/2013/03/hailstorm_in_clinton_damages_p.html</t>
  </si>
  <si>
    <t>Hailstorm in Clinton damages property, injures 2 who were struck in ...</t>
  </si>
  <si>
    <t>Mar 18, 2013 ... ... of the state. (AP Photo/Rogelio V. Solis). By. The Associated Press. JACKSON, Mississippi -- A severe storm with large hail pounded the ...</t>
  </si>
  <si>
    <t>https://transcripts.cnn.com/show/es?start_fileid=es_2013-04-17_01</t>
  </si>
  <si>
    <t>April 11, 2013. • Tornadoes Strike Midwest ... Severe Weather; Kidnapped to Cuba; Louisville ... • Korea Crisis; Blizzard Watch in Northern Plains; Obama Gun ...</t>
  </si>
  <si>
    <t>https://www.cnn.com/2013/05/19/us/severe-weather</t>
  </si>
  <si>
    <t>Four-state tornado outbreak kills 1 - CNN</t>
  </si>
  <si>
    <t>May 19, 2013 ... Baseball-sized hail, wind gusts and tornadoes are threatening to pummel parts of the central Plains and Midwest through Monday. “We still ...</t>
  </si>
  <si>
    <t>https://www.nytimes.com/2013/05/22/science/jet-stream-causing-tornado-outbreak.html</t>
  </si>
  <si>
    <t>Jet Stream Causing Tornado Outbreak - The New York Times</t>
  </si>
  <si>
    <t>May 21, 2013 ... Until an outbreak of tornadoes in the past week, this year had been a relatively quiet one for twisters in the Midwest and Plains states.</t>
  </si>
  <si>
    <t>https://www.cnn.com/2013/05/19/us/severe-weather/index.html2013-05-20T06:07:54Znever0.5</t>
  </si>
  <si>
    <t>New tornado strikes Missouri as rash of central U.S. twisters kills 1. By Dana Ford, CNN. Updated 2:07 AM ET, Mon May 20, 2013. Tornadoes rip through ...</t>
  </si>
  <si>
    <t>https://www.usatoday.com/story/weather/2013/05/19/severe-weather-storms-tornadoes-midwest-plains/2324579/</t>
  </si>
  <si>
    <t>Tornadoes hit Plains, Midwest; 1 dead in Okla. - USA Today</t>
  </si>
  <si>
    <t>May 20, 2013 ... The storms were part of a severe weather outbreak that stretched from Texas to Minnesota. Twisters were also reported Sunday in Iowa and Kansas.</t>
  </si>
  <si>
    <t>https://www.cnn.com/2013/05/20/us/severe-weather</t>
  </si>
  <si>
    <t>Oklahoma tornado tears massive path of death, destruction - CNN</t>
  </si>
  <si>
    <t>May 20, 2013 ... Middle East · United Kingdom · Politics ... The storm was part of a tornado outbreak that began in the Midwest and Plains on Sunday, May 19.</t>
  </si>
  <si>
    <t>https://www.usatoday.com/story/news/nation/2013/06/02/tornadoes-summer-violent-weather-hurricane/2382307/</t>
  </si>
  <si>
    <t>Violent tornado outbreaks likely to ebb soon - USA Today</t>
  </si>
  <si>
    <t>Jun 2, 2013 ... The volatile weather moved east Sunday. Heavy rain, thunderstorms, high winds and hail moved through sections of the Northeast, knocking out ...</t>
  </si>
  <si>
    <t>https://transcripts.cnn.com/show/cnr?start_fileid=cnr_2013-05-27_08</t>
  </si>
  <si>
    <t>May 27, 2013 ... May 24, 2013. • Continuing Coverage of the Tornado's ... Tornado Watches In Midwest; Army ... • Tornado Outbreak in Oklahoma • Oklahoma ...</t>
  </si>
  <si>
    <t>https://www.denverpost.com/2013/09/19/colorado-flooding-two-new-fatalities-announced-one-is-lyons-man-gerald-boland/</t>
  </si>
  <si>
    <t>Colorado flooding: Two new fatalities announced, one is Lyons man ...</t>
  </si>
  <si>
    <t>Sep 19, 2013 ... Colorado flooding: Two new fatalities announced, one is Lyons man Gerald Boland. ... 2013. The road, which is Colorado Road 43, is a river ...</t>
  </si>
  <si>
    <t>https://www.denverpost.com/2013/09/24/colorado-landfills-manage-flood-debris-as-clean-up-proves-slow-going/</t>
  </si>
  <si>
    <t>Colorado landfills manage flood debris, as clean-up proves slow going</t>
  </si>
  <si>
    <t>Sep 24, 2013 ... Yesenia Robles of The Denver Post. ... The after-effects of massive Colorado flooding are reaching state landfills this week. The extra trash is ...</t>
  </si>
  <si>
    <t>https://www.denverpost.com/2013/09/14/colorado-flooding-boulder-county-residents-assess-damage-after-storm/</t>
  </si>
  <si>
    <t>Colorado flooding: Boulder County residents assess damage after ...</t>
  </si>
  <si>
    <t>Sep 14, 2013 ... Colorado flooding: Boulder County residents assess damage after storm. ... 2013. Folks are beginning the long and arduous task of assessing ...</t>
  </si>
  <si>
    <t>https://www.hcn.org/blogs/goat/colorado-floods-will-leave-long-lasting-impacts/</t>
  </si>
  <si>
    <t>Colorado floods will leave long-lasting impacts - High Country News</t>
  </si>
  <si>
    <t>Sep 19, 2013 ... ... 2013/09/17/us-usa-colorado-flooding-idUSBRE98B0KM20130917" target="_blank" rel="noopener"&gt;rising in some downstream communities&lt;/a&gt; ...</t>
  </si>
  <si>
    <t>https://www.journal-advocate.com/ci_24079563/national-weather-service-warns-flooding-s-platte-this/</t>
  </si>
  <si>
    <t>National Weather Service warns of flooding on S. Platte this weekend</t>
  </si>
  <si>
    <t>Sep 12, 2013 ... PUBLISHED: September 12, 2013 at 1:09 PM ... Find live coverage of the ongoing Colorado flooding here: Live Blog: Colorado flood emergency ...</t>
  </si>
  <si>
    <t>https://www.usatoday.com/story/weather/2013/09/25/colorado-flood-report/2870191/</t>
  </si>
  <si>
    <t>Report: Colorado flooding was 'unprecedented' - USA Today</t>
  </si>
  <si>
    <t>Report: Colorado flooding was 'unprecedented'. Doyle Rice. USA TODAY. Sept. 25, 2013Updated Sept. 26, 2013, 10:23 a.m. ET. A bridge collapsed after flash ...</t>
  </si>
  <si>
    <t>https://www.npr.org/2013/09/15/222701995/colorado-flooding-forces-thousands-from-homes</t>
  </si>
  <si>
    <t>Colorado Flooding Forces Thousands From Homes - NPR</t>
  </si>
  <si>
    <t>NPR's Kirk Siegler reports on the massive rescue operation that continues in the flood-ravaged state. National. Colorado Flooding Forces Thousands From ...</t>
  </si>
  <si>
    <t>https://www.nytimes.com/2013/09/14/us/colorado-flooding.html</t>
  </si>
  <si>
    <t>Colorado Floodwaters Force Thousands to Flee - The New York Times</t>
  </si>
  <si>
    <t>Sep 13, 2013 ... https://www.nytimes.com/2013/09/14/us/colorado-flooding.html. Share ... state that has been tested by several years of drought and devastating ...</t>
  </si>
  <si>
    <t>https://www.cnn.com/2013/09/17/us/colorado-flooding/index.html2013-09-18T02:39:54Znever0.5</t>
  </si>
  <si>
    <t>Colorado flooding: Residents return, but some find no home - CNN</t>
  </si>
  <si>
    <t>Colorado flooding: Residents return, but some find no home. By Kyung Lah and Ben Brumfield, CNN. Updated 10:39 PM ET, Tue September 17, 2013.</t>
  </si>
  <si>
    <t>http://www.cnn.com/2013/09/12/us/gallery/colorado-flooding/index.html&amp;quot;&amp;gt;View</t>
  </si>
  <si>
    <t>Deadly floods hit Colorado - CNN</t>
  </si>
  <si>
    <t>Sep 12, 2013 ... Deadly floods hit Colorado. Updated 5:15 PM ET, Sat September 21, 2013 ... colorado flooding 0917 05 colorado flood 0917 06 colorado flood 0917 ...</t>
  </si>
  <si>
    <t>https://www.journal-advocate.com/ci_24095567/flood-warning-update-s-platte-rising/</t>
  </si>
  <si>
    <t>Flood Warning Update: S. Platte rising – Sterling Journal-Advocate</t>
  </si>
  <si>
    <t>Sep 14, 2013 ... The Colorado Department of Transportation (CDOT) continues to work on not only facilitating highway closures as a result of the flooding, but ...</t>
  </si>
  <si>
    <t>https://www.usatoday.com/story/weather/2013/11/17/tornadoes-november-chicago-weather/3621499/</t>
  </si>
  <si>
    <t>How bizarre are tornadoes in November? - USA Today</t>
  </si>
  <si>
    <t>Nov 18, 2013 ... 10-11 of that year, a major outbreak of severe weather and tornadoes occurred across the Tennessee and Ohio Valley regions, producing damage in ...</t>
  </si>
  <si>
    <t>https://www.usatoday.com/story/weather/2013/11/17/midwest-storm-threat-twisters/3618023/</t>
  </si>
  <si>
    <t>Tornadoes, severe storms blast Midwest - USA Today</t>
  </si>
  <si>
    <t>Nov 18, 2013 ... ... tornado outbreak and widespread damaging winds. ... The potential for strong and long-track tornadoes will continue in the Ohio Valley and ...</t>
  </si>
  <si>
    <t>https://www.mprnews.org/story/2013/11/18/how-rare-is-major-november-tornado-outbreak</t>
  </si>
  <si>
    <t>How rare is major November tornado outbreak? - MPR News</t>
  </si>
  <si>
    <t>Nov 18, 2013 ... ... tornadoes north of the Ohio River. It may have been the farthest north a high risk has been forecast so late in the season. There is little ...</t>
  </si>
  <si>
    <t>https://www.usatoday.com/story/weather/2013/11/17/tornadoes-november-rare/3621009/</t>
  </si>
  <si>
    <t>How bizarre are tornadoes in November ... 10-11 of that year, a major outbreak of severe weather and tornadoes occurred across the Tennessee and Ohio Valley ...</t>
  </si>
  <si>
    <t>https://www.npr.org/sections/thetwo-way/2013/11/17/245817868/tornadoes-in-illinois-cause-severe-damage</t>
  </si>
  <si>
    <t>Tornadoes In Illinois Cause 'Severe Damage' : The Two-Way - NPR</t>
  </si>
  <si>
    <t>Nov 17, 2013 ... ... of the United States on Sunday. NOAA/Getty Images hide caption ... — Marcus Bailey (@marcusbailey) November 17, 2013. The Peoria Journal ...</t>
  </si>
  <si>
    <t>https://www.cnn.com/2013/11/18/us/midwest-tornadoes</t>
  </si>
  <si>
    <t>Midwest tornadoes: 'The sky was just rumbling' - CNN</t>
  </si>
  <si>
    <t>Nov 18, 2013 ... Pekin is part of the cluster of towns in central Illinois hit hard by the severe weather. ... Ohio River from Paducah, Kentucky.</t>
  </si>
  <si>
    <t>https://stateimpact.npr.org/oklahoma/2013/07/18/tree-program-to-combat-dust-is-dying-after-years-of-drought-and-disrepair/</t>
  </si>
  <si>
    <t>In Western Oklahoma, Drought Threatens Trees Planted to Prevent ...</t>
  </si>
  <si>
    <t>Jul 18, 2013 ... ... of the windbreaks are dying from drought and lack of maintenance. The dirty 1930s left a permanent mark on the Great Plains. To help prevent ...</t>
  </si>
  <si>
    <t>https://www.cnn.com/2013/06/30/us/southwest-heat</t>
  </si>
  <si>
    <t>Record-setting heat wave turns fatal in Southwest | CNN</t>
  </si>
  <si>
    <t>Jun 30, 2013 ... A record-setting and deadly heat wave has spread across the American West. ... heat wave that killed 17 people in the Las Vegas area. The culprit ...</t>
  </si>
  <si>
    <t>https://www.aberdeennews.com/story/news/2013/09/06/midwest-hot-dry-spell-brings-back-drought-worries/46269731/</t>
  </si>
  <si>
    <t>Midwest hot, dry spell brings back drought worries - Aberdeen News</t>
  </si>
  <si>
    <t>Sep 6, 2013 ... 6, 2013, 12:00 a.m. CT ... The heat wave struck many farm states - from ... Drought conditions surged in the last week in corn-producing states ...</t>
  </si>
  <si>
    <t>https://www.aberdeennews.com/story/news/2013/09/06/ortheast-sd-suffering-drought-conditions/46510571/</t>
  </si>
  <si>
    <t>Northeast S.D. suffering drought conditions - Aberdeen News</t>
  </si>
  <si>
    <t>Sep 6, 2013 ... The U.S. Drought Monitor rates 10 area counties as experiencing D-1 moderate drought ... heat wave, corn and soybeans in the field are hurting. " ...</t>
  </si>
  <si>
    <t>https://www.grandforksherald.com/newsmd/moodys-north-dakota-economy-cools</t>
  </si>
  <si>
    <t>Moody's: North Dakota economy cools - Grand Forks Herald | Grand ...</t>
  </si>
  <si>
    <t>Jul 15, 2013 ... ... droughts in other states. But the report ... of the state's economy. ... Background for a hot summer or heat wave, orange sky with with b.</t>
  </si>
  <si>
    <t>https://www.cnn.com/2013/04/12/us/drought-study</t>
  </si>
  <si>
    <t>Study: Natural causes, not human activity, behind Plains drought</t>
  </si>
  <si>
    <t>Apr 12, 2013 ... ... states. Although he believes in global warming, Hoerling said greenhouse gas concentrations weren't behind the heat wave in the Midwest region.</t>
  </si>
  <si>
    <t>https://www.npr.org/sections/thetwo-way/2013/07/01/197615002/heat-wave-will-bake-southwest-for-most-of-this-week</t>
  </si>
  <si>
    <t>Heat Wave Will Bake Southwest For Most Of This Week - NPR</t>
  </si>
  <si>
    <t>America. Heat Wave Will Bake Southwest For Most Of This Week. July 1, 201311:02 AM ET. By. Bill Chappell. Enlarge this image. A car shimmers in the heat ...</t>
  </si>
  <si>
    <t>https://www.cnn.com/2013/07/16/us/heat-wave</t>
  </si>
  <si>
    <t>As Eastern Seaboard roasts, New York could set power use record ...</t>
  </si>
  <si>
    <t>Updated 6:32 PM EDT, Tue July 16, 2013 ... As a heat wave kept roasting the ... The wetness will bring relief to drought-wracked Texas, but flooding is a ...</t>
  </si>
  <si>
    <t>https://www.baltimoresun.com/2013/10/27/outdoors-commentary-fishing-before-fronts-does-weather-matter/</t>
  </si>
  <si>
    <t>Outdoors commentary: Fishing before fronts: Does weather matter ...</t>
  </si>
  <si>
    <t>Oct 27, 2013 ... ... heat wave with 90-degree weather and humidity … a mini-drought ... PUBLISHED: October 27, 2013 ... On the East Coat of the United States, these ...</t>
  </si>
  <si>
    <t>https://transcripts.cnn.com/show/nday?start_fileid=nday_2013-07-17_06</t>
  </si>
  <si>
    <t>Jul 17, 2013 ... • Heat Wave Hits Parts of U.S.; Protests ... • Andy Murray Ends British Drought ... • Staggeringly Hot Temperatures Expected In Western States; Busy ...</t>
  </si>
  <si>
    <t>https://transcripts.cnn.com/show/cnr/date/2014-01-07/segment/01</t>
  </si>
  <si>
    <t>JetBlue Flights Stopped for 17 Hours; Amtrak Passengers Stranded ...</t>
  </si>
  <si>
    <t>Jan 7, 2014 ... ... winter storm, and then cold weather ice, another winter storm. ... in the Midwest ... in the United States. So you know. COSTELLO ...</t>
  </si>
  <si>
    <t>https://transcripts.cnn.com/show/cnr?start_fileid=cnr_2014-04-14_01</t>
  </si>
  <si>
    <t>April 13, 2014. • Search Area Expands for Missing ... U.S. Pinger Locator Detects Two Signals ... • Living in Limbo; Fort Hood Shooting; Tornadoes, Hail ...</t>
  </si>
  <si>
    <t>https://transcripts.cnn.com/show/nday?start_fileid=nday_2014-05-08_03</t>
  </si>
  <si>
    <t>May 8, 2014 ... ... Tornado Outbreak Kills 16 In Central U.S.; Interview with Kevin Johnson • Deadly Tornadoes In Midwest And Plains; Australian PM: Flight 370 ...</t>
  </si>
  <si>
    <t>https://www.bostonglobe.com/2014/04/27/tornadoes-strike-central-southern-killing/PVUqqGPjU3AvejxB8wVtwK/story.html</t>
  </si>
  <si>
    <t>Tornadoes strike central, southern US, killing 12 - The Boston Globe</t>
  </si>
  <si>
    <t>Apr 28, 2014 ... ... of the Plains, Midwest and South. Less than two hours before the Arkansas tornado struck, the twister hit Quapaw, a community of about 900 ...</t>
  </si>
  <si>
    <t>https://www.cjonline.com/story/news/politics/state/2014/04/27/stub-478/16671450007/</t>
  </si>
  <si>
    <t>Tornadoes kill 16 in Arkansas, 1 in Oklahoma</t>
  </si>
  <si>
    <t>Apr 27, 2014 ... A powerful storm system rumbled through the central and southern United States on Sunday, spawning several tornadoes, including one that killed a person in a ...</t>
  </si>
  <si>
    <t>https://www.gadsdentimes.com/story/news/local/2014/04/27/tornadoes-strike-again-hitting-central-southern-us/32104679007/</t>
  </si>
  <si>
    <t>Tornadoes strike again, hitting central, southern U.S.; at least 9 killed</t>
  </si>
  <si>
    <t>April 27, 2014Updated April 28, ... Tornado warnings, which indicate the greatest threat of a strike, were also in effect for parts of southeastern Missouri ...</t>
  </si>
  <si>
    <t>https://www.monroenews.com/story/news/2014/04/27/tornadoes-strike-central-us-killing/32645073007/</t>
  </si>
  <si>
    <t>Tornadoes strike central US, killing 2 in Oklahoma</t>
  </si>
  <si>
    <t>Updated April 27, 2014, 6:54 p.m. ET. OKLAHOMA CITY (AP) ? A powerful storm front rumbled through parts of the Plains, Midwest and South on Sunday, spawning ...</t>
  </si>
  <si>
    <t>https://www.usatoday.com/story/weather/2014/04/28/midwest-storms/8353073/</t>
  </si>
  <si>
    <t>Deadly tornadoes lash South - USA Today</t>
  </si>
  <si>
    <t>Apr 29, 2014 ... In addition to the severe weather threat, the National Weather Service warned of possible flash flooding in much of Mississippi, Alabama, ...</t>
  </si>
  <si>
    <t>https://www.cnn.com/2014/05/12/us/severe-weather</t>
  </si>
  <si>
    <t>Severe weather whips the central United States | CNN</t>
  </si>
  <si>
    <t>May 12, 2014 ... Behind the severe weather affecting the Plains, meteorologists are keeping a watchful eye on a snowstorm in the Rockies. Winter storm warnings ...</t>
  </si>
  <si>
    <t>https://www.monroenews.com/story/news/2014/05/13/southeast-michigan-hit-by-hail/32643957007/</t>
  </si>
  <si>
    <t>Southeast Michigan hit by hail, but no tornadoes</t>
  </si>
  <si>
    <t>Updated May 13, 2014, 5:00 a.m. ET. DETROIT (AP) ? Strong thunderstorms buffeted ... About Us Careers Accessibility Sitemap Legals Our Ethical Principles ...</t>
  </si>
  <si>
    <t>https://www.usatoday.com/story/weather/2014/08/13/rain-floods-long-island-northeast-wednesday/13994951/</t>
  </si>
  <si>
    <t>Wet Wednesday: Flooding rain swamps Northeast - USA Today</t>
  </si>
  <si>
    <t>Wet Wednesday: Flooding rain swamps Northeast. Doyle Rice. USA TODAY. Updated Aug. 13, 2014, 12:22 p.m. ET. Heavy rain swamped cars across parts of Nassau ...</t>
  </si>
  <si>
    <t>https://www.usatoday.com/story/weather/2014/08/12/rain-floods-northeast-new-york-city/13944123/</t>
  </si>
  <si>
    <t>Heavy rain, floods swamp Mid-Atlantic, Northeast - USA Today</t>
  </si>
  <si>
    <t>Aug 12, 2014 ... 12, 2014, 5:38 p.m. ET. Flooding swamped a van in Silver Spring, Md., on Tuesday morning, Aug. Drenching rain led to flash floods in the ...</t>
  </si>
  <si>
    <t>https://www.latimes.com/local/la-me-groundwater-20140822-story.html</t>
  </si>
  <si>
    <t>Western drought causes Earth's surface to rise as water levels drop</t>
  </si>
  <si>
    <t>Aug 21, 2014 ... Western drought causes Earth's surface to rise as water levels drop · More to Read · Record U.S. drought sparks worries about fires, water supply ...</t>
  </si>
  <si>
    <t>https://www.usatoday.com/story/weather/2014/01/15/weather-climate-report-2013/4490871/</t>
  </si>
  <si>
    <t>2013 a calm year in U.S. for hurricanes, tornadoes - USA Today</t>
  </si>
  <si>
    <t>Jan 16, 2014 ... ... 2014. The average precipitation across the state of California ... western drought/heat wave. There were fewer disasters in 2013 than ...</t>
  </si>
  <si>
    <t>https://www.marinij.com/2014/09/06/marin-farmers-and-ranchers-face-water-shortage-rising-feed-prices/amp/</t>
  </si>
  <si>
    <t>Marin farmers and ranchers face water shortage, rising feed prices ...</t>
  </si>
  <si>
    <t>Sep 6, 2014 ... PUBLISHED: September 6, 2014 ... Lewis said because much of the western United States is experiencing unusually dry conditions, the cost of hay ...</t>
  </si>
  <si>
    <t>https://www.marinij.com/general-news/20140323/california-drought-to-drive-up-food-prices-for-marin-shoppers/</t>
  </si>
  <si>
    <t>California drought to drive up food prices for Marin shoppers – Marin ...</t>
  </si>
  <si>
    <t>Mar 23, 2014 ... WITH 2013 THE driest year on record and 2014 ... states and countries might increase ... West Marin native reopens Old Western Saloon ...</t>
  </si>
  <si>
    <t>https://www.nytimes.com/2014/02/02/us/severe-drought-has-us-west-fearing-worst.html</t>
  </si>
  <si>
    <t>Severe Drought Has U.S. West Fearing Worst - The New York Times</t>
  </si>
  <si>
    <t>Feb 1, 2014 ... With no sign of rain, 17 rural California communities providing water to 40000 people are in danger of running out within 60 to 120 days.</t>
  </si>
  <si>
    <t>https://www.nytimes.com/interactive/2014/upshot/mapping-the-spread-of-drought-across-the-us.html</t>
  </si>
  <si>
    <t>Mapping the Spread of Drought Across the U.S. - The New York Times</t>
  </si>
  <si>
    <t>Droughts appear to be intensifying over much of the West and Southwest as a result of global warming. Over the past decade, droughts in some regions have ...</t>
  </si>
  <si>
    <t>https://www.washingtonpost.com/national/health-science/wests-historic-drought-stokes-fears-of-water-crisis/2014/08/17/d5c84934-240c-11e4-958c-268a320a60ce_story.html</t>
  </si>
  <si>
    <t>West's historic drought stokes fears of water crisis</t>
  </si>
  <si>
    <t>Aug 17, 2014 ... ... drought that continues to shatter records across the Western United States. The parched zone now spans a dozen states and nearly 600 ...</t>
  </si>
  <si>
    <t>https://stateimpact.npr.org/oklahoma/2014/03/21/western-oklahoma-gets-some-drought-relief-from-state-funded-grants/</t>
  </si>
  <si>
    <t>Western Oklahoma Gets Some Drought Relief In the Form of State ...</t>
  </si>
  <si>
    <t>March 21, 2014 | 1:05 pm. Western ... The latest update of the U.S. Drought Monitor shows 96 percent of the state is experiencing some level of drought, ...</t>
  </si>
  <si>
    <t>https://www.washingtonpost.com/politics/amid-drought-california-and-other-western-states-gird-for-a-landmark-year-in-forest-fires/2014/02/13/ec23fbae-9417-11e3-84e1-27626c5ef5fb_story.html</t>
  </si>
  <si>
    <t>Amid drought, California and other Western states gird for a ...</t>
  </si>
  <si>
    <t>Feb 14, 2014 ... It wasn't the largest fire of the year, and it didn't claim any lives. But it burned 333 acres in Humboldt County — one of the wettest places in ...</t>
  </si>
  <si>
    <t>https://www.usatoday.com/story/news/usanow/2014/05/16/wildfires-california-drought/9163635/</t>
  </si>
  <si>
    <t>Some residents return home as fires still rage in Calif. - USA Today</t>
  </si>
  <si>
    <t>May 16, 2014 ... ... state of California is in a severe drought – or worse. The three ... heat wave, including eight in one day. Contributing: Beth Weise in ...</t>
  </si>
  <si>
    <t>https://apnews.com/sd-state-wire-co-state-wire-ca-state-wire-04f2aa3229434b2fb95f954dab0ba352</t>
  </si>
  <si>
    <t>Studies fault warming in much of 2013 wild weather | AP News</t>
  </si>
  <si>
    <t>Updated 9:31 AM PDT, September ... United States and India, and ... For years, scientists said they could not attribute single weather events — like a drought, heat wave or ...</t>
  </si>
  <si>
    <t>https://transcripts.cnn.com/show/nday?start_fileid=nday_2014-02-06_02</t>
  </si>
  <si>
    <t>Feb 6, 2014 ... ... Drought; Arrests Made in Connection to ... January 28, 2014. • "State of the Union ... Heat Wave Hits Australian Open • New Mexico ...</t>
  </si>
  <si>
    <t>https://apnews.com/article/04f2aa3229434b2fb95f954dab0ba352</t>
  </si>
  <si>
    <t>Updated 9:31 AM PST, September ... United States and India, and ... For years, scientists said they could not attribute single weather events — like a drought, heat wave or ...</t>
  </si>
  <si>
    <t>https://www.chron.com/news/houston-weather/article/Flights-canceled-schools-closed-amid-Texas-6116367.php</t>
  </si>
  <si>
    <t>Flights canceled, schools closed amid Texas winter storm - Chron</t>
  </si>
  <si>
    <t>Mar 5, 2015 ... Flights canceled, schools closed amid Texas winter storm ... 24, 2015. Cody Duty ... The Midwest and eastern parts of the U.S. on ...</t>
  </si>
  <si>
    <t>https://www.capitalgazette.com/2015/02/21/another-winter-storm-hits-east-coast-more-cold-temps-coming/</t>
  </si>
  <si>
    <t>Another winter storm hits East Coast; more cold temps coming ...</t>
  </si>
  <si>
    <t>Feb 21, 2015 ... Another winter storm hits East Coast; more cold temps coming ... PUBLISHED: February 21, 2015 ... The eastern United States did not have the ...</t>
  </si>
  <si>
    <t>https://www.capitalgazette.com/2015/02/15/whiteout-conditions-cause-deadly-pileups-in-indiana-ohio-traffic-snarls-in-michigan/</t>
  </si>
  <si>
    <t>Whiteout conditions cause deadly pileups in Indiana, Ohio, traffic ...</t>
  </si>
  <si>
    <t>Feb 15, 2015 ... Meanwhile, the National Weather Service issued winter storm warnings for western Michigan and advisories for the central Lower Peninsula.</t>
  </si>
  <si>
    <t>https://www.miamiherald.com/news/nation-world/national/article10911830.html</t>
  </si>
  <si>
    <t>Feb 21, 2015 ... Another winter storm hits East Coast; more cold temps coming ... 21, 2015. Leon lives in ... The eastern United States did not have the ...</t>
  </si>
  <si>
    <t>https://www.staugustine.com/story/news/2015/02/22/another-winter-storm-hits-east-coast-cold-temps-coming/16248927007/</t>
  </si>
  <si>
    <t>Another winter storm hits East Coast, cold temps coming</t>
  </si>
  <si>
    <t>Feb 21, 2015 ... 21, 2015, 9:32 p.m. ET. The latest in an ... The eastern United States did not have the market cornered on misery, however: A winter storm ...</t>
  </si>
  <si>
    <t>https://www.al.com/news/2015/02/5_things_to_know_about_wednesd.html</t>
  </si>
  <si>
    <t>5 things to know about Alabama's potential snowstorm Wednesday ...</t>
  </si>
  <si>
    <t>Feb 24, 2015 ... 24, 2015, 12:07 a.m.. By. Leigh Morgan. south ... in the potential for a significant winter storm on Wednesday. ... Right now the thinking is that ...</t>
  </si>
  <si>
    <t>https://www.usatoday.com/picture-gallery/weather/2015/03/05/winter-storm-roars-from-south-to-east-coast/24427403/</t>
  </si>
  <si>
    <t>Winter storm roars from South to East Coast - USA Today</t>
  </si>
  <si>
    <t>Winter storm roars from South to East Coast. Updated March 5, 2015, 10:42 p.m. ET. Snowplows clear the snow covered streets in Washington, DC.</t>
  </si>
  <si>
    <t>https://www.usatoday.com/picture-gallery/news/2015/02/17/snowstorm-strikes-south-and-east/23531115/</t>
  </si>
  <si>
    <t>Snowstorm strikes South and East - USA Today</t>
  </si>
  <si>
    <t>Feb 16, 2015 ... ... 2015 in Washington, DC. The Washington DC area received 4-6 inches of snow overnight as a winter storm hit large areas of the east coast.</t>
  </si>
  <si>
    <t>https://www.baltimoresun.com/2015/02/21/another-winter-storm-hits-east-coast-more-cold-temps-coming/</t>
  </si>
  <si>
    <t>https://www.washingtonpost.com/news/capital-weather-gang/wp/2015/02/25/winter-storm-to-blast-southeast-mid-atlantic-with-heavy-snow-and-rain/</t>
  </si>
  <si>
    <t>Winter storm to blast Southeast, Mid-Atlantic with heavy snow and rain</t>
  </si>
  <si>
    <t>Feb 25, 2015 ... ... eastern U.S. in the past week. ... Fortunately, the warm ground will help mitigate the impacts of the winter storm in the Atlanta metro.</t>
  </si>
  <si>
    <t>https://www.washingtonpost.com/news/capital-weather-gang/wp/2015/04/10/strong-thunderstorms-possible-in-d-c-area-mid-to-late-afternoon/</t>
  </si>
  <si>
    <t>Strong thunderstorms possible in D.C. area mid to late afternoon</t>
  </si>
  <si>
    <t>Apr 10, 2015 ... Strong thunderstorms possible in D.C. area mid to late afternoon. April 10, 2015 ... Midwest and Ohio Valley over the past two days. These storms ...</t>
  </si>
  <si>
    <t>https://www.chron.com/news/houston-texas/article/Satellite-captures-severe-Texas-storms-from-above-6231687.php</t>
  </si>
  <si>
    <t>Satellite captures severe Texas storms from above - Chron</t>
  </si>
  <si>
    <t>Apr 29, 2015 ... ... 2015 in Cross Plains, Texas. (Nellie Doneva ... Tropical disturbance southeast ... tornadoes to Texas, smashed windshields with baseball-sized hail ...</t>
  </si>
  <si>
    <t>https://www.washingtonpost.com/news/capital-weather-gang/wp/2015/05/07/tornadoes-flash-floods-and-tigers-oklahoma-endures-crazy-storm-night/</t>
  </si>
  <si>
    <t>Tornadoes, flash floods and tigers — Oklahoma endures crazy storm ...</t>
  </si>
  <si>
    <t>May 7, 2015 ... These types of shelters, which are often buried in back yards, are fairly common in the Plains states. ... southern Plains a break this week.</t>
  </si>
  <si>
    <t>https://www.fresnobee.com/news/nation-world/national/article20942730.html</t>
  </si>
  <si>
    <t>Tornadoes in southern Plains destroy homes, flip cars | Fresno Bee</t>
  </si>
  <si>
    <t>May 7, 2015 ... A twister destroyed homes in Grady County, southwest of the city, and it appeared another tornado touched down in the area later Wednesday ...</t>
  </si>
  <si>
    <t>https://www.latimes.com/nation/nationnow/la-na-nn-severe-weather-20150506-story.html</t>
  </si>
  <si>
    <t>Tornadoes in southern Plains destroy homes, flip cars - LA Times</t>
  </si>
  <si>
    <t>May 6, 2015 ... That included a large tornado near the tiny town of Republic just south of the Nebraska state line, where some homes were damaged. In Harvey ...</t>
  </si>
  <si>
    <t>https://www.pennlive.com/nation-world/2015/05/oklahoma_storms_continue.html</t>
  </si>
  <si>
    <t>Storms to hit midwest as communities clean up from tornadoes</t>
  </si>
  <si>
    <t>May 7, 2015 ... Severe Weather Kansas. A tornado passes near Halstead, Kan., Wednesday, May 6, 2015. A swath of the Great Plains is under a tornado watch ...</t>
  </si>
  <si>
    <t>https://www.jacksonville.com/story/news/2015/05/09/storm-weary-oklahoma-braces-more-tornadoes-weekend/15661995007/</t>
  </si>
  <si>
    <t>Storm-weary Oklahoma braces for more tornadoes this weekend</t>
  </si>
  <si>
    <t>... southern Plains produced more than 50 tornadoes. The menacing clouds had ... The Plains states were not the only ones with threatening skies. Twin ...</t>
  </si>
  <si>
    <t>https://www.usatoday.com/picture-gallery/weather/2015/05/11/tornadoes-hit-the-plains-midwest/70923376/</t>
  </si>
  <si>
    <t>Tornadoes hit the Plains, Midwest - USA Today</t>
  </si>
  <si>
    <t>May 11, 2015 ... ... tornado touched down overnight in Van, Texas, USA, 11 May 2015. ... Communities in several southern plains states got to work cleaning up ...</t>
  </si>
  <si>
    <t>https://www.usatoday.com/story/weather/2015/05/07/severe-weather-southern-plains-oklahoma-kansas-tornadoes/70934378/</t>
  </si>
  <si>
    <t>Hit by twisters, high water, southern Plains braces for more severe ...</t>
  </si>
  <si>
    <t>Updated May 7, 2015, 2:26 p.m. ET. The southern Plains states from Texas ... At least nine tornadoes were reported in the state, the strongest of them in the sparsely populated north-central part of the state.</t>
  </si>
  <si>
    <t>https://apnews.com/article/tornadoes-c3b8f93bbefa4ab9b5a50e7f20aca55a</t>
  </si>
  <si>
    <t>Tornadoes in southern Plains, destroy homes, flip cars | AP News</t>
  </si>
  <si>
    <t>May 6, 2015 ... ... tornado Wednesday, May 6, 2015. A swath of the Great Plains is under ... in the sparsely populated north-central part of the state. ___.</t>
  </si>
  <si>
    <t>https://www.nytimes.com/2015/05/08/us/tornadoes-batter-kansas-nebraska-and-texas.html</t>
  </si>
  <si>
    <t>Tornadoes Hit Plains States, Battering Oklahoma</t>
  </si>
  <si>
    <t>May 7, 2015 ... U.S.|Tornadoes Hit Plains States, Battering Oklahoma. https://www ... May 7, 2015. OKLAHOMA CITY — The authorities on Thursday began ...</t>
  </si>
  <si>
    <t>https://www.fresnobee.com/news/nation-world/national/article20945529.html</t>
  </si>
  <si>
    <t>More storms coming as Plains states reel from tornadoes, floods</t>
  </si>
  <si>
    <t>May 7, 2015 ... Updated May 7, 2015 11:35 PM. As the nation's midsection braces for another bout of severe weather, many residents in Oklahoma are still ...</t>
  </si>
  <si>
    <t>https://www.baltimoresun.com/2015/05/10/south-dakota-north-texas-hit-by-tornadoes-this-weekend/</t>
  </si>
  <si>
    <t>South Dakota, North Texas hit by tornadoes this weekend ...</t>
  </si>
  <si>
    <t>May 10, 2015 ... PUBLISHED: May 10, 2015 ... It was among several Great Plains and Midwest states in the path of expected severe weather. ... Nearly 18 inches of ...</t>
  </si>
  <si>
    <t>https://www.washingtonpost.com/news/capital-weather-gang/wp/2015/05/11/weekend-storms-spawn-deadly-tornadoes-10-people-remain-missing/</t>
  </si>
  <si>
    <t>Weekend storms spawn deadly tornadoes, eight remain missing in ...</t>
  </si>
  <si>
    <t>May 11, 2015 ... ... United States since late last week. ... The National Weather Service in Des Moines is sending a team to survey the storm damage on Monday morning.</t>
  </si>
  <si>
    <t>https://www.chron.com/news/houston-texas/article/Debunking-hoax-photos-of-the-Houston-floods-6299640.php</t>
  </si>
  <si>
    <t>Debunking hoax photos of the Houston floods - Chron</t>
  </si>
  <si>
    <t>Jun 1, 2015 ... ... United States began to take root. By early September, a story ... 2015, in Houston, Texas. Memorial Drive was closed to traffic after ...</t>
  </si>
  <si>
    <t>http://www.chron.com/about/article/Houston-ISD-won-t-schedule-flood-makeup-day-6287154.php</t>
  </si>
  <si>
    <t>Houston ISD won't schedule flood makeup day - Chron</t>
  </si>
  <si>
    <t>May 26, 2015 ... Wednesday, May 27, 2015, in Houston, Texas.</t>
  </si>
  <si>
    <t>https://www.chron.com/neighborhood/bayarea/news/article/Heavy-rain-possible-flooding-for-southeast-Texas-9690624.php</t>
  </si>
  <si>
    <t>Heavy rain, possible flooding for southeast Texas Saturday and ...</t>
  </si>
  <si>
    <t>Jun 12, 2015 ... At the moment it appears the heavier amounts should fall on the lower ends of the basins. June 12, 2015.</t>
  </si>
  <si>
    <t>https://www.chron.com/news/houston-texas/article/Internet-weatherman-has-warnings-for-upcoming-6327828.php</t>
  </si>
  <si>
    <t>Internet weatherman has warnings for upcoming Houston flooding ...</t>
  </si>
  <si>
    <t>Jun 15, 2015 ... ... 2015, in Houston, Texas. Memorial Drive was ... flooding Tuesday, May 26, 2015. ... And a drought in the U.S. East is starting to take root just as ...</t>
  </si>
  <si>
    <t>https://www.expressnews.com/news/local/texas/article/Videos-show-flooding-devastation-throughout-Texas-6287404.php</t>
  </si>
  <si>
    <t>Videos show flooding devastation throughout Texas</t>
  </si>
  <si>
    <t>May 26, 2015 ... By Associated PressUpdated May 26, 2015 4:08 p.m. ... Washington (AFP) - US President Barack Obama expressed his condolences to the communities ...</t>
  </si>
  <si>
    <t>https://www.washingtonpost.com/news/post-politics/wp/2015/05/29/cruz-supports-federal-relief-for-texas-floods-voted-against-hurricane-sandy-funding/</t>
  </si>
  <si>
    <t>Cruz supports federal relief for Texas floods - The Washington Post</t>
  </si>
  <si>
    <t>May 29, 2015 ... The storm killed 117 people in the United States. "Emergency relief for the families who are suffering from this natural disaster should not ...</t>
  </si>
  <si>
    <t>https://www.nytimes.com/2015/05/28/us/texas-oklahoma-louisiana-storms.html</t>
  </si>
  <si>
    <t>Hundreds Form Search Parties to Seek Survivors in Texas Floods</t>
  </si>
  <si>
    <t>May 27, 2015 ... The greatest toll in the United States may turn out to be here in Hays County, southwest of Austin, where four people were confirmed dead and ...</t>
  </si>
  <si>
    <t>https://www.cnn.com/2015/05/31/us/severe-weather</t>
  </si>
  <si>
    <t>Texas floods: More rain expected in Houston - CNN</t>
  </si>
  <si>
    <t>May 31, 2015 ... US 3 min read. Texas floods: Enough rain fell in May to cover entire state 8 inches deep. By. Michael Martinez. ,. Ben Brumfield. Updated May 31 ...</t>
  </si>
  <si>
    <t>https://www.cnn.com/2015/05/24/us/gallery/texas-oklahoma-flash-flood</t>
  </si>
  <si>
    <t>Texas flooding - CNN</t>
  </si>
  <si>
    <t>May 24, 2015 ... U.S.. Texas flooding. Updated 8:07 AM EDT, Mon June 1, 2015.</t>
  </si>
  <si>
    <t>https://www.cnn.com/2015/05/30/us/severe-weather</t>
  </si>
  <si>
    <t>May 30, 2015 ... US 4 min read. Texas floods: Enough rain to cover entire state with 8 inches of water in May. By. Michael Martinez. ,. Ben Brumfield. Updated ...</t>
  </si>
  <si>
    <t>https://www.usatoday.com/picture-gallery/news/nation-now/2015/06/02/compelling-texas-flood-photos/28358143/</t>
  </si>
  <si>
    <t>Compelling Texas flood photos - USA Today</t>
  </si>
  <si>
    <t>Jun 3, 2015 ... Vehicles are left stranded on Interstate 45 in Houston, Texas on May 26, 2015. Heavy rains throught Texas put the city of Houston under massive ...</t>
  </si>
  <si>
    <t>https://www.washingtonpost.com/news/capital-weather-gang/wp/2015/05/24/record-breaking-rainfall-forces-critical-flash-flooding-in-saturated-oklahoma-texas/</t>
  </si>
  <si>
    <t>Record-breaking rainfall forces critical flash flooding in Oklahoma ...</t>
  </si>
  <si>
    <t>May 24, 2015 ... Flash flood watches and warnings stretch from southern Texas to Missouri as a trough of low pressure digs across the southern United States.</t>
  </si>
  <si>
    <t>https://www.usatoday.com/story/weather/2015/06/22/windstorm-derecho-midwest/29110023/</t>
  </si>
  <si>
    <t>Derecho, tornadoes roar across Midwest - USA Today</t>
  </si>
  <si>
    <t>Jun 23, 2015 ... More severe weather is forecast for Tuesday in the Northeast and Mid-Atlantic, the Storm Prediction Center said. ... While the north-central ...</t>
  </si>
  <si>
    <t>https://www.columbiadailyherald.com/story/news/local/2015/10/04/south-carolina-flooding-disaster-record/25694041007/</t>
  </si>
  <si>
    <t>South Carolina flooding disaster: Record rainfall, dam breaches</t>
  </si>
  <si>
    <t>Oct 4, 2015 ... ... South Carolina history is leading to devastating flooding in many parts of the state ... in the forecast for central and eastern South Carolina.</t>
  </si>
  <si>
    <t>https://www.cnn.com/2015/10/03/us/gallery/east-coast-flooding</t>
  </si>
  <si>
    <t>Storms flood East Coast | CNN</t>
  </si>
  <si>
    <t>Oct 7, 2015 ... A deluge roared over the East Coast, causing blackouts and evacuations while threatening record rainfall in South Carolina and the southern ...</t>
  </si>
  <si>
    <t>https://www.cnn.com/2015/10/05/us/south-carolina-east-coast-rain-flood</t>
  </si>
  <si>
    <t>South Carolina flooding: 'We have lost everything' | CNN</t>
  </si>
  <si>
    <t>Oct 5, 2015 ... Related gallery Storms drench East Coast ... But some rivers may not crest for possibly two weeks, he said, meaning parts of the state will be ...</t>
  </si>
  <si>
    <t>https://www.baltimoresun.com/2015/10/08/md-civil-air-patrol-to-help-document-sc-flood-damage/</t>
  </si>
  <si>
    <t>Md. Civil Air Patrol to help document S.C. flood damage – Baltimore ...</t>
  </si>
  <si>
    <t>Oct 8, 2015 ... ... flooding in South Carolina, the U.S. Air ... The rainstorm drenching the East Coast brought more misery Sunday to South ... 7, 2015 as parts of the ...</t>
  </si>
  <si>
    <t>https://www.nytimes.com/2015/10/06/us/south-carolina-flooding.html</t>
  </si>
  <si>
    <t>End to Rain Is in Sight, but Floods Will Persist in South Carolina</t>
  </si>
  <si>
    <t>Oct 5, 2015 ... ... United States mainland — was expected to end Tuesday. ... In historic Charleston, Columbia's coastal cousin to the south, the worst of the ...</t>
  </si>
  <si>
    <t>https://www.hcn.org/articles/twisp-wildfire-washington-firefighter-deaths-methow-valley/</t>
  </si>
  <si>
    <t>What we've lost in the Methow Valley wildfires - High Country News</t>
  </si>
  <si>
    <t>Aug 21, 2015 ... There are more than 100 large, uncontained wildfires raging in 15 western states, according to Tom Tidwell, the U.S. Forest Service chief ...</t>
  </si>
  <si>
    <t>https://www.adn.com/alaska-news/article/2015-alaska-wildfire-season-now-second-biggest-record/2015/08/11/?outputType=amp-type</t>
  </si>
  <si>
    <t>2015 Alaska wildfire season now 2nd biggest on record - Anchorage ...</t>
  </si>
  <si>
    <t>Aug 10, 2015 ... Western Alaska has proved persistently dry even while most of rest of the state has seen some rain. In the Yukon Delta National Wildlife ...</t>
  </si>
  <si>
    <t>https://www.marinij.com/business/20150823/western-wildfires-firefighters-to-get-additional-resources/</t>
  </si>
  <si>
    <t>Western wildfires: Firefighters to get additional resources – Marin ...</t>
  </si>
  <si>
    <t>Aug 23, 2015 ... The U.S. Forest Service says the fire near Snow Summit Ski Resort south of Big Bear Lake has forced evacuation orders for about 400 homes, many ...</t>
  </si>
  <si>
    <t>https://www.marinij.com/2015/08/24/record-wildfire-in-washington-gets-international-local-help/?noamp=mobile</t>
  </si>
  <si>
    <t>Record wildfire in Washington gets international, local help – Marin ...</t>
  </si>
  <si>
    <t>Aug 24, 2015 ... (AP) — As Washington state's wildfires ... West and augmented by U.S. soldiers. The ... Originally Published: August 24, 2015 at 12:34 AM PDT ...</t>
  </si>
  <si>
    <t>https://www.marinij.com/general-news/20150819/three-firefighters-killed-in-washington-state-wildfire/</t>
  </si>
  <si>
    <t>Three firefighters killed in Washington state wildfire – Marin ...</t>
  </si>
  <si>
    <t>Aug 19, 2015 ... PUBLISHED: August 19, 2015 ... of the most active in the United States in recent years. Nearly 29,000 firefighters are battling some 100 large ...</t>
  </si>
  <si>
    <t>https://www.washingtonpost.com/news/energy-environment/wp/2015/09/01/wildfires-have-now-burned-a-massive-8-million-acres-across-the-u-s-this-year/</t>
  </si>
  <si>
    <t>Wildfires have now burned a massive 8 million acres across the U.S.</t>
  </si>
  <si>
    <t>Sep 2, 2015 ... Firefighters continued to battle blazes along the western coast of the United States. ... U.S. wildfires in 2015. 8,202,557 of them, to be ...</t>
  </si>
  <si>
    <t>https://www.washingtonpost.com/news/energy-environment/wp/2015/08/18/with-7-million-acres-burned-so-far-this-year-the-u-s-wildfire-situation-is-looking-dire/</t>
  </si>
  <si>
    <t>With a stunning 7 million acres burned so far, the U.S. wildfire ...</t>
  </si>
  <si>
    <t>Aug 19, 2015 ... This story has been updated. Wildfires are exploding across the western United States, overstretching resources and, in some states, ...</t>
  </si>
  <si>
    <t>https://www.nytimes.com/interactive/2015/07/15/us/california-fire-season-drought.html</t>
  </si>
  <si>
    <t>After Years of Drought, Wildfires Rage in California</t>
  </si>
  <si>
    <t>Jul 15, 2015 ... 2015. projected range. Sources: United States Department of the Interior; National Interagency Fire Center. Residents and firefighters, usually ...</t>
  </si>
  <si>
    <t>https://www.nytimes.com/2015/08/21/us/3-firefighters-die-in-crash-on-way-to-washington-state-blaze.html</t>
  </si>
  <si>
    <t>Western Wildfires Consume Manpower and Acreage</t>
  </si>
  <si>
    <t>Aug 20, 2015 ... There were 93 uncontained large fires burning in the United States ... 21, 2015, Section A, Page 12 of the New York edition with the ...</t>
  </si>
  <si>
    <t>https://www.cnn.com/2015/08/21/us/wildfires-western-states</t>
  </si>
  <si>
    <t>Western state wildfires: Soldiers ready to join fight | CNN</t>
  </si>
  <si>
    <t>Aug 21, 2015 ... In all, 259 wildfires are burning in 17 states, mostly in the West and Southwest, Frederick said. That figure falls within the 100 to 300 range ...</t>
  </si>
  <si>
    <t>https://www.marinij.com/2015/08/20/wildfires-wreak-havoc-in-drought-choked-western-states/amp/</t>
  </si>
  <si>
    <t>Wildfires wreak havoc in drought-choked Western states – Marin ...</t>
  </si>
  <si>
    <t>Aug 20, 2015 ... With so many blazes burning across the West, the fire slid from the top of the national wildfire priorities list. Ad. ___. IDAHO. Firefighters ...</t>
  </si>
  <si>
    <t>https://www.marinij.com/general-news/20150618/western-wildfires-blazes-burn-in-4-states-amid-hot-weather/</t>
  </si>
  <si>
    <t>Western wildfires: Blazes burn in 4 states amid hot weather – Marin ...</t>
  </si>
  <si>
    <t>Jun 18, 2015 ... A smoky brush fire near a rural Arizona community was contained mainly to a dry riverbed, allowing most of the hundreds of evacuated residents ...</t>
  </si>
  <si>
    <t>https://www.marinij.com/2015/08/14/western-wildfires-wind-heat-dry-land-fueling-large-blazes/</t>
  </si>
  <si>
    <t>Western wildfires: Wind, heat, dry land fueling large blazes – Marin ...</t>
  </si>
  <si>
    <t>Aug 14, 2015 ... PUBLISHED: August 14, 2015 ... Here's a look at blazes in Western states: ___. OREGON ... Dozens of smaller fires burned forested areas of the state ...</t>
  </si>
  <si>
    <t>https://www.washingtonpost.com/news/capital-weather-gang/wp/2015/12/30/rivers-rise-to-record-levels-in-midwest-flooding-will-be-major-to-historic/</t>
  </si>
  <si>
    <t>Rivers rise to record levels in Midwest, flooding will be 'major to ...</t>
  </si>
  <si>
    <t>Dec 30, 2015 ... ... of the Midwest from Illinois to northeast Texas. Some ... of the 20 people that lost their lives in deadly tornado outbreaks on Dec.</t>
  </si>
  <si>
    <t>https://apnews.com/general-news-feaa3e8bd30d418a9cd20c3ef015f17c</t>
  </si>
  <si>
    <t>Texas cleans up after twisters, snow and ice pelt Midwest | AP News</t>
  </si>
  <si>
    <t>Dec 28, 2015 ... At least 11 people died and dozens were injured in the tornadoes that swept through the Dallas area Saturday. Snow from New Mexico through the ...</t>
  </si>
  <si>
    <t>https://www.southbendtribune.com/story/news/2015/12/28/wisters-floods-hit-midwest-and-texas-and-its-not-over-ye/46219565/</t>
  </si>
  <si>
    <t>Twisters, floods hit Midwest and Texas -- and it's not over yet</t>
  </si>
  <si>
    <t>Dec 28, 2015 ... On the other side of the state, the Department of ... Debris of homes spread out after Saturday's tornado in Garland, Texas, Sunday, Dec.</t>
  </si>
  <si>
    <t>https://www.expressnews.com/news/local/article/At-least-11-dead-after-winter-storms-tornadoes-6722388.php</t>
  </si>
  <si>
    <t>At least 11 dead after winter storms, tornadoes hit Texas</t>
  </si>
  <si>
    <t>Dec 27, 2015 ... ... Texas and the Oklahoma Panhandle to flooding in parts of the Plains and Midwest. ... Dec 27, 2015 |Updated Dec 27, 2015 9:06 a.m.. San ...</t>
  </si>
  <si>
    <t>https://www.swtimes.com/story/news/nation-world/2015/12/28/strong-thunderstorms-threaten-u-s/26325914007/</t>
  </si>
  <si>
    <t>Strong Thunderstorms Threaten U.S. South; Snow Falls In Midwest</t>
  </si>
  <si>
    <t>Dec 28, 2015 ... 28, 2015, 8:00 a.m. CT. CHICAGO — Strong and gusty thunderstorms with tornadoes were threatening the U.S. Gulf Coast on Monday, following ...</t>
  </si>
  <si>
    <t>https://www.denverpost.com/2015/12/28/texas-cleans-up-after-twisters-snow-and-ice-pelt-midwest/</t>
  </si>
  <si>
    <t>Texas cleans up after twisters, snow and ice pelt Midwest</t>
  </si>
  <si>
    <t>PUBLISHED: December 28, 2015 at 1:27 PM MST | ... GARLAND, Texas — Residents surveyed the destruction from deadly tornadoes in North Texas as the same storm ...</t>
  </si>
  <si>
    <t>https://www.chicagotribune.com/2015/12/28/midwest-storm-brings-twisters-floods-and-its-not-over-yet/</t>
  </si>
  <si>
    <t>Midwest storm brings twisters, floods, and it's not over yet</t>
  </si>
  <si>
    <t>Dec 28, 2015 ... A QuikTrip gas station along U.S. 50 and State Route 47 is flooded Dec. 29, 2015, in Union, Mo. Sandbags are packed to barricade shops along ...</t>
  </si>
  <si>
    <t>https://www.nytimes.com/2015/12/29/us/extreme-weather-texas-missouri-illinois-louisiana-mississippi-new-mexico-oklahoma.html</t>
  </si>
  <si>
    <t>Severe Weather Aims for New Targets After Pummeling Texas ...</t>
  </si>
  <si>
    <t>Dec 28, 2015 ... 28, 2015. After spawning tornadoes in Texas and floods in the Midwest, deadly storm systems continued to drift across the United States on ...</t>
  </si>
  <si>
    <t>https://www.washingtonpost.com/news/capital-weather-gang/wp/2015/12/29/the-connection-between-el-nino-and-deadly-december-tornadoes/</t>
  </si>
  <si>
    <t>The connection between El Niño and deadly December tornadoes</t>
  </si>
  <si>
    <t>Dec 29, 2015 ... After a week of severe weather ranging from violent tornadoes to flash flooding has killed dozens of people in the South and Midwest, ...</t>
  </si>
  <si>
    <t>https://www.cjonline.com/story/news/politics/state/2015/12/28/us-weather-large-storm-brings-twisters-floods-snow-ice-900-canceled-flights/16606081007/</t>
  </si>
  <si>
    <t>U.S. weather: Large storm brings twisters, floods, snow ice, 900 ...</t>
  </si>
  <si>
    <t>Dec 28, 2015 ... Snow from New Mexico through the Midwest, plus flooding in Arkansas, Missouri and Illinois, added to the succession of severe weather events ...</t>
  </si>
  <si>
    <t>https://www.beaconjournal.com/story/news/nation-world/2015/12/29/texas-cleans-up-after-twisters/10347712007/</t>
  </si>
  <si>
    <t>Dec 29, 2015 ... 29, 2015, 11:00 a.m. ET ... severe weather events across the country in ... Mary Fallin declared a state of emergency after blizzard conditions ...</t>
  </si>
  <si>
    <t>https://www.usatoday.com/story/weather/2015/12/27/severe-weather-tornadoes-texas-south/77939562/</t>
  </si>
  <si>
    <t>Texas under siege: Tornadoes, flooding, snow and ice - USA Today</t>
  </si>
  <si>
    <t>Dec 27, 2015 ... ... of the Midwest and South for several days. ... Most of the fatalities occurred on highways as multiple cars became caught in the severe weather ...</t>
  </si>
  <si>
    <t>https://www.npr.org/2016/01/07/462265900/u-s-weather-wet-and-wild-in-2015-though-no-big-hurricanes</t>
  </si>
  <si>
    <t>U.S. Weather Wet And Wild In 2015, Though No Big Hurricanes - NPR</t>
  </si>
  <si>
    <t>Jan 7, 2016 ... ... in the South and Midwest. NOAA'S Deke Arndt says he and other ... severe weather · drought · tornado. Facebook; Flipboard; Email. An error has ...</t>
  </si>
  <si>
    <t>https://www.usatoday.com/story/weather/2015/12/27/missouri-weather-state-of-emergency/77959226/</t>
  </si>
  <si>
    <t>Severe weather prompts Mo. gov. to declare emergency - USA Today</t>
  </si>
  <si>
    <t>USA TODAY. Dec. 27, 2015Updated Dec. 28, 2015, 7:18 a.m. ET. The flooding and severe weather hitting Southern and Midwestern states prompted Missouri Gov.</t>
  </si>
  <si>
    <t>https://www.baltimoresun.com/2015/12/28/texas-cleans-up-after-twisters-snow-and-ice-pelt-midwest/</t>
  </si>
  <si>
    <t>Texas cleans up after twisters, snow and ice pelt Midwest ...</t>
  </si>
  <si>
    <t>Dec 28, 2015 ... PUBLISHED: December 28, 2015 ... severe weather events across the country in ... Mary Fallin declared a state of emergency after blizzard conditions ...</t>
  </si>
  <si>
    <t>https://www.dailydemocrat.com/general-news/20150625/gop-lawmakers-introduce-revised-federal-drought-relief-bill/</t>
  </si>
  <si>
    <t>GOP lawmakers introduce revised federal drought relief bill</t>
  </si>
  <si>
    <t>Jun 25, 2015 ... ... of the House to engage on this legislation and push forward a Western drought relief bill as swiftly as possible. However, California ...</t>
  </si>
  <si>
    <t>https://www.usatoday.com/story/weather/2015/03/17/california-western-drought/23953599/</t>
  </si>
  <si>
    <t>Intensifying Calif. drought sets off alarms - USA Today</t>
  </si>
  <si>
    <t>... drought sets off alarms. Doyle Rice. USA TODAY. March 17, 2015Updated March 18, 2015, 5:50 a.m. ET. As California's epic drought continues with no end ...</t>
  </si>
  <si>
    <t>https://www.washingtonpost.com/national/at-a-car-wash-in-the-california-desert-drought-message-is-hard-to-hear/2015/05/23/e00cb230-f5c2-11e4-84a6-6d7c67c50db0_story.html</t>
  </si>
  <si>
    <t>At a car wash in the California desert, drought message is hard to hear</t>
  </si>
  <si>
    <t>May 23, 2015 ... ... state's drought has not had much of an impact yet in the town. ... “It hasn't hit me yet,” says Jesus Aviles. Western drought steals clean energy ...</t>
  </si>
  <si>
    <t>https://www.washingtonpost.com/news/morning-mix/wp/2015/05/07/more-than-12-million-trees-killed-by-california-drought/</t>
  </si>
  <si>
    <t>More than 12 million trees killed by California drought</t>
  </si>
  <si>
    <t>May 7, 2015 ... ... in the atmosphere and an acceleration of global warming. [Western drought steals clean energy along with fresh water at power plants].</t>
  </si>
  <si>
    <t>https://www.chieftain.com/story/news/2015/04/16/more-snow-more-flow/9201015007/</t>
  </si>
  <si>
    <t>More snow, more flow? - Pueblo Chieftain</t>
  </si>
  <si>
    <t>Apr 16, 2015 ... The U.S. Drought Monitor continues to show Southeastern and Western Colorado in severe drought, which is a lower stage than the extreme and ...</t>
  </si>
  <si>
    <t>https://www.carsonnow.org/04/01/2015/drought-news-california-governor-brown-directs-first-ever-mandatory-water-restricti</t>
  </si>
  <si>
    <t>Drought News: California Governor Brown directs first ever ...</t>
  </si>
  <si>
    <t>Apr 1, 2015 ... ... West, told KNPR's State of Nevada that when it comes to water supply in the West there is not one single solution. “There is no silver ...</t>
  </si>
  <si>
    <t>https://www.carsonnow.org/07/23/2015/outdoors-don-q-our-prolonged-drought-has-created-serious-problems</t>
  </si>
  <si>
    <t>Outdoors with Don Q: Our prolonged drought has created serious ...</t>
  </si>
  <si>
    <t>Jul 23, 2015 ... ... 2015 is the salt water fishing that we just experienced in Alaska. Locally, our water levels are just too low for us to try to fish. Fire ...</t>
  </si>
  <si>
    <t>https://www.bellinghamherald.com/news/nation-world/national/article22905798.html</t>
  </si>
  <si>
    <t>California looks Down Under for drought advice | Bellingham Herald</t>
  </si>
  <si>
    <t>May 25, 2015 ... Updated May 26, 2015 7:43 AM ... CALIFORNIA: California has been one of the most lax U.S. states in tracking water use, but the drought is ...</t>
  </si>
  <si>
    <t>https://www.sfchronicle.com/science/article/Running-dry-How-the-drought-is-forging-a-new-6324313.php</t>
  </si>
  <si>
    <t>Running dry: How the drought is forging a new California</t>
  </si>
  <si>
    <t>Jun 13, 2015 ... ... in the Serrato home April 13, 2015 in Porterville, Calif. ... in the western half of the continental United States. The lake was ...</t>
  </si>
  <si>
    <t>https://www.sfchronicle.com/news/article/Blame-the-drought-Wildlife-disappearing-in-6324355.php</t>
  </si>
  <si>
    <t>Blame the drought: Wildlife disappearing in Tulare Basin</t>
  </si>
  <si>
    <t>Jun 13, 2015 ... ... in the western half of the continental United States. The lake was dried up by the year 1900 due to emerging agriculture in the region.</t>
  </si>
  <si>
    <t>https://www.marinij.com/2015/05/11/drought-impact-felt-across-west/amp/</t>
  </si>
  <si>
    <t>Drought impact felt across West – Marin Independent Journal</t>
  </si>
  <si>
    <t>May 11, 2015 ... A severe drought grips almost 40 percent of the West, according to the U.S. Drought Monitor, a federal website. Outside California, conditions ...</t>
  </si>
  <si>
    <t>https://www.marinij.com/2015/07/13/drought-could-worsen-west-nile-spread/</t>
  </si>
  <si>
    <t>Drought could worsen West Nile spread – Marin Independent Journal</t>
  </si>
  <si>
    <t>Jul 13, 2015 ... The state's historic drought could ramp up the risk for West ... PUBLISHED: July 13, 2015 at ... in the United States in 1999. Mosquitoes ...</t>
  </si>
  <si>
    <t>https://www.marinij.com/2015/07/12/west-nile-virus-spreads-is-california-drought-to-blame-2/amp/</t>
  </si>
  <si>
    <t>West Nile virus spreads: Is California drought to blame? – Marin ...</t>
  </si>
  <si>
    <t>Jul 12, 2015 ... Thirty-one Californians last year weren”t as fortunate. They succumbed to West Nile infection in one of the worst outbreaks the Golden State has ...</t>
  </si>
  <si>
    <t>https://www.washingtonpost.com/national/health-science/todays-drought-in-the-west-is-nothing-compared-to-what-may-be-coming/2015/02/12/0041646a-b2d9-11e4-854b-a38d13486ba1_story.html</t>
  </si>
  <si>
    <t>A 'megadrought' will grip U.S. in the coming decades, NASA ...</t>
  </si>
  <si>
    <t>Feb 12, 2015 ... ... 2015More than 11 years ago. NASA forecasts ... A single El Niño weather pattern in the West could interrupt periods of prolonged drought.</t>
  </si>
  <si>
    <t>https://www.nytimes.com/2015/07/06/us/california-drought-sends-us-water-agency-back-to-drawing-board.html</t>
  </si>
  <si>
    <t>Drought Sends U.S. Water Agency Back to Drawing Board</t>
  </si>
  <si>
    <t>Jul 5, 2015 ... The Bureau of Reclamation, which runs a vast network of dams, reservoirs and aqueducts across the West, is taking a hard look at its ...</t>
  </si>
  <si>
    <t>https://www.washingtonpost.com/news/energy-environment/wp/2015/08/24/the-big-fish-story-everyone-is-missing-in-the-western-drought/</t>
  </si>
  <si>
    <t>The big fish story everyone is missing in the Western drought</t>
  </si>
  <si>
    <t>Aug 24, 2015 ... In California, they're not getting much. If the state's severe drought continues the way it has for another two years, its salmon, steelhead and ...</t>
  </si>
  <si>
    <t>https://www.nytimes.com/2015/04/05/us/california-drought-tests-history-of-endless-growth.html</t>
  </si>
  <si>
    <t>California Drought Tests History of Endless Growth</t>
  </si>
  <si>
    <t>Apr 4, 2015 ... U.S.|California Drought Tests History of Endless Growth. https://www.nytimes.com/2015/04/05/us/california-drought-tests-history-of-endless ...</t>
  </si>
  <si>
    <t>https://www.marinij.com/2015/07/20/drought-dings-quality-of-winter-wheat-in-northwest/amp/</t>
  </si>
  <si>
    <t>Drought dings quality of winter wheat in Northwest – Marin ...</t>
  </si>
  <si>
    <t>Jul 20, 2015 ... He and other growers in western ... heat wave in May and June caused Oregon's ... states, according to data from the United States Department of ...</t>
  </si>
  <si>
    <t>https://www.latimes.com/science/sciencenow/la-sci-sn-drought-heat-wave-combination-20150831-story.html</t>
  </si>
  <si>
    <t>Drought and heat waves are much more likely to mix, researchers say</t>
  </si>
  <si>
    <t>Aug 31, 2015 ... Meanwhile, the odds of a combined heat wave and drought fell in many Northern states and in parts of the Midwest. The more extreme the heat wave ...</t>
  </si>
  <si>
    <t>https://www.ocregister.com/2015/07/21/drought-dings-quality-of-winter-wheat-in-northwest/</t>
  </si>
  <si>
    <t>Drought dings quality of winter wheat in Northwest</t>
  </si>
  <si>
    <t>Jul 21, 2015 ... ... in the Northwestern United States. ... Blake Rowe, CEO of the Oregon Wheat Commission and Oregon Wheat Growers League, said the heat wave ...</t>
  </si>
  <si>
    <t>https://www.usatoday.com/story/weather/2015/09/01/heat-waves-droughts-frequent/71520160/</t>
  </si>
  <si>
    <t>U.S. heat waves, droughts occuring together more frequently</t>
  </si>
  <si>
    <t>Sep 1, 2015 ... ... heat wave, the greater likelihood that it happened at the same time ... 2015 is likely to break that record. A map displays the ...</t>
  </si>
  <si>
    <t>https://www.washingtonpost.com/news/energy-environment/wp/2015/08/12/california-is-battling-yet-another-fast-growing-wildfire-the-jerusalem-fire/</t>
  </si>
  <si>
    <t>California is battling yet another dangerously explosive wildfire</t>
  </si>
  <si>
    <t>Aug 13, 2015 ... ... drought-fueled dryness of the region. ... Most troubling, a heat wave, possibly approaching triple digits, is expected soon in the state.</t>
  </si>
  <si>
    <t>https://www.washingtonpost.com/news/capital-weather-gang/wp/2016/02/26/eight-tornadoes-touched-down-in-virginia-in-wednesdays-deadly-outbreak/</t>
  </si>
  <si>
    <t>Eight tornadoes touched down in Virginia in Wednesday's deadly ...</t>
  </si>
  <si>
    <t>Eight tornadoes touched down in Virginia in Wednesday's deadly outbreak. February 26, 2016More than 10 years ago. Make us preferred on Google.</t>
  </si>
  <si>
    <t>https://www.usatoday.com/story/weather/2016/02/28/tornado-research-vortex-southeast/80926262/</t>
  </si>
  <si>
    <t>Deadly 'Dixie Alley' focus of new tornado-chasing campaign</t>
  </si>
  <si>
    <t>Feb 29, 2016 ... On average, about 40 people die in the nine states that make up the southeastern U.S. each year. Alabama tallies the highest death toll annually ...</t>
  </si>
  <si>
    <t>https://www.washingtonpost.com/news/capital-weather-gang/wp/2016/02/25/the-meteorology-behind-wednesdays-east-coast-severe-thunderstorm-outbreak/</t>
  </si>
  <si>
    <t>The meteorology behind Wednesday's East Coast severe ...</t>
  </si>
  <si>
    <t>Feb 25, 2016 ... Tornadoes in southeast Virginia killed four people. ... Violent thunderstorms and tornadoes lashed parts of the eastern U.S. on Feb.</t>
  </si>
  <si>
    <t>https://www.cnn.com/2016/02/25/us/severe-weather-threat-for-southeast</t>
  </si>
  <si>
    <t>Tornadoes, storms kill 7 on U.S. East Coast, in South | CNN</t>
  </si>
  <si>
    <t>Feb 25, 2016 ... ... 2016, 3:14 AM ET. Updated Feb 25, 2016, 9:11 AM ET. PUBLISHED ... Severe weather throws school bus up against high school in Alabama. 0 ...</t>
  </si>
  <si>
    <t>https://www.pennlive.com/news/2016/02/recipe_for_disaster_nws_explai.html</t>
  </si>
  <si>
    <t>How did 'unusual' February tornado hit central Pa.? - PennLive.com</t>
  </si>
  <si>
    <t>Feb 25, 2016 ... ... southeastern part of the state, DeVoir said. With all of those ... Light of day reveals extensive storm damage · The cleanup has begun in ...</t>
  </si>
  <si>
    <t>https://www.al.com/news/2016/02/weather_service_counting_up_nu.html</t>
  </si>
  <si>
    <t>Five tornadoes confirmed so far from Tuesday's storms - AL.com</t>
  </si>
  <si>
    <t>Feb 24, 2016 ... ... Southeast on Tuesday, including several ... — NWS Mobile (@NWSMobile) February 24, 2016. The weather service teams look at a storm's damage ...</t>
  </si>
  <si>
    <t>https://www.beaumontenterprise.com/news/article/Orange-residents-have-60-days-to-put-out-flood-7223173.php</t>
  </si>
  <si>
    <t>Orange residents have 60 days to put out flood debris</t>
  </si>
  <si>
    <t>Apr 1, 2016 ... ... of the flood waters' path in time. Angelle ... Photo taken Monday, March 21, 2016 ... Isla Blanca Park tops USA Today's Texas beach rankings for ...</t>
  </si>
  <si>
    <t>https://www.texasobserver.org/uncertain-floods/</t>
  </si>
  <si>
    <t>Photo Essay: Floods Drown 'High Ground' in Uncertain, Texas</t>
  </si>
  <si>
    <t>Mar 22, 2016 ... The tight-knit community on Caddo Lake is used to riding out high water. But in March 2016, many there were washed out of their homes by ...</t>
  </si>
  <si>
    <t>https://www.usatoday.com/story/weather/2016/03/16/flood-disaster-texas-louisiana/81865274/</t>
  </si>
  <si>
    <t>Disastrous flooding continues to swamp Texas, Louisiana</t>
  </si>
  <si>
    <t>Floods. Add Topic. WEATHER. Disastrous flooding continues to swamp Texas, Louisiana. Doyle Rice. USA TODAY. Updated March 16, 2016, 5:05 p.m. ET.</t>
  </si>
  <si>
    <t>https://www.usatoday.com/story/weather/2016/03/14/record-flooding-texas-louisiana-deweyville/81761246/</t>
  </si>
  <si>
    <t>Record flooding swamps Texas, Louisiana, Miss. - USA Today</t>
  </si>
  <si>
    <t>Mar 14, 2016 ... Homes in Monroe and throughout northeast Louisiana remain underwater due to flooding. Photo taken March. Flood warnings were in effect across ...</t>
  </si>
  <si>
    <t>https://www.usatoday.com/story/weather/2016/03/22/weather-forecast-wednesday/82137006/</t>
  </si>
  <si>
    <t>Wednesday's forecast: Snow north-central, stormy South - USA Today</t>
  </si>
  <si>
    <t>Mar 22, 2016 ... South: Severe storms are forecast to lash portions of the southern Plains and Mississippi Valley on Wednesday. ... hail and a few tornadoes. East: ...</t>
  </si>
  <si>
    <t>https://www.expressnews.com/business/local/article/San-Antonio-s-hail-storm-most-expensive-in-7279023.php</t>
  </si>
  <si>
    <t>San Antonio's hailstorm most expensive in Texas history</t>
  </si>
  <si>
    <t>Apr 20, 2016 ... Safelite automotive glass repair company employee Erik White remove broken glass Wednesday, April 13, 2016 at the company's I-10 location after ...</t>
  </si>
  <si>
    <t>https://www.expressnews.com/business/local/article/USAA-scrambles-to-process-11-000-auto-claims-from-7246166.php</t>
  </si>
  <si>
    <t>USAA scrambles to process 22,500 claims from hail storm</t>
  </si>
  <si>
    <t>Apr 13, 2016 ... Texas isn't considered part of the “hail belt,” composed of states in the Great Plains and Midwest, but it does get its share of severe hail ...</t>
  </si>
  <si>
    <t>https://www.chron.com/neighborhood/atascocita/news/article/Severe-weather-possible-Sunday-night-through-9727692.php</t>
  </si>
  <si>
    <t>Severe weather possible Sunday night through Tuesday morning</t>
  </si>
  <si>
    <t>Apr 17, 2016 ... Severe weather possible Sunday night through Tuesday morning. April 17, 2016 ... Texas State grows on-campus housing with new residence towers.</t>
  </si>
  <si>
    <t>https://www.chron.com/news/houston-texas/houston/article/How-Houston-flooding-affects-the-area-s-animal-7257155.php</t>
  </si>
  <si>
    <t>How Houston flooding affects the area's animal residents - Chron</t>
  </si>
  <si>
    <t>Apr 19, 2016 ... A lone armadillo moves across a flooded roadway in Booth, Texas on Wednesday, June 1, 2016. ... 2016, in The Woodlands. Brett Coomer/Houston ...</t>
  </si>
  <si>
    <t>https://www.chron.com/neighborhood/bayarea/news/article/Severe-thunderstorm-warning-issued-for-Galveston-9739189.php</t>
  </si>
  <si>
    <t>Severe thunderstorm warning issued for Galveston County - Chron</t>
  </si>
  <si>
    <t>Apr 27, 2016 ... April 27, 2016. Chron Logo. Want more Chron? Make us a Preferred Source on Google to see more of us ... Weather Service warns Southeast Texas ...</t>
  </si>
  <si>
    <t>https://www.washingtonpost.com/news/capital-weather-gang/wp/2016/05/09/extreme-up-close-footage-of-a-visually-spectacular-colorado-tornado/</t>
  </si>
  <si>
    <t>Extreme up-close footage of a visually spectacular Colorado tornado</t>
  </si>
  <si>
    <t>May 9, 2016 ... “Thanks to the elevation of the High Plains, plus the ... — Coppe☈ State Storm Chasing⚡️Tori Jane Ostberg (@cpprstatestorms) May 8, 2016.</t>
  </si>
  <si>
    <t>https://www.npr.org/sections/thetwo-way/2016/05/10/477461521/deadly-tornadoes-wreak-havoc-across-the-great-plains</t>
  </si>
  <si>
    <t>Deadly Tornadoes Wreak Havoc Across The Great Plains - NPR</t>
  </si>
  <si>
    <t>May 10, 2016 ... ... in the bull's-eye. Weather · tornadoes · severe weather. Facebook; Flipboard; Email. An error has occurred. Together, we chart the course. You ...</t>
  </si>
  <si>
    <t>https://www.baltimoresun.com/2016/05/10/tornadoes-hit-plains-2-dead-homes-destroyed-in-oklahoma/</t>
  </si>
  <si>
    <t>Tornadoes hit Plains; 2 dead, homes destroyed in Oklahoma ...</t>
  </si>
  <si>
    <t>May 10, 2016 ... All we had was pea-sized hail.” Despite the danger, Randolph said she has seen severe weather before and wasn't frightened by the experience.</t>
  </si>
  <si>
    <t>https://www.denverpost.com/2016/05/25/map-colorado-tornadoes-1950-2015/</t>
  </si>
  <si>
    <t>Map: Colorado tornadoes, 1950-2016 - The Denver Post</t>
  </si>
  <si>
    <t>May 25, 2016 ... Colorado Rockies · Denver ... Kevin Hamm of The Denver Post. By Kevin Hamm | khamm@denverpost.com | The Denver Post. PUBLISHED: May 25, 2016 ...</t>
  </si>
  <si>
    <t>https://www.denverpost.com/2016/05/25/residents-officials-in-eastern-colorado-assessing-damage-from-tuesdays-storms/</t>
  </si>
  <si>
    <t>Residents, officials in eastern Colorado assessing damage from ...</t>
  </si>
  <si>
    <t>May 25, 2016 ... Large hail fell in Holyoke on May 24, 2016. National Weather Service officials have reports of two tornado touchdowns in the Akron area, though ...</t>
  </si>
  <si>
    <t>https://www.washingtonpost.com/news/capital-weather-gang/wp/2016/06/27/w-va-flood-was-one-in-a-1000-year-event-weather-service-says-more-heavy-rain-forecast/</t>
  </si>
  <si>
    <t>West Virginia flood was 'one in a thousand year event,' Weather ...</t>
  </si>
  <si>
    <t>Jun 27, 2016 ... ... in the state's worst flooding in more than a century. ... Following the jet stream, the storms surged through the Ohio Valley into West Virginia, ...</t>
  </si>
  <si>
    <t>https://www.washingtonpost.com/news/capital-weather-gang/wp/2016/06/24/historic-flood-engulfs-greenbrier-golf-course-home-to-pga-event-in-two-weeks/</t>
  </si>
  <si>
    <t>'Historic' flood engulfs Greenbrier golf course, PGA event canceled</t>
  </si>
  <si>
    <t>Jun 24, 2016 ... A relentless torrent of rain swept over West Virginia Thursday, flooding many areas in the state. ... Ohio Valley into West Virginia where they ...</t>
  </si>
  <si>
    <t>https://www.washingtonpost.com/news/post-nation/wp/2016/06/24/he-couldnt-get-him-out-a-grandfathers-desperate-attempt-to-save-a-preschooler-from-w-v-floods/</t>
  </si>
  <si>
    <t>23 killed in West Virginia floods that swept preschooler away from ...</t>
  </si>
  <si>
    <t>Jun 24, 2016 ... Midwest, Ohio Valley brace for possible derecho. Will it reach the ... June 23, 2016. Authorities said the 4-year-old's body was ...</t>
  </si>
  <si>
    <t>https://www.chron.com/news/article/Aerial-photos-show-historic-flooding-across-9141778.php</t>
  </si>
  <si>
    <t>Aerial photos show 'historic' flooding across Louisiana - Chron</t>
  </si>
  <si>
    <t>Aug 14, 2016 ... ... of the state from their cars and homes overwhelmed with flood waters ... RELATED: 3 killed in 'historic' Louisiana flooding; thousands rescued.</t>
  </si>
  <si>
    <t>https://www.wctrib.com/news/flooding-disaster-that-killed-seven-in-louisiana-now-menaces-texas</t>
  </si>
  <si>
    <t>Flooding disaster that killed seven in Louisiana, now menaces Texas</t>
  </si>
  <si>
    <t>Aug 16, 2016 ... Amant, Louisiana, U.S., August 15, 2016. REUTERS/Jonathan ... The Louisiana flooding, which prompted U.S. President Barack Obama ...</t>
  </si>
  <si>
    <t>https://www.dallasnews.com/business/2016/08/18/louisiana-flooding-is-latest-reminder-that-small-business-owners-need-a-disaster-plan/</t>
  </si>
  <si>
    <t>Louisiana flooding is latest reminder that small business owners ...</t>
  </si>
  <si>
    <t>Aug 18, 2016 ... Louisiana flooding is latest reminder that small business owners need a disaster plan. ... By Wire Services Aug 18, 2016.</t>
  </si>
  <si>
    <t>https://www.dallasnews.com/news/2016/08/21/your-weekend-digest-louisiana-flooding-h-e-b-and-bully-parents/</t>
  </si>
  <si>
    <t>Your Weekend Digest: Louisiana flooding, H-E-B, and bully parents</t>
  </si>
  <si>
    <t>Aug 21, 2016 ... Your Weekend Digest: Louisiana flooding, H-E-B, and bully parents. By Dennis Jansen Aug 21, 2016.</t>
  </si>
  <si>
    <t>https://www.examiner-enterprise.com/story/news/nation-world/2016/08/18/louisiana-flooding-country-8217-s/25615223007/</t>
  </si>
  <si>
    <t>Louisiana flooding country's 'worst natural disaster' since Hurricane ...</t>
  </si>
  <si>
    <t>Aug 18, 2016 ... Louisiana flooding country's 'worst natural disaster' since Hurricane Sandy, Red Cross says ... More than 70,000 people in the state have ...</t>
  </si>
  <si>
    <t>https://www.nola.com/news/weather/southeast-louisiana-storm-updates-closures-flooding-from-aug-12-14/article_db599ff8-ea4d-595b-9bcb-26d857a8fc12.html</t>
  </si>
  <si>
    <t>Southeast Louisiana storm updates: Closures, flooding from Aug. 12 ...</t>
  </si>
  <si>
    <t>Aug 14, 2016 ... ... Louisiana flooding. Maj. Doug Cain said about 125 vehicles are ... 8:32 a.m.: Several state offices are closed today because of the severe weather ...</t>
  </si>
  <si>
    <t>https://www.nola.com/news/traffic/louisiana-flooding-interstate-12-reopens-parts-of-i-10-still-closed/article_2c9fa4c4-05b0-564a-ae88-ea8b8d891f82.html</t>
  </si>
  <si>
    <t>Louisiana flooding: Interstate 12 reopens, parts of I-10 still closed</t>
  </si>
  <si>
    <t>Aug 16, 2016 ... ... Louisiana flooding: Interstate 12 reopens, parts of I-10 still closed. Coner Lacombe chills out along Interstate 12 Saturday, Aug. 13, 2016.</t>
  </si>
  <si>
    <t>https://www.nola.com/planned-forgotten-unfinished-projects-couldve-spared-thousands-from-louisiana-flood/article_0b66cea0-3731-542b-a0f4-d463c05ffe34.html</t>
  </si>
  <si>
    <t>Unfinished projects could've spared thousands from Louisiana flood</t>
  </si>
  <si>
    <t>Aug 20, 2016 ... ... Louisiana flooding · Download PDF 082116 BR area hydrology 2. BY DAN SWENSON | The Advocate ... Some detractors were also suspicious of the state ...</t>
  </si>
  <si>
    <t>https://www.nola.com/news/weather/louisiana-flood-of-2016-week-1-as-seen-through-our-photographers-lenses/article_0186df5a-86cc-57c5-abee-42e01688fc55.html</t>
  </si>
  <si>
    <t>Louisiana Flood of 2016: Week 1 as seen through our ... - NOLA.com</t>
  </si>
  <si>
    <t>Aug 19, 2016 ... Baton Rouge flooding Louisiana flooding 2016. ... It was our first look overhead in the Baton Rouge area and the extent of the flooding was ...</t>
  </si>
  <si>
    <t>https://www.denverpost.com/2016/08/14/3-dead-thousands-rescued-louisiana-floods/</t>
  </si>
  <si>
    <t>3 dead, thousands rescued from Louisiana floods - The Denver Post</t>
  </si>
  <si>
    <t>Aug 14, 2016 ... Doug Cain, spokesman of the Louisiana State Police, said about 125 ... Louisiana flooding rescues. Travis Spradling, The Advocate via AP.</t>
  </si>
  <si>
    <t>https://www.swtimes.com/story/news/nation-world/2016/08/15/flooding-disaster-that-killed-seven/25738980007/</t>
  </si>
  <si>
    <t>Flooding disaster that killed seven in Louisiana now menaces Texas</t>
  </si>
  <si>
    <t>Aug 15, 2016 ... The Louisiana flooding, which prompted U.S. President Barack Obama to issue a disaster declaration, resulted in seven deaths, National ...</t>
  </si>
  <si>
    <t>https://www.chieftain.com/story/news/nation-now/2016/08/13/louisiana-flooding/88667530/</t>
  </si>
  <si>
    <t>At least 3 dead, thousands of people rescued in southern La. flooding</t>
  </si>
  <si>
    <t>Aug 13, 2016 ... Theresa and Tony Yowell evacuate their home Aug. 12, 2016, in the Highland. LAFAYETTE, La. — Across Louisiana, at least three people have died ...</t>
  </si>
  <si>
    <t>https://www.denverpost.com/2016/08/14/louisiana-flooding/</t>
  </si>
  <si>
    <t>Rising floodwaters leaves thousands homeless in Louisiana</t>
  </si>
  <si>
    <t>Aug 14, 2016 ... Abandoned cars were pushed to the side of the road, lawn furniture and children's toys floating through the waters. ... 13, 2016, in Hammond, La.</t>
  </si>
  <si>
    <t>https://www.cnn.com/2016/08/18/us/louisiana-flooding</t>
  </si>
  <si>
    <t>Louisiana flood: Worst US disaster since Hurricane Sandy, Red ...</t>
  </si>
  <si>
    <t>Aug 18, 2016 ... ... 2016, 12:07 PM ET ... A man navigates a boat of rescued goats past a partially submerged car after flooding on. Louisiana flooding: What's next?</t>
  </si>
  <si>
    <t>https://www.cnn.com/2016/08/16/us/louisiana-flooding-by-the-numbers</t>
  </si>
  <si>
    <t>Louisiana's mammoth flooding: By the numbers - CNN</t>
  </si>
  <si>
    <t>Aug 16, 2016 ... Louisiana flooding is 'major disaster,' governor says. 46 photos ... “This disaster is the worst to hit the United States since ...</t>
  </si>
  <si>
    <t>https://www.washingtonpost.com/news/energy-environment/wp/2016/08/15/what-we-can-say-about-the-louisiana-floods-and-climate-change/</t>
  </si>
  <si>
    <t>What we can say about the Louisiana floods and climate change</t>
  </si>
  <si>
    <t>Aug 15, 2016 ... ' Six killed, thousands displaced during historic Louisiana flooding ... Indeed, when it comes to heavy precipitation, a trend has already been ...</t>
  </si>
  <si>
    <t>https://www.npr.org/sections/thetwo-way/2016/08/21/490842410/louisiana-takes-stock-of-the-damage-after-devastating-flooding</t>
  </si>
  <si>
    <t>Louisiana Takes Stock Of The Damage After Devastating Flooding</t>
  </si>
  <si>
    <t>Aug 21, 2016 ... The Red Cross said the Louisiana flooding "is likely the worst natural disaster in the United States since 2012's Superstorm Sandy," and ...</t>
  </si>
  <si>
    <t>https://www.nytimes.com/interactive/2016/08/22/us/louisiana-flooding-maps.html</t>
  </si>
  <si>
    <t>Mapping the Extent of Louisiana's Floods - The New York Times</t>
  </si>
  <si>
    <t>Aug 22, 2016 ... 22, 2016. As emergency management authorities struggled to help thousands of flood victims recover, Louisiana surveyed the scale of the disaster ...</t>
  </si>
  <si>
    <t>https://www.examiner-enterprise.com/story/news/local/2016/08/28/bartlesville-red-cross-volunteer-helps/25517783007/</t>
  </si>
  <si>
    <t>Bartlesville Red Cross volunteer helps Louisiana flood victims</t>
  </si>
  <si>
    <t>Aug 28, 2016 ... American Red Cross volunteer Suzanne Shiflet is helping with the Red Cross relief effort headquartered in the state's flood-ravaged capital, ...</t>
  </si>
  <si>
    <t>https://www.nytimes.com/2016/08/17/us/climate-change-louisiana.html</t>
  </si>
  <si>
    <t>Flooding in the South Looks a Lot Like Climate Change</t>
  </si>
  <si>
    <t>Aug 16, 2016 ... https://www.nytimes.com/2016/08/17/us/climate-change-louisiana.html ... floods that have occurred in the United States over the last two years.</t>
  </si>
  <si>
    <t>https://www.nytimes.com/interactive/2016/08/16/us/louisiana-flooding-pictures-maps.html</t>
  </si>
  <si>
    <t>Before and After Photos of the Damage From Historic Flooding in ...</t>
  </si>
  <si>
    <t>Historic Flooding in Louisiana. UPDATED ... Muddy water surrounding homes and businesses in Baton Rouge, in a photograph from the United States Coast Guard.</t>
  </si>
  <si>
    <t>https://www.usatoday.com/story/news/politics/onpolitics/2016/08/17/donald-trump-hillary-clinton-louisiana-flooding/88904278/</t>
  </si>
  <si>
    <t>Trump and Clinton stay near silent on Louisiana flooding, and some ...</t>
  </si>
  <si>
    <t>Aug 17, 2016 ... Louisiana flooding (August 2016). Add Topic. ON POLITICS. Trump and ... of the United States stayed largely silent. Since the multi-day ...</t>
  </si>
  <si>
    <t>https://www.npr.org/sections/thetwo-way/2016/08/22/490916070/flooding-in-louisiana-raises-questions-about-timing-urgency-of-warnings</t>
  </si>
  <si>
    <t>Flooding In Louisiana Raises Questions About Timing, Urgency Of ...</t>
  </si>
  <si>
    <t>Aug 22, 2016 ... — NWS New Orleans (@NWSNewOrleans) August 8, 2016 ... in the Baton Rouge area began warning residents of potentially serious flooding on Aug.</t>
  </si>
  <si>
    <t>https://www.capitalgazette.com/2016/10/13/maryland-volunteers-flew-30-missions-over-southeast-to-assess-hurricane-matthew-damage/</t>
  </si>
  <si>
    <t>Maryland volunteers flew 30 missions over Southeast to assess ...</t>
  </si>
  <si>
    <t>Oct 13, 2016 ... ... States this week to help authorities assess ... PUBLISHED: October 13, 2016 ... Hurricane Matthew, a category 1 hurricane when it made U.S. ...</t>
  </si>
  <si>
    <t>https://www.capitalgazette.com/2016/10/10/hurricane-matthew-death-toll-at-23-in-us-aftermath-unseen-since-1999/</t>
  </si>
  <si>
    <t>Hurricane Matthew death toll at 23 in U.S.; aftermath unseen since ...</t>
  </si>
  <si>
    <t>Oct 10, 2016 ... With floodwaters from Hurricane Matthew on the rise, at least one North Carolina city appeared near chaos Monday, its police station ...</t>
  </si>
  <si>
    <t>https://www.capitalgazette.com/2016/10/15/hurricane-matthews-us-death-toll-rises-to-43-there-are-still-many-many-difficult-days-ahead/</t>
  </si>
  <si>
    <t>Hurricane Matthew's U.S. death toll rises to 43: 'There are still many ...</t>
  </si>
  <si>
    <t>Oct 15, 2016 ... ... Hurricane Matthew, increasing the toll in the state to 26 dead, Gov ... 2016 at 4:17 PM EDT | UPDATED: August 22 ... in the United States and more ...</t>
  </si>
  <si>
    <t>https://www.capitalgazette.com/2016/10/27/gov-mccrory-says-death-toll-from-hurricane-matthew-rises-to-28-in-nc/</t>
  </si>
  <si>
    <t>Gov. McCrory says death toll from Hurricane Matthew rises to 28 in ...</t>
  </si>
  <si>
    <t>Oct 27, 2016 ... ... in the United States. The governor [ ... McCrory says death toll from Hurricane Matthew rises to 28 in N.C. ... PUBLISHED: October 27, 2016 ...</t>
  </si>
  <si>
    <t>https://www.capitalgazette.com/2016/10/12/north-carolina-keeps-watch-as-rivers-keep-rising-after-hurricane-matthew/</t>
  </si>
  <si>
    <t>North Carolina keeps watch as rivers keep rising after Hurricane ...</t>
  </si>
  <si>
    <t>Oct 12, 2016 ... ... 2016 in Lumberton, North Carolina. The death toll from Hurricane Matthew in the U.S. has climbed to over 20. (Photo by Sean Rayford/Getty ...</t>
  </si>
  <si>
    <t>http://www.miamiherald.com/news/weather/hurricane/article106960932.html</t>
  </si>
  <si>
    <t>Hurricane Matthew damage in Northeast Florida | Sat., Oct. 8, 2016</t>
  </si>
  <si>
    <t>Oct 8, 2016 ... United States · Cuba · Haiti · Venezuela · Americas. Sports. Sports ... Photo gallery: Hurricane Matthew damage in Northeast Florida | Sat., Oct.</t>
  </si>
  <si>
    <t>https://www.staugustine.com/story/news/local/2016/10/16/after-hurricane-matthew-scenes-storm-remember/16295980007/</t>
  </si>
  <si>
    <t>AFTER HURRICANE MATTHEW: Scenes of a storm to remember</t>
  </si>
  <si>
    <t>Oct 16, 2016 ... At least 34 deaths in the U.S. have been attributed to Hurricane Matthew. The storm also killed nearly 500 people in Haiti, reports indicate.</t>
  </si>
  <si>
    <t>https://www.npr.org/sections/thetwo-way/2016/10/08/497194028/u-s-rushes-aid-to-haiti-where-hurricane-matthew-killed-hundreds</t>
  </si>
  <si>
    <t>U.S. Rushes Aid To Haiti, Where Hurricane Matthew Killed Hundreds</t>
  </si>
  <si>
    <t>Oct 8, 2016 ... October 8, 20163:10 PM ET. By. Bill Chappell ... The U.S. Department of Defense's role in the aid effort comes after Hurricane Matthew ...</t>
  </si>
  <si>
    <t>https://www.nytimes.com/2016/10/08/us/hurricane-matthew.html?eafs_enabled=false</t>
  </si>
  <si>
    <t>Hurricane Matthew Blamed for 11 Deaths in U.S.; Carolinas and ...</t>
  </si>
  <si>
    <t>Hurricane Matthew Blamed for 11 Deaths in U.S.; Carolinas and Georgia Hit With Severe Flooding. Share full article. Oct. 8, 2016. Hurricane Matthew made ...</t>
  </si>
  <si>
    <t>https://www.nytimes.com/interactive/2016/10/12/us/record-flooding-north-carolina-hurricane-matthew.html?eafs_enabled=false</t>
  </si>
  <si>
    <t>Record Flooding in North Carolina Continues Days After Hurricane ...</t>
  </si>
  <si>
    <t>U.S.. Share. Record Flooding in North Carolina Continues Days After Hurricane Matthew. By K.K. REBECCA LAI OCT. 12, 2016. Days after Hurricane Matthew ...</t>
  </si>
  <si>
    <t>https://www.cnn.com/2016/10/08/us/hurricane-matthew-florida</t>
  </si>
  <si>
    <t>Deaths, floods as Hurricane Matthew hits South Carolina - CNN</t>
  </si>
  <si>
    <t>Oct 8, 2016 ... US 4 min read. Hurricane Matthew creates 'record-breaking' flooding. By. Jason Hanna. ,. Madison Park. ,. Steve Almasy. Updated Oct 8, 2016 ...</t>
  </si>
  <si>
    <t>https://www.npr.org/sections/thetwo-way/2016/11/01/500293722/hurricane-matthew-took-a-big-bite-out-of-southeastern-states-beaches</t>
  </si>
  <si>
    <t>Hurricane Matthew Took A Big Bite Out Of Southeastern States ...</t>
  </si>
  <si>
    <t>Nov 1, 2016 ... Beaches in the Southeastern U.S. took a tremendous beating last month from Hurricane Matthew. The U.S. Geological Survey has found that the ...</t>
  </si>
  <si>
    <t>https://www.cnn.com/2016/10/09/americas/hurricane-matthew-wrap</t>
  </si>
  <si>
    <t>What made Hurricane Matthew so unique? - CNN</t>
  </si>
  <si>
    <t>Oct 9, 2016 ... Hurricane Matthew shattered several records during its deadly march through the Caribbean and up the southeast US coast.</t>
  </si>
  <si>
    <t>https://www.nytimes.com/2016/10/23/magazine/why-isnt-the-us-better-at-predicting-extreme-weather.html</t>
  </si>
  <si>
    <t>Why Isn't the U.S. Better at Predicting Extreme Weather?</t>
  </si>
  <si>
    <t>Oct 17, 2016 ... Oct. 17, 2016. At 11 o'clock on the night of Sept. 29, the National Hurricane Center in Miami posted an updated prediction for Hurricane Matthew ...</t>
  </si>
  <si>
    <t>https://www.npr.org/2016/10/09/497256647/hurricane-matthew-causes-floods-on-the-low-lying-barrier-tybee-island-in-georgia</t>
  </si>
  <si>
    <t>Hurricane Matthew Causes Floods On The Low-Lying Barrier Tybee ...</t>
  </si>
  <si>
    <t>Oct 9, 2016 ... Hurricane Matthew roared across the southeastern United States this ... BICHELL: The night of the storm, he kept the bar open until 9 ...</t>
  </si>
  <si>
    <t>https://www.marinij.com/2016/11/17/the-latest-governor-offers-reward-in-north-carolina-fires/amp/</t>
  </si>
  <si>
    <t>The Latest: Governor offers reward in North Carolina fires – Marin ...</t>
  </si>
  <si>
    <t>Nov 17, 2016 ... PUBLISHED: November 17, 2016 ... (AP) — The Latest on wildfires burning in the Southeast (all times local): ... wildfires in the western part of the ...</t>
  </si>
  <si>
    <t>https://www.marinij.com/2016/06/21/hundreds-of-new-evacuations-across-west-as-wildfires-surge/amp/</t>
  </si>
  <si>
    <t>Hundreds of new evacuations across West as wildfires surge ...</t>
  </si>
  <si>
    <t>Jun 21, 2016 ... Near the U.S.-Mexico border southeast of San Diego, a two-day-old, 9-square-mile wildfire moved toward a new community and forced the ...</t>
  </si>
  <si>
    <t>https://www.marinij.com/2016/06/17/the-latest-wildfires-burn-across-the-western-us/?amp</t>
  </si>
  <si>
    <t>The Latest: Wildfires burn across the Western US – Marin ...</t>
  </si>
  <si>
    <t>Jun 17, 2016 ... A wildfire burning in tinder dry forest and grassland in central New Mexico southeast of Albuquerque has destroyed 24 homes and 21 minor ...</t>
  </si>
  <si>
    <t>https://www.marinij.com/2016/11/16/10-things-to-know-for-friday-2/amp/</t>
  </si>
  <si>
    <t>10 Things to Know for Friday – Marin Independent Journal</t>
  </si>
  <si>
    <t>Nov 16, 2016 ... ... in the West. 5. WHERE WILDFIRES ARE CAUSING BREATHING PROBLEMS. Smoke from dozens of wildfires burning across the U.S. Southeast has people ...</t>
  </si>
  <si>
    <t>https://www.marinij.com/environment-and-nature/20161111/the-latest-bentley-offers-5k-reward-for-wildfire-arsonist/</t>
  </si>
  <si>
    <t>The Latest: Bentley offers $5K reward for wildfire arsonist – Marin ...</t>
  </si>
  <si>
    <t>Nov 11, 2016 ... PUBLISHED: November 11, 2016 ... wildfires burning in the western part of the state were caused by arson. ... Southeast, because that's where the ...</t>
  </si>
  <si>
    <t>https://www.capitalgazette.com/2016/06/05/evacuations-canceled-for-southern-california-brush-fire/</t>
  </si>
  <si>
    <t>Evacuations canceled for Southern California brush fire – Capital ...</t>
  </si>
  <si>
    <t>Jun 5, 2016 ... ... 2016. At the height of the fire, about 3,000 ... Some horse owners in the ... To the southeast, a smoky wildfire burning in Riverside County was 65 ...</t>
  </si>
  <si>
    <t>https://cullmantimes.com/2016/11/10/wildfires-break-out-in-appal</t>
  </si>
  <si>
    <t>Wildfires break out in Appalachia amid deepening drought | The ...</t>
  </si>
  <si>
    <t>Published 1:11 pm Thursday, November 10, 2016 ... The worst drought is in Georgia, Alabama, Mississippi and Tennessee, but extreme drought also is spreading into the western Carolinas, and Kentucky and Tennessee had the most fires. ... of the state were told to ...</t>
  </si>
  <si>
    <t>https://www.washingtonpost.com/news/capital-weather-gang/wp/2016/11/08/wildfires-raging-in-southern-appalachians-southeast/</t>
  </si>
  <si>
    <t>Wildfires raging in southern Appalachians, Southeast</t>
  </si>
  <si>
    <t>Wildfires raging in southern Appalachians, Southeast. November 8, 2016More than 9 years ago. Make us preferred on Google. Grace Mynatt looks from Signal ...</t>
  </si>
  <si>
    <t>https://apnews.com/eb3c40e934e743fab6ed6297a19a8d08/config/newrelic/prod</t>
  </si>
  <si>
    <t>Wildfire warnings posted in Southern Plains, Florida | AP News</t>
  </si>
  <si>
    <t>Dec 30, 2016 ... ... of Tecumseh southeast of Oklahoma City. ___ An interactive wildfire tracker is available at http://interactives.ap.org/2016/wildfires/</t>
  </si>
  <si>
    <t>https://www.baltimoresun.com/2016/06/22/hundreds-of-new-evacuations-across-west-as-wildfires-surge/</t>
  </si>
  <si>
    <t>Jun 22, 2016 ... Near the U.S.-Mexico border southeast of San Diego, a two-day-old, 9-square-mile wildfire ... PUBLISHED: June 22, 2016 ... state funds to help in ...</t>
  </si>
  <si>
    <t>https://www.marinij.com/environment-and-nature/20161110/firefighters-from-across-us-battle-appalachian-wildfires/</t>
  </si>
  <si>
    <t>Firefighters from across US battle Appalachian wildfires – Marin ...</t>
  </si>
  <si>
    <t>Nov 10, 2016 ... ... Southeast to try to suppress [ ... fire and aviation management for the southern region of the U.S. Forest Service. ... western Carolinas.</t>
  </si>
  <si>
    <t>https://www.marinij.com/2016/06/05/evacuations-canceled-for-southern-california-brush-fire/amp/</t>
  </si>
  <si>
    <t>Evacuations canceled for Southern California brush fire – Marin ...</t>
  </si>
  <si>
    <t>Jun 5, 2016 ... PUBLISHED: June 5, 2016 at 2:45 ... To the southeast, a smoky wildfire burning ... The fire started Saturday afternoon west of King City.</t>
  </si>
  <si>
    <t>https://www.democratandchronicle.com/story/news/2016/07/14/severe-drought-sets-in/87072786/</t>
  </si>
  <si>
    <t>"Severe" drought hits parts of upstate New York</t>
  </si>
  <si>
    <t>Jul 14, 2016 ... U.S. Drought Monitor report of July 14, 2016. The rest of the region remains in "moderate drought" except for northeastern Monroe and all of ...</t>
  </si>
  <si>
    <t>Nov 10, 2016 ... ATLANTA (AP) — Unseasonably warm dry weather has deepened a drought that's igniting forest fires across the southeastern U.S., ...</t>
  </si>
  <si>
    <t>https://www.washingtonpost.com/news/capital-weather-gang/wp/2016/08/08/the-drought-no-one-is-talking-about-in-the-southeast-u-s/</t>
  </si>
  <si>
    <t>The drought no one is talking about in the southeastern United States</t>
  </si>
  <si>
    <t>Aug 8, 2016 ... Farmers in northern Georgia, northeast Alabama, southeast Tennessee, western North Carolina and northwestern South Carolina are desperate for ...</t>
  </si>
  <si>
    <t>https://www.usatoday.com/story/weather/2016/11/04/drought-conditions/93288822/</t>
  </si>
  <si>
    <t>Drought impacting one in three Americans this fall - USA Today</t>
  </si>
  <si>
    <t>Nov 4, 2016 ... The conditions are scorching crops, fueling wildfires and forcing strict water conservation in the West, South and Northeast.</t>
  </si>
  <si>
    <t>https://www.usatoday.com/story/news/nation/2017/01/23/southeast-waking-up-death-destruction-after-brutal-storms/96939804/</t>
  </si>
  <si>
    <t>Sunday was worst January day for tornado deaths since 1969</t>
  </si>
  <si>
    <t>Jan 23, 2017 ... Four other people died Saturday in another tornado in Mississippi. January 2017 is now the second-deadliest January for tornadoes in the U.S. ...</t>
  </si>
  <si>
    <t>https://cullmantimes.com/2017/01/23/18-dead-amid-reported-tornadoes-other-storms-in-the-south/</t>
  </si>
  <si>
    <t>18 dead amid reported tornadoes, other storms in the South | The ...</t>
  </si>
  <si>
    <t>Jan 23, 2017 ... ... in the hardest-hit communities from Mississippi to Georgia. The severe weather threat was still continuing Sunday night in some parts ...</t>
  </si>
  <si>
    <t>https://prod.transcripts.cnn.com/show/acd?start_fileid=acd_2017-01-31_01</t>
  </si>
  <si>
    <t>... Severe Weather; 19 Killed in Tornadoes Across the South. ... United States. Aired 8-9pET. January 18, 2017 ... Western States, Threatens Travel. Aired 8 ...</t>
  </si>
  <si>
    <t>https://www.marinij.com/general-news/20170224/brown-seeks-437-million-for-flood-control/</t>
  </si>
  <si>
    <t>Brown seeks $437 million for flood control – Marin Independent ...</t>
  </si>
  <si>
    <t>Feb 24, 2017 ... ... California and the Bay Area, and demolition of the old Bay Bridge. Brown said he hopes the state will see $12 billion over each of the next ...</t>
  </si>
  <si>
    <t>https://www.marinij.com/general-news/20170210/the-latest-worst-flooding-since-1984-possible-in-elko/</t>
  </si>
  <si>
    <t>The Latest: Worst flooding since 1984 possible in Elko – Marin ...</t>
  </si>
  <si>
    <t>Feb 10, 2017 ... ... U.S. Interstate 80 over the top of the Sierra near Truckee, California. The Nevada Department of Transportation says all westbound trucks ...</t>
  </si>
  <si>
    <t>https://www.marinij.com/2017/03/10/5-california-things-to-know-for-today-2/amp/</t>
  </si>
  <si>
    <t>5 California Things to Know for Today – Marin Independent Journal</t>
  </si>
  <si>
    <t>Mar 10, 2017 ... Volkswagen pleads guilty in scheme to cheat diesel emissions tests in U.S.. 3. SAN JOSE FLOOD. More than 100 victims of last month's flooding ...</t>
  </si>
  <si>
    <t>https://www.nytimes.com/2017/02/13/us/california-today-lake-oroville.html</t>
  </si>
  <si>
    <t>Flood Risk Causes Up to 180000 to Evacuate. Here's What We Know.</t>
  </si>
  <si>
    <t>Feb 13, 2017 ... U.S. · Today's Paper · U.S.|California Today: Flood Risk Causes Up to 180,000 to Evacuate. Here's What We Know. https://www.nytimes.com/2017/02 ...</t>
  </si>
  <si>
    <t>https://www.nytimes.com/2017/02/12/us/california-oroville-dam-spillway-evacuate.html</t>
  </si>
  <si>
    <t>Flood Risk Near Oroville Dam Causes Thousands to Evacuate in ...</t>
  </si>
  <si>
    <t>Feb 12, 2017 ... U.S. · Today's Paper · U.S.|Flood Risk Near Oroville Dam Causes Thousands to Evacuate in California. https://www.nytimes.com/2017/02/12/us ...</t>
  </si>
  <si>
    <t>https://apnews.com/general-news-weather-forecasts-united-states-congress-e679156816fd4903b4a18559ef8eea9c</t>
  </si>
  <si>
    <t>California governor seeks $437 million for flood control | AP News</t>
  </si>
  <si>
    <t>Feb 24, 2017 ... The Democratic governor redirected $50 million from the general fund for emergency response to flooding and asked state lawmakers to speed up ...</t>
  </si>
  <si>
    <t>https://www.cnn.com/2017/03/01/weather/severe-weather-midwest</t>
  </si>
  <si>
    <t>Tornadoes rip through Midwest, Southeast; 3 killed - CNN</t>
  </si>
  <si>
    <t>Mar 1, 2017 ... ... of the Midwest and Southeast after a string of tornadoes ripped through several states. ... — Jeremy Teran (@jeremyteran) March 1, 2017. In ...</t>
  </si>
  <si>
    <t>http://www.cnn.com/2017/03/01/weather/severe-weather-midwest/&amp;quot;</t>
  </si>
  <si>
    <t>Mar 1, 2017 ... ... of the Midwest and Southeast after a string of tornadoes ripped through several states. ... — wojo (@wojo108) February 28, 2017. Tutland and ...</t>
  </si>
  <si>
    <t>https://www.cjonline.com/story/news/2017/03/07/hundreds-homes-damaged-tornado-laden-midwest-storm/16553095007/</t>
  </si>
  <si>
    <t>Hundreds of homes damaged in tornado-laden Midwest storm</t>
  </si>
  <si>
    <t>12 people in Oak Grove, Missouri treated for injuries ... The system weakened as it moved east across Missouri but dropped an EF-1 tornado in the St. Louis ...</t>
  </si>
  <si>
    <t>https://www.fultonsun.com/news/2017/mar/08/hundreds-homes-damaged-tornado-laden-midwest-storm/</t>
  </si>
  <si>
    <t>... Contact Us. Hundreds of homes damaged in tornado-laden Midwest storm. March 8, 2017 by Associated Press | Updated March 8, 2017 at 5:24 a.m..</t>
  </si>
  <si>
    <t>https://www.washingtonpost.com/news/capital-weather-gang/wp/2017/03/21/get-ready-for-higher-fruit-prices-the-freeze-devastated-some-crops-in-the-south/</t>
  </si>
  <si>
    <t>Get ready for higher fruit prices — the freeze devastated some crops ...</t>
  </si>
  <si>
    <t>Mar 21, 2017 ... ... freeze based on the climatology.” In other words, it's normal to get freezing temperatures in the Southeast in mid-March, so maybe we should ...</t>
  </si>
  <si>
    <t>https://www.beaumontenterprise.com/news/article/National-Weather-Service-describes-tornadoes-11040976.php</t>
  </si>
  <si>
    <t>Video: NWS cites 5 tornadoes; Judge declares county disaster</t>
  </si>
  <si>
    <t>Mar 31, 2017 ... The severe thunderstorms that careened through Southeast ... The tornado dissipated along U.S. 87 south ... The tornado dissipated a little north of ...</t>
  </si>
  <si>
    <t>https://www.usatoday.com/story/weather/2017/04/05/tornadoes-severe-weather-outbreak-blasts-southeast/100080976/</t>
  </si>
  <si>
    <t>Tornadoes, hail, high winds lash Southeast: 75M at risk of severe ...</t>
  </si>
  <si>
    <t>Apr 6, 2017 ... ... Southeast through Thursday, as a severe weather outbreak swept through several states ... state of emergency because of the threat and ...</t>
  </si>
  <si>
    <t>https://www.usatoday.com/story/weather/2017/04/06/weather-disasters/100121356/</t>
  </si>
  <si>
    <t>It's been a disastrous, costly start to the year for weather - USA Today</t>
  </si>
  <si>
    <t>Apr 6, 2017 ... ... Southeast freeze last month and three separate severe weather events. The severe weather and tornado outbreak in the South in January that ...</t>
  </si>
  <si>
    <t>https://www.cnn.com/2017/04/05/us/severe-weather</t>
  </si>
  <si>
    <t>Tornado warnings lifted in Southeast as states assess damage | CNN</t>
  </si>
  <si>
    <t>Apr 5, 2017 ... — NWS Tornado (@NWStornado) April 6, 2017. Georgia. A resident of the Atlanta suburb of Lilburn told CNN affiliate WSB-TV that the top of a ...</t>
  </si>
  <si>
    <t>https://www.al.com/news/birmingham/2017/04/severe_storms_already_rolling.html</t>
  </si>
  <si>
    <t>New tornado watch issued for east Alabama - al.com</t>
  </si>
  <si>
    <t>Apr 5, 2017 ... 05, 2017, 8:42 a.m.. Add us on Google ... in the southeast corner of Alabama not ... The severe weather threat was just about over for the rest of ...</t>
  </si>
  <si>
    <t>https://www.al.com/news/huntsville/2017/04/storm_damage_in_alabama_lightn.html</t>
  </si>
  <si>
    <t>Storm damage in Alabama: Lightning, tornado damage more than ...</t>
  </si>
  <si>
    <t>Sign in. Huntsville Real-Time News. Storm damage in Alabama: Lightning, tornado damage more than 25 homes. Published: Apr. 05, 2017, 4:45 p.m.. By.</t>
  </si>
  <si>
    <t>https://www.cnn.com/2017/04/30/us/severe-weather-tornadoes-flooding</t>
  </si>
  <si>
    <t>Deadly storms hit several states - CNN</t>
  </si>
  <si>
    <t>Apr 30, 2017 ... Chasing deadly tornadoes in the Southeast. 3:21 • Source: CNN. The ... A severe weather warning is in effect through Monday, putting 22 ...</t>
  </si>
  <si>
    <t>https://www.fultonsun.com/news/2017/may/01/missouri-flooding-forces-hundreds-rescues-kills-3/</t>
  </si>
  <si>
    <t>Missouri flooding forces hundreds of rescues, kills 3 | Fulton Sun</t>
  </si>
  <si>
    <t>May 1, 2017 ... Three deaths across the state are blamed on flooding. Some parts of the state got as much as a foot of rain from Friday through Sunday ...</t>
  </si>
  <si>
    <t>https://www.fultonsun.com/news/2017/jun/01/missouri-officials-expect-disaster-declaration-flo/</t>
  </si>
  <si>
    <t>Missouri officials expect disaster declaration for flood recovery</t>
  </si>
  <si>
    <t>Jun 2, 2017 ... ... state expect a federal disaster declaration to be issued in the next few days ... June 1, 2017 by Tyler Wornell | Updated June 2, 2017 at 2:51 ...</t>
  </si>
  <si>
    <t>https://www.fultonsun.com/news/2017/apr/30/heavy-rains-cause-flooding-cancelled-events/</t>
  </si>
  <si>
    <t>Flash flooding inundates Missouri | Fulton Sun</t>
  </si>
  <si>
    <t>... Contact Us. Flash flooding inundates Missouri. Area roads closed; governor declares state of emergency. April 30, 2017 by Michelle Brooks | Updated ...</t>
  </si>
  <si>
    <t>https://www.fultonsun.com/news/2017/may/24/missouri-seeks-federal-disaster-aid-flooding/</t>
  </si>
  <si>
    <t>Missouri seeks federal disaster aid for flooding | Fulton Sun</t>
  </si>
  <si>
    <t>May 24, 2017 ... Among the affected counties, primarily in the central and southern parts of the state, are Gasconade, Maries and Osage counties in Mid-Missouri.</t>
  </si>
  <si>
    <t>https://www.fultonsun.com/news/2017/may/05/state-archive-rescues-flooded-documents/</t>
  </si>
  <si>
    <t>State Archive rescues flooded documents | Fulton Sun</t>
  </si>
  <si>
    <t>May 5, 2017 ... As emergency responders work in flood-ravaged parts of the state to secure individual safety and property security, the Missouri State ...</t>
  </si>
  <si>
    <t>https://www.washingtonpost.com/news/capital-weather-gang/wp/2017/05/02/after-historic-weekend-flooding-missouri-braces-for-next-deluge/</t>
  </si>
  <si>
    <t>After historic weekend flooding, Missouri braces for next deluge</t>
  </si>
  <si>
    <t>After historic weekend flooding, Missouri braces for next deluge. May 2, 2017More than 9 years ago. Make us preferred on Google. Flooding ravages Missouri, ...</t>
  </si>
  <si>
    <t>https://www.usatoday.com/story/news/nation-now/2017/05/06/devastated-flood-missouri-town-begins-cleanup/312120001/</t>
  </si>
  <si>
    <t>'Devastated' by flood, Missouri town begins cleanup - USA Today</t>
  </si>
  <si>
    <t>May 5, 2017 ... Heavy rains led to record flooding across southern Missouri last weekend. Officials say six people in the state died as a result of the floods.</t>
  </si>
  <si>
    <t>https://www.washingtonpost.com/news/capital-weather-gang/wp/2017/05/03/the-aerial-views-of-historic-missouri-and-arkansas-flooding-are-unreal/</t>
  </si>
  <si>
    <t>The aerial views of historic Central U.S. flooding are unreal</t>
  </si>
  <si>
    <t>May 3, 2017 ... Widespread flooding caused by rain storms has left several people dead in southern Missouri and northwest Arkansas.</t>
  </si>
  <si>
    <t>https://www.usatoday.com/story/news/2017/05/04/aerial-images-arkansas-missouri-flooding/101295116/</t>
  </si>
  <si>
    <t>Arkansas, Missouri flooding: Aerial images show water ... - USA Today</t>
  </si>
  <si>
    <t>May 4, 2017 ... In Missouri. Traffic flows freely as floodwaters escape the banks of the Meramec River as it intersects with.</t>
  </si>
  <si>
    <t>https://www.cnn.com/2017/05/03/us/missouri-severe-weather-flooding</t>
  </si>
  <si>
    <t>More rain hits Missouri after deadly weekend flooding - CNN</t>
  </si>
  <si>
    <t>May 3, 2017 ... “Many of the rivers in these states have crested or (are) nearing crest and remain in moderate or major flood category. Many roads across this ...</t>
  </si>
  <si>
    <t>https://www.usatoday.com/story/weather/2017/05/12/1-1000-year-rainfall-caused-missouri-floods/101599498/</t>
  </si>
  <si>
    <t>Missouri floods caused by '1-in-1,000 year' rainfall - USA Today</t>
  </si>
  <si>
    <t>May 12, 2017 ... Some areas picked up over a foot of rain within a few hours April 29. ... A child walks in his flooded neighborhood on May 4, 2017 in Arnold, ...</t>
  </si>
  <si>
    <t>https://www.denverpost.com/2017/05/08/thunderstorms-forecast-denver-area/</t>
  </si>
  <si>
    <t>Hailstorm ravages cars, windows, streets across Denver area</t>
  </si>
  <si>
    <t>May 8, 2017 ... ... hail, in the parking lot of the Colorado Mills Mall on May 8, 2017 in Lakewood. Expand. “It's a horrible reminder that lightning is the No. 1 ...</t>
  </si>
  <si>
    <t>https://www.usatoday.com/story/weather/2017/05/18/dangerous-tornado-outbreak-expected-thursday-kansas-oklahoma/101825840/</t>
  </si>
  <si>
    <t>Dangerous tornado outbreak forecast for Kansas, Oklahoma</t>
  </si>
  <si>
    <t>May 18, 2017 ... ... central and southern Kansas and northern and western Oklahoma. The ... in the south-central portion of the state, the Weather Channel said.</t>
  </si>
  <si>
    <t>https://www.washingtonpost.com/news/capital-weather-gang/wp/2017/05/18/high-risk-for-violent-storms-in-oklahoma-and-kansas-strong-tornadoes-expected/</t>
  </si>
  <si>
    <t>'High risk' for violent storms in Oklahoma and Kansas</t>
  </si>
  <si>
    <t>May 18, 2017 ... SPC placed north central Oklahoma and south central Kansas in its ... tornado outbreaks. From 2010 to 2016, the website U. S. Tornadoes ...</t>
  </si>
  <si>
    <t>https://www.chron.com/news/houston-weather/hurricanes/article/Video-Galveston-surfer-Hurricane-Harvey-11959643.php</t>
  </si>
  <si>
    <t>Galveston surfer takes advantage of Hurricane Harvey's big waves</t>
  </si>
  <si>
    <t>Aug 25, 2017 ... Sandbags in preparation of Hurricane Harvey in downtown Galveston, the United States. The populations in the southern part of Texas are ...</t>
  </si>
  <si>
    <t>https://www.chron.com/neighborhood/bayarea/news/article/Galveston-Hurricane-Harvey-2017-11959588.php</t>
  </si>
  <si>
    <t>Photos: Scenes from Galveston ahead of Hurricane Harvey - Chron</t>
  </si>
  <si>
    <t>Aug 25, 2017 ... 25, 2017 -- A man places sand bags in preraration of Hurricane Harvey in downtown Galveston, the United States, on Aug. 24, 2017. The ...</t>
  </si>
  <si>
    <t>https://www.chron.com/news/houston-weather/hurricaneharvey/article/Hurricane-Harvey-looters-viral-video-John-Nash-12165416.php</t>
  </si>
  <si>
    <t>Man in viral video scares off looters from robbing North Harris ...</t>
  </si>
  <si>
    <t>Aug 31, 2017 ... ... in the wake of Hurricane Harvey, like numerous other storms. ... Hurricane Harvey Aug 27, 2017. (U.S. Texas ... States -- increasingly ...</t>
  </si>
  <si>
    <t>https://www.expressnews.com/news/weather/article/Hurricane-Harvey-begins-making-its-mark-on-Corpus-11958465.php</t>
  </si>
  <si>
    <t>Hurricane Harvey begins making its mark on Texas Gulf Coast</t>
  </si>
  <si>
    <t>Aug 25, 2017 ... The pool at the Holiday Inn Express in Port Lavaca, Texas is inundated Saturday, Aug. 27, 2017 by storm surge waters from Hurricane Harvey ...</t>
  </si>
  <si>
    <t>https://www.carsonnow.org/08/31/2017/fema-open-recovery-service-center-carson-city-hurricane-harvey-disaster-relief</t>
  </si>
  <si>
    <t>FEMA to open Recovery Service Center in Carson City for Hurricane ...</t>
  </si>
  <si>
    <t>Aug 31, 2017 ... ... Hurricane Harvey and other ongoing disaster operations. FEMA will send U.S. Department of Homeland Security and additional FEMA employees ...</t>
  </si>
  <si>
    <t>https://www.nytimes.com/2017/08/26/us/hurricane-harvey-texas.html</t>
  </si>
  <si>
    <t>Harvey, Now a Tropical Storm, Carves a Path of Destruction ...</t>
  </si>
  <si>
    <t>Aug 26, 2017 ... U.S.|Harvey, Now a Tropical Storm, Carves a Path of Destruction Through Texas. https://www.nytimes.com/2017/08/26/us/hurricane-harvey-texas.html.</t>
  </si>
  <si>
    <t>https://www.usatoday.com/story/weather/2017/08/30/harvey-costliest-natural-disaster-u-s-history-estimated-cost-160-billion/615708001/</t>
  </si>
  <si>
    <t>Hurricane Harvey: Costliest natural disaster in U.S. history</t>
  </si>
  <si>
    <t>30, 2017Updated Aug. 31, 2017, 9:12 a.m. ET. (An earlier version of this story had a ... Hurricane Harvey could be the costliest natural disaster in U.S. ...</t>
  </si>
  <si>
    <t>https://www.cnn.com/2017/08/26/us/gallery/hurricane-harvey</t>
  </si>
  <si>
    <t>Photos: Hurricane Harvey slams Texas | CNN</t>
  </si>
  <si>
    <t>U.S.. Photos: Hurricane Harvey slams Texas. Updated 8:03 AM EDT, Thu August 31, 2017. Link Copied! Downtown Houston is seen behind the flooded Buffalo Bayou ...</t>
  </si>
  <si>
    <t>https://www.nytimes.com/2017/08/25/us/hurricane-harvey.html</t>
  </si>
  <si>
    <t>Hurricane Harvey: Storm Roars Ashore Near Corpus Christi, Tex.</t>
  </si>
  <si>
    <t>Aug 25, 2017 ... U.S.|Hurricane Harvey: Storm Roars Ashore Near Corpus Christi, Tex. https://www.nytimes.com/2017/08/25/us/hurricane-harvey.html. Share full ...</t>
  </si>
  <si>
    <t>https://www.cnn.com/2017/08/30/us/harvey-texas-louisiana</t>
  </si>
  <si>
    <t>Port Arthur underwater after Tropical Storm Harvey landfall - CNN</t>
  </si>
  <si>
    <t>Aug 30, 2017 ... At least 37 deaths related to Hurricane Harvey and its aftermath have been reported in Texas. ... Tuesday, Aug. 29, 2017, in Humble, Texas ...</t>
  </si>
  <si>
    <t>https://www.cnn.com/2017/08/28/us/hurricane-harvey-climate-change</t>
  </si>
  <si>
    <t>Did climate change impact Hurricane Harvey? - CNN</t>
  </si>
  <si>
    <t>Aug 28, 2017 ... ... Hurricane Harvey came ashore in August 2017. The Category 4 storm ... United States, with 51 inches of rain recorded in areas of Texas.</t>
  </si>
  <si>
    <t>https://www.chron.com/news/houston-weather/article/Hurricane-Harvey-These-Texas-webcams-offer-safe-11957881.php</t>
  </si>
  <si>
    <t>Hurricane Harvey: These Texas webcams offer safe storm watching</t>
  </si>
  <si>
    <t>Aug 26, 2017 ... Coast Guard Air Station Houston responds to search and rescue requests after Hurricane Harvey in Houston, Texas, Aug. 27, 2017.</t>
  </si>
  <si>
    <t>https://www.chron.com/news/houston-texas/article/Last-cruise-stuck-at-sea-due-to-Harvey-makes-port-12169070.php</t>
  </si>
  <si>
    <t>Last Galveston cruise stuck at sea due to Harvey makes port - Chron</t>
  </si>
  <si>
    <t>Sep 2, 2017 ... ... Hurricane Harvey on August 26, 2017 ... Michael ... Hurricane Harvey in downtown Galveston, the United States, on Aug.</t>
  </si>
  <si>
    <t>https://www.expressnews.com/news/local/article/SA-sheltering-about-1-000-hurricane-evacuees-11969490.php</t>
  </si>
  <si>
    <t>S.A. opens its doors to displaced evacuees</t>
  </si>
  <si>
    <t>Aug 26, 2017 ... ... 2017 on Wurzbach Parkway as Hurricane Harvey passes through San Antonio. ... United States and is a temporary home for ... Tropical Storm Harvey has ...</t>
  </si>
  <si>
    <t>https://www.expressnews.com/news/local/article/More-National-Guard-coming-to-Texas-aid-12161774.php</t>
  </si>
  <si>
    <t>More National Guard coming to Texas' aid; Beaumont sees 12 ...</t>
  </si>
  <si>
    <t>Aug 30, 2017 ... ... Hurricane Harvey Sunday afternoon August 27, 2017. Tropical Storm ... of the state, where flash flooding has already hit Beaumont and Port Arthur.</t>
  </si>
  <si>
    <t>https://www.npr.org/2017/08/26/546407332/hurricane-harvey-gets-downgraded-to-tropical-storm</t>
  </si>
  <si>
    <t>Hurricane Harvey Gets Downgraded To Tropical Storm - NPR</t>
  </si>
  <si>
    <t>Aug 26, 2017 ... Hurricane Harvey Gets Downgraded To Tropical Storm Hurricane Harvey ... in the southeast United States in the early morning hours.</t>
  </si>
  <si>
    <t>https://www.cnn.com/2017/08/25/us/hurricane-harvey</t>
  </si>
  <si>
    <t>Powerful Hurricane Harvey makes landfall in Texas - CNN</t>
  </si>
  <si>
    <t>Aug 25, 2017 ... Hurricane Harvey, now a Category 4 storm, is hitting the Texas coast with harsh winds and torrential rain. Houston, Corpus Christi and ...</t>
  </si>
  <si>
    <t>https://www.blufftontoday.com/story/news/jasper-sun-times/2017/09/10/latest-irma-s-winds-impede-access-toppled-crane-site/14020360007/</t>
  </si>
  <si>
    <t>The Latest: Irma's winds impede access to toppled crane site</t>
  </si>
  <si>
    <t>Sep 10, 2017 ... 9:50 a.m.. Hurricane Irma became tied for the seventh strongest storm to make landfall in U.S. history by a key measurement of atmospheric ...</t>
  </si>
  <si>
    <t>https://www.blufftontoday.com/story/news/jasper-sun-times/2017/09/06/buzz-saw-florida-braces-hurricane-irma/14020436007/</t>
  </si>
  <si>
    <t>'This is a buzz saw': Florida braces for Hurricane Irma - Bluffton Today</t>
  </si>
  <si>
    <t>'This is a buzz saw': Florida braces for Hurricane Irma. JENNIFER KAY. Sept. 6, 2017, 4:54 p.m. ET. MIAMI (AP) — Florida residents picked store shelves ...</t>
  </si>
  <si>
    <t>https://www.capitalgazette.com/2017/09/09/hurricane-irma-back-to-category-5-will-devastate-the-united-states-officials-warn/</t>
  </si>
  <si>
    <t>Hurricane Irma back to Category 5, will 'devastate the United States ...</t>
  </si>
  <si>
    <t>PUBLISHED: September 9, 2017 at 12:46 AM EDT | UPDATED: June 24, 2019 at 3:14 PM EDT. Getting your Trinity Audio player ready... Hurricane Irma continues to ...</t>
  </si>
  <si>
    <t>https://dailyprogress.com/archives/article_c401ed74-9815-11e7-a733-c7bdef195d2e.html</t>
  </si>
  <si>
    <t>EDITORIAL: Florida was right to prepare for the worst</t>
  </si>
  <si>
    <t>Sep 12, 2017 ... NEARLY A week before Hurricane Irma was predicted to make landfall ... Sep 12, 2017 ... Residents heeded the warnings with one of the largest ...</t>
  </si>
  <si>
    <t>https://www.miamiherald.com/news/weather/hurricane/article173768281.html</t>
  </si>
  <si>
    <t>Photos show Hurricane Irma's damage in Florida Keys | Miami Herald</t>
  </si>
  <si>
    <t>Photo gallery: Hurricane Irma damage in the Florida Keys | Sat., Sept. 16, 2017 · Photo Gallery: Matlacha Pine Island Recovery Efforts after Hurricane Ian.</t>
  </si>
  <si>
    <t>https://www.miamiherald.com/news/weather/hurricane/article173810931.html</t>
  </si>
  <si>
    <t>Hurricane Irma aftermath: Return to Florida Keys comes with ...</t>
  </si>
  <si>
    <t>Sep 17, 2017 ... United States · Cuba · Haiti · Venezuela · Americas ... How 9 people died in the Florida Keys from Hurricane Irma. September 17, 2017 7:40 AM.</t>
  </si>
  <si>
    <t>http://www.miamiherald.com/news/weather/hurricane/article172314352.html</t>
  </si>
  <si>
    <t>Hurricane Irma scares U.S. Southern Command ... - Miami Herald</t>
  </si>
  <si>
    <t>Sep 10, 2017 ... Hurricane Irma scares U.S. Southern Command, operations shift to Arizona. By Carol Rosenberg. Updated September 10, 2017 4:22 AM.</t>
  </si>
  <si>
    <t>http://www.miamiherald.com/news/weather/hurricane/article171505492.html</t>
  </si>
  <si>
    <t>Hurricane Irma: Gov. Rick Scott activates another 900 National ...</t>
  </si>
  <si>
    <t>Sep 6, 2017 ... Another 900 members of the Florida Air and Army National Guard will be activated Wednesday to prepare for Hurricane Irma, in addition to the ...</t>
  </si>
  <si>
    <t>https://www.miamiherald.com/news/local/news-columns-blogs/fabiola-santiago/article171923992.html</t>
  </si>
  <si>
    <t>Miamians prepare for Hurricane Irma with cafecito, kindness | Miami ...</t>
  </si>
  <si>
    <t>Sep 8, 2017 ... United States · Cuba · Haiti · Venezuela · Americas ... Updated September 8, 2017 7:00 AM ... We can't control Hurricane Irma's fury, but we can ...</t>
  </si>
  <si>
    <t>https://www.nytimes.com/interactive/2017/09/09/us/hurricane-irma-records.html</t>
  </si>
  <si>
    <t>Hurricane Irma Is One of the Strongest Storms In History</t>
  </si>
  <si>
    <t>U.S.. Share. Hurricane Irma Is One of the Strongest Storms In History. By GREGOR AISCH, ADAM PEARCE and KAREN YOURISH SEPT. 9, 2017. Houston Havana San Juan ...</t>
  </si>
  <si>
    <t>https://www.nytimes.com/2017/09/08/us/hurricane-irma-miami-florida.html</t>
  </si>
  <si>
    <t>Hurricane Irma Barrels Toward U.S., Threatening to Engulf Florida</t>
  </si>
  <si>
    <t>Sep 8, 2017 ... U.S.|Hurricane Irma Barrels Toward U.S., Threatening to Engulf Florida. https://www.nytimes.com/2017/09/08/us/hurricane-irma-miami-florida.html.</t>
  </si>
  <si>
    <t>https://www.nytimes.com/2017/09/08/us/hurricane-irma-help-donate.html</t>
  </si>
  <si>
    <t>How to Help Hurricane Irma Victims - The New York Times</t>
  </si>
  <si>
    <t>Sep 8, 2017 ... Today's Paper · U.S.|How to Help Hurricane Irma Victims. https://www.nytimes.com/2017/09/08/us/hurricane-irma-help-donate.html. Share full ...</t>
  </si>
  <si>
    <t>https://www.nytimes.com/2017/09/06/us/hurricane-irma-caribbean.html</t>
  </si>
  <si>
    <t>Hurricane Irma, One of the Most Powerful in History, Roars Across ...</t>
  </si>
  <si>
    <t>Sep 6, 2017 ... https://www.nytimes.com/2017/09/06/us/hurricane-irma-caribbean.html ... Thomas, part of the United States Virgin Islands, and hunkered down ...</t>
  </si>
  <si>
    <t>https://www.npr.org/sections/thetwo-way/2017/09/07/549136781/devastation-of-epic-proportions-in-caribbean-wake-of-hurricane-irma</t>
  </si>
  <si>
    <t>Hurricane Irma Leaves Devastation Of 'Epic Proportions' In Caribbean</t>
  </si>
  <si>
    <t>Sep 7, 2017 ... The British and U.S. Virgin Islands, popular tourist and charter boat destinations, were next in the path of Hurricane Irma. The outer bands of ...</t>
  </si>
  <si>
    <t>https://www.ydr.com/story/news/2017/09/07/how-hurricane-irma-impact-pennsylvania-sunny-skies-weekend-one-thing/643436001/</t>
  </si>
  <si>
    <t>How will Hurricane Irma impact Pennsylvania? - York Daily Record</t>
  </si>
  <si>
    <t>Sep 7, 2017 ... ... Hurricane Irma early next week, according to AccuWeather. As the Caribbean and southeastern United States ... storm makes landfall in the ...</t>
  </si>
  <si>
    <t>http://www.miamiherald.com/news/weather/hurricane/article172345337.html</t>
  </si>
  <si>
    <t>Scott pleads with people to fear storm surge: 'How do you survive ...</t>
  </si>
  <si>
    <t>Sep 9, 2017 ... “Hurricane Irma is already impacting Florida and the heart of this storm is quickly approaching us,'' he said. At least 76,000 people were ...</t>
  </si>
  <si>
    <t>https://www.nytimes.com/interactive/2017/09/27/us/puerto-rico-hurricane-maria-before-after.html</t>
  </si>
  <si>
    <t>The Devastation in Puerto Rico, as Seen From Above</t>
  </si>
  <si>
    <t>Sep 27, 2017 ... 27, 2017. Last week, Hurricane Maria made landfall in Puerto Rico with winds of 155 miles an hour, leaving the United States commonwealth on ...</t>
  </si>
  <si>
    <t>https://www.nytimes.com/2017/09/27/us/hurricane-maria-virgin-islands.html</t>
  </si>
  <si>
    <t>In the Virgin Islands, Hurricane Maria Drowned What Irma Didn't ...</t>
  </si>
  <si>
    <t>Sep 27, 2017 ... U.S.|In the Virgin Islands, Hurricane Maria Drowned What Irma Didn't Destroy. https://www.nytimes.com/2017/09/27/us/hurricane-maria-virgin- ...</t>
  </si>
  <si>
    <t>https://www.nytimes.com/2017/10/04/health/puerto-rico-hurricane-maria-pharmaceutical-manufacturers.html</t>
  </si>
  <si>
    <t>Hurricane Damage in Puerto Rico Leads to Fears of Drug Shortages ...</t>
  </si>
  <si>
    <t>Oct 4, 2017 ... ... in the aftermath of Hurricane Maria.Credit...Erika P. Rodriguez for ... of the United States. If the manufacturing plants are slow to ...</t>
  </si>
  <si>
    <t>https://www.nytimes.com/2017/09/20/us/hurricane-maria-puerto-rico-power.html</t>
  </si>
  <si>
    <t>Maria Strikes, and Puerto Rico Goes Dark - The New York Times</t>
  </si>
  <si>
    <t>Sep 20, 2017 ... Sept. 20, 2017. SAN JUAN, P.R. — Read the latest with Thursday's live updates on Hurricane Maria. Hurricane Maria ... United States Virgin ...</t>
  </si>
  <si>
    <t>https://www.usatoday.com/story/news/world/2017/09/19/good-news-battered-florida-could-dodge-worst-hurricane-maria/680500001/</t>
  </si>
  <si>
    <t>Hurricane Maria: Will it hit the U.S. - USA Today</t>
  </si>
  <si>
    <t>Sep 20, 2017 ... The U.S. mainland should be spared the wrath of Hurricane Maria, and a fellow storm — Jose — may be responsible.</t>
  </si>
  <si>
    <t>https://www.cnn.com/2017/10/10/weather/hurricane-nate-maria-irma-harvey-impact-look-back-trnd</t>
  </si>
  <si>
    <t>A look at four storms from one brutal hurricane season | CNN</t>
  </si>
  <si>
    <t>Oct 10, 2017 ... ... storm to threaten the area, Hurricane Nate, impacted the United States. ... Hurricane Maria. 02 Puerto Rico 1002. RICARDO ARDUENGO/AFP/Getty ...</t>
  </si>
  <si>
    <t>https://www.nytimes.com/2017/09/19/us/puerto-rico-hurricane-maria.html</t>
  </si>
  <si>
    <t>Puerto Rico Braces for 'Potentially Catastrophic' Hit by Hurricane Maria</t>
  </si>
  <si>
    <t>Sep 19, 2017 ... Early Wednesday morning, after crossing the United States Virgin Islands as a Category 5 storm, Hurricane Maria made landfall on Puerto Rico as ...</t>
  </si>
  <si>
    <t>https://www.cnn.com/2018/01/08/us/2017-costliest-disasters</t>
  </si>
  <si>
    <t>US shatters record for disaster costs in 2017 - CNN</t>
  </si>
  <si>
    <t>Jan 8, 2018 ... An unprecedented wildfire season out west led to 18 billion dollars in damages and 54 deaths. Western wildfires, California firestorm —. An ...</t>
  </si>
  <si>
    <t>https://www.cnn.com/2018/01/08/us/gallery/weather-billion-dollar-disasters</t>
  </si>
  <si>
    <t>2017's billion-dollar disasters in photos | CNN</t>
  </si>
  <si>
    <t>Jan 8, 2018 ... Western wildfires, California firestorm —. An unprecedented wildfire ... In March, the second largest tornado outbreak of 2017 spawned 70 ...</t>
  </si>
  <si>
    <t>https://elynews.com/2017/11/10/wildfire-ounce-prevention-worth-pound-cure/</t>
  </si>
  <si>
    <t>Wildfire: An ounce of prevention worth a pound of cure - The Ely Times</t>
  </si>
  <si>
    <t>Nov 10, 2017 ... Wildfires have become an increasingly costly and devastating problem in the West ... The wine country fires in mid-October in northern California ...</t>
  </si>
  <si>
    <t>https://www.marinij.com/2017/08/30/the-latest-arrest-made-in-growing-california-wildfire/amp/</t>
  </si>
  <si>
    <t>The Latest: Arrest made in growing California wildfire – Marin ...</t>
  </si>
  <si>
    <t>Aug 30, 2017 ... OROVILLE, Calif. (AP) — The Latest on wildfires in the western U.S. (all times local):. 1:40 p.m.. Northern California authorities have ...</t>
  </si>
  <si>
    <t>https://www.marinij.com/general-news/20170719/29-structures-destroyed-by-wildfire-racing-through-california-foothills-west-of-yosemite-national-park/</t>
  </si>
  <si>
    <t>29 structures destroyed by wildfire racing through California foothills ...</t>
  </si>
  <si>
    <t>Jul 19, 2017 ... MARIPOSA, Calif. (AP) — 29 structures destroyed by wildfire racing through California foothills west of Yosemite National Park.</t>
  </si>
  <si>
    <t>https://www.marinij.com/2017/07/20/california-fire-officials-say-a-wildfire-west-of-yosemite-national-park-has-destroyed-99-structures-50-of-them-homes/</t>
  </si>
  <si>
    <t>California fire officials say a wildfire west of Yosemite National Park ...</t>
  </si>
  <si>
    <t>Jul 20, 2017 ... PUBLISHED: July 20, 2017 at 10:39 PM PDT ... Marin middle schools earn top state ... Joe Kent, director of the U.S. National Counterterrorism Center ...</t>
  </si>
  <si>
    <t>https://www.marinij.com/2017/06/07/nevada-wildfire-crews-brace-for-more-gusty-winds/amp/</t>
  </si>
  <si>
    <t>Nevada wildfire crews brace for more gusty winds – Marin ...</t>
  </si>
  <si>
    <t>Jun 7, 2017 ... ... California-Nevada line. Power was restored by noon Wednesday to about 650 residents who lost it Tuesday in the area where flames threatened ...</t>
  </si>
  <si>
    <t>https://www.marinij.com/2017/06/26/the-latest-car-accident-sparks-major-wildfire-in-california/amp/</t>
  </si>
  <si>
    <t>The Latest: Car accident sparks major wildfire in California – Marin ...</t>
  </si>
  <si>
    <t>Jun 26, 2017 ... PUBLISHED: June 26, 2017 at 9 ... wildfire burning in Utah and others burning across the U.S. West. ... State Route 79 is closed in the area.</t>
  </si>
  <si>
    <t>https://www.cnn.com/2017/12/26/us/2017-california-wildfire-records-trnd</t>
  </si>
  <si>
    <t>The wildfires in California just keep shattering records this year | CNN</t>
  </si>
  <si>
    <t>Dec 26, 2017 ... Flames consume a home as a wildfire burns in Ojai on December 7, 2017. Noah Berger/AP. The worst for air pollution in the Bay Area. The October ...</t>
  </si>
  <si>
    <t>https://www.usatoday.com/story/news/nation-now/2017/08/31/california-wildfire-homes-destroyed/620292001/</t>
  </si>
  <si>
    <t>California wildfire destroys 10 homes, damages 5 others - USA Today</t>
  </si>
  <si>
    <t>Aug 31, 2017 ... 31, 2017, 1:54 p.m. ET. OROVILLE, Calif. — Ten homes and 20 ... 31: Extreme heat scorches western U.S., worsening wildfires and air quality</t>
  </si>
  <si>
    <t>https://apnews.com/article/north-america-us-news-ca-state-wire-entertainment-fires-4a34970d04624cabba33c4f33f068992</t>
  </si>
  <si>
    <t>The Latest: California wildfire hops highway, nears ocean | AP News</t>
  </si>
  <si>
    <t>Dec 5, 2017 ... 9:45 p.m.. The biggest and most destructive wildfire burning in Southern California has jumped U.S. Highway 101, nearly reaching the ocean and ...</t>
  </si>
  <si>
    <t>https://www.baltimoresun.com/2017/07/10/thousands-flee-wildfires-in-california-canada-blazes-grow/</t>
  </si>
  <si>
    <t>Thousands flee wildfires in California; Canada blazes grow ...</t>
  </si>
  <si>
    <t>Jul 10, 2017 ... Wildfires barreled across the baking landscape of the western U.S. and Canada, destroying homes and forcing thousands of residents to flee.</t>
  </si>
  <si>
    <t>https://www.baltimoresun.com/2017/09/05/ash-covers-oregon-cities-wildfire-smoke-chokes-us-west/</t>
  </si>
  <si>
    <t>Ash covers Oregon cities, wildfire smoke chokes U.S. West ...</t>
  </si>
  <si>
    <t>Sep 5, 2017 ... Outside California's Yosemite National Park, a wind-fueled fire made its way deeper into a grove of 2,700-year-old giant sequoia trees on Labor ...</t>
  </si>
  <si>
    <t>Jan 8, 2018 ... North Dakota, South Dakota and Montana drought —. The northern plains were hit especially hard by a drought that lasted from the spring to ...</t>
  </si>
  <si>
    <t>https://www.washingtonpost.com/news/capital-weather-gang/wp/2017/07/06/extreme-heat-broils-the-dakotas-and-montana-flash-drought-takes-toll-on-wheat-crop/</t>
  </si>
  <si>
    <t>Extreme heat broils the Dakotas and Montana; flash drought takes ...</t>
  </si>
  <si>
    <t>... toll on wheat crop. July 6, 2017More than 8 years ago. Make us preferred on Google. GFS model simulation of heat dome parked over western United States.</t>
  </si>
  <si>
    <t>https://www.nytimes.com/2017/09/07/us/montana-wildfire-drought.html</t>
  </si>
  <si>
    <t>Montana Battles Wildfires Amid a Severe Drought</t>
  </si>
  <si>
    <t>Sep 7, 2017 ... 6, 2017. Pacific Northwest Fires Smother Region in Smoke and Ash. Wildfires Scorch Los Angeles in the Midst of a Heat Wave. Sept. 3, 2017.</t>
  </si>
  <si>
    <t>https://www.mprnews.org/story/2018/01/04/huge-swath-us-hit-by-winter-storm</t>
  </si>
  <si>
    <t>Huge swath of U.S. hit by winter storm bringing snow, cold</t>
  </si>
  <si>
    <t>Jan 4, 2018 ... Residents across a huge swath of the U.S. were hunkered down as a massive winter storm packing snow, ice and high winds, followed by ...</t>
  </si>
  <si>
    <t>https://www.twincities.com/2018/01/04/huge-swath-of-us-hit-by-winter-storm-bringing-snow-cold/</t>
  </si>
  <si>
    <t>Blizzard rolls up the East Coast, with cold blast to follow</t>
  </si>
  <si>
    <t>Jan 4, 2018 ... ... 2018, in Eatontown, N.J. The New Jersey Shore, which has been experiencing deep cold weather to start the new year, is under a winter storm ...</t>
  </si>
  <si>
    <t>https://www.denverpost.com/2018/01/04/east-coast-winter-storm-photos/</t>
  </si>
  <si>
    <t>PHOTOS: Winter storm blasts the East Coast - The Denver Post</t>
  </si>
  <si>
    <t>Jan 4, 2018 ... A massive winter storm roared into the East Coast on Thursday, Jan. 4, 2018 threatening to dump as much as 18 inches of snow from the Carolinas to Maine.</t>
  </si>
  <si>
    <t>https://observer.com/2018/01/new-york-winter-storm-emergency/</t>
  </si>
  <si>
    <t>New York Declares State of Emergency Amid Winter Storm - Observer</t>
  </si>
  <si>
    <t>Jan 4, 2018 ... Governor Andrew Cuomo and Mayor Bill de Blasio declared emergencies in the wake of the winter storm.</t>
  </si>
  <si>
    <t>https://www.centredaily.com/latest-news/article193037224.html</t>
  </si>
  <si>
    <t>'Bomb cyclone' winter storm hits East Coast | Centre Daily Times</t>
  </si>
  <si>
    <t>'Bomb cyclone' winter storm hits East Coast. By Courtesy of NOAA. January 4, 2018 at 5:40 PM. A look at Thursday afternoon's radar from the National Oceanic ...</t>
  </si>
  <si>
    <t>https://www.readingeagle.com/2018/01/05/huge-swath-of-us-hit-by-winter-storm/</t>
  </si>
  <si>
    <t>Huge swath of U.S. hit by winter storm - Reading Eagle</t>
  </si>
  <si>
    <t>Jan 5, 2018 ... BOSTON – A massive winter storm roared into the East Coast on Thursday, dumping as much as 17 inches of snow in some areas and unleashing ...</t>
  </si>
  <si>
    <t>https://www.capitalgazette.com/2018/01/03/forecasters-predict-1-2-inches-of-snowfall-in-baltimore-blizzard-conditions-in-ocean-city-area-schools-delayed-closed/</t>
  </si>
  <si>
    <t>Forecasters predict 1-2 inches of snowfall in Baltimore, blizzard ...</t>
  </si>
  <si>
    <t>Jan 3, 2018 ... The rest of the Eastern Shore and possibly parts of Southern Maryland are also expected to see a significant winter storm. About 4 to 6 ...</t>
  </si>
  <si>
    <t>https://www.capitalgazette.com/2018/01/04/brutal-winter-storm-slaps-coastal-south-with-snow-could-soon-strengthen-into-bomb-cyclone/</t>
  </si>
  <si>
    <t>Brutal winter storm slaps coastal South with snow, could soon ...</t>
  </si>
  <si>
    <t>Jan 4, 2018 ... ... of the U.S. from Texas to New England. A winter storm warning extended from the Gulf Coast of Florida's “Big Bend” region all the way up the ...</t>
  </si>
  <si>
    <t>https://www.chicagotribune.com/2018/01/06/100-million-people-affected-by-east-coasts-deep-freeze/</t>
  </si>
  <si>
    <t>100 million people affected by East Coast's deep freeze</t>
  </si>
  <si>
    <t>Jan 6, 2018 ... ... winter storm watch, winter storm warning or blizzard warning. A ... More in National News. FILE – The United States Court of ...</t>
  </si>
  <si>
    <t>https://www.npr.org/sections/thetwo-way/2018/01/03/575250225/winter-storm-could-bring-snow-and-sleet-to-u-s-east-coast</t>
  </si>
  <si>
    <t>Winter Storm Could Bring Snow And Sleet To U.S. East Coast - NPR</t>
  </si>
  <si>
    <t>Jan 3, 2018 ... Winter Storm Could Bring Snow And Sleet To U.S. East Coast · The Weather Channel is predicting freezing rain, sleet and snow in the Southeast and ...</t>
  </si>
  <si>
    <t>https://www.usatoday.com/story/weather/2018/01/12/winter-storm-and-arctic-blast-roar-across-east/1028002001/</t>
  </si>
  <si>
    <t>Winter storm and Arctic blast roar across East - USA Today</t>
  </si>
  <si>
    <t>Jan 12, 2018 ... A potent winter storm will bring rain, ice and snow to portions of the southern and eastern U.S. over the next two days.</t>
  </si>
  <si>
    <t>https://www.cnn.com/2018/01/04/news/flight-cancellations-winter-storm</t>
  </si>
  <si>
    <t>Travel nightmare: Winter storm wipes out thousands of flights - CNN</t>
  </si>
  <si>
    <t>Jan 4, 2018 ... Thousands of flights across the U.S. have been delayed or canceled on Thursday, as winter storm swept across the East coast.</t>
  </si>
  <si>
    <t>https://www.cnn.com/2018/01/07/us/applenews-winter-storm-arctic-outbreak</t>
  </si>
  <si>
    <t>Winter storm: East Coast brrracing for more chill - CNN</t>
  </si>
  <si>
    <t>Jan 7, 2018 ... ... state as a winter storm descends on the West Coast. Up to a foot of ... of the United States. Spencer Platt/Getty Images. Frigid ...</t>
  </si>
  <si>
    <t>https://www.npr.org/sections/thetwo-way/2018/01/04/575562960/winter-storm-rakes-east-coast-bringing-snow-to-florida-georgia-carolinas</t>
  </si>
  <si>
    <t>Winter Storm Rakes East Coast, Bringing Snow, Wind To Northeast</t>
  </si>
  <si>
    <t>Jan 4, 2018 ... Winter Storm Rakes East Coast, Bringing Snow, Wind To Northeast ... U.S. East Coast. Schools and offices have closed in many communities ...</t>
  </si>
  <si>
    <t>https://www.cnn.com/2018/01/03/us/applenews-weather-bomb-cyclone</t>
  </si>
  <si>
    <t>Winter storm brings flooding to New England | CNN</t>
  </si>
  <si>
    <t>Jan 3, 2018 ... ... winter storm on January 5, 2018 in Boston, Massachusetts. Schools ... U.S. Capitol on January 3, 2018 in Washington, DC. A winter storm ...</t>
  </si>
  <si>
    <t>https://www.nytimes.com/2018/01/06/nyregion/jfk-airport-delays.html</t>
  </si>
  <si>
    <t>J.F.K. Airport Plagued by Delays After Winter Storm - The New York ...</t>
  </si>
  <si>
    <t>Jan 6, 2018 ... Jan. 6, 2018. Scores of rescheduled flights, damaged equipment and other lingering effects of this week's winter storm combined to create ...</t>
  </si>
  <si>
    <t>https://www.courant.com/2018/03/08/a-second-snowstorm-in-a-week-clobbers-the-northeast/</t>
  </si>
  <si>
    <t>A second snowstorm in a week clobbers the Northeast</t>
  </si>
  <si>
    <t>Mar 8, 2018 ... The National Weather Service issued a winter storm warning into ... The Huskies were in the city to compete in the 2018 CAA Women's Basketball ...</t>
  </si>
  <si>
    <t>https://www.goerie.com/picture-gallery/news/2018/03/08/another-winter-storm-hits-the/557438007/</t>
  </si>
  <si>
    <t>Another winter storm hits the Northeast - Erie Times-News</t>
  </si>
  <si>
    <t>Mar 7, 2018 ... More snow, wind makes it way through an already battered northeastern portion of the United States ... Another winter storm hits the Northeast.</t>
  </si>
  <si>
    <t>https://www.thetimes-tribune.com/2018/03/02/power-out-speed-limits-reduced-in-wake-of-winter-storm/</t>
  </si>
  <si>
    <t>Power out, speed limits reduced in wake of winter storm</t>
  </si>
  <si>
    <t>Mar 2, 2018 ... Power out, speed limits reduced in wake of winter storm. Share this ... The Northeast Extension of the Pennsylvania Turnpike is also open.</t>
  </si>
  <si>
    <t>https://www.capitalgazette.com/2018/03/11/northeast-braces-for-3rd-noreaster-in-less-than-2-weeks/</t>
  </si>
  <si>
    <t>Northeast braces for 3rd nor'easter in less than 2 weeks – Capital ...</t>
  </si>
  <si>
    <t>Mar 11, 2018 ... ... of the last storm that dumped more than 2 ... PUBLISHED: March 11, 2018 at 9:05 PM EDT ... A winter storm watch is in effect for most ...</t>
  </si>
  <si>
    <t>https://www.capitalgazette.com/2018/03/02/wind-storm-knocks-out-power-in-maryland-closes-bridges-topples-trees-hogan-declares-emergency/</t>
  </si>
  <si>
    <t>Wind storm knocks out power in Maryland, closes bridges, topples ...</t>
  </si>
  <si>
    <t>Mar 2, 2018 ... ... winter storm. Heavy snow fell in Ohio, upstate New York and eastward. Massachusetts Gov. Charlie Baker activated 200 National Guard members ...</t>
  </si>
  <si>
    <t>https://www.cnn.com/2018/03/11/us/noreaster-storm-third</t>
  </si>
  <si>
    <t>Northeast preps for 3rd winter storm in the past 10 days - CNN</t>
  </si>
  <si>
    <t>Mar 11, 2018 ... US 2 min read. Northeast preps for 3rd winter storm in the past 10 days. By. Eric Levenson. ,. Haley Brink. Updated Mar 11, 2018, 2 ...</t>
  </si>
  <si>
    <t>https://www.washingtonpost.com/news/capital-weather-gang/wp/2018/03/06/36-million-under-winter-storm-warnings-as-snow-targets-northeast-corridor/</t>
  </si>
  <si>
    <t>36 million under winter storm warnings as snow targets Northeast ...</t>
  </si>
  <si>
    <t>36 million under winter storm warnings as snow targets Northeast Corridor. March 6, 2018More than 8 years ago. Make us preferred on Google. New York City ...</t>
  </si>
  <si>
    <t>https://www.cnn.com/2018/03/07/us/winter-storm</t>
  </si>
  <si>
    <t>Winter storm hits the Northeast: Highlights - CNN</t>
  </si>
  <si>
    <t>Mar 7, 2018 ... US. Winter storm hits the Northeast: Highlights. By. Veronica Rocha. ,. Meg Wagner. ,. Brian Ries. Updated Mar 7, 2018, 10:20 ...</t>
  </si>
  <si>
    <t>https://www.washingtonpost.com/news/dr-gridlock/wp/2018/03/06/flights-trains-canceled-ahead-of-big-winter-storm-expected-to-hit-the-northeast-on-wednesday/</t>
  </si>
  <si>
    <t>Flights, trains canceled as big winter storm hit the Northeast on ...</t>
  </si>
  <si>
    <t>Mar 6, 2018 ... Flights, trains canceled as big winter storm hit the Northeast on Wednesday. March 7, 2018More than 8 years ago. Make us preferred on Google. A ...</t>
  </si>
  <si>
    <t>https://www.usatoday.com/picture-gallery/weather/2018/03/06/another-snowstorm-hits-the-northeast/32683639/</t>
  </si>
  <si>
    <t>Another snowstorm hits the Northeast - USA Today</t>
  </si>
  <si>
    <t>Mar 6, 2018 ... as a nor'easter moves into the area, March 7, 2018. Forecasts are predicting a second major winter storm in less than a week to hit the ...</t>
  </si>
  <si>
    <t>https://www.jacksonville.com/story/news/2018/03/20/tornado-watch-issued-strong-storms-predicted-tuesday/12945210007/</t>
  </si>
  <si>
    <t>Tornado watch issued, strong storms predicted Tuesday</t>
  </si>
  <si>
    <t>Updated March 20, 2018, 6:39 p.m. ET. Tara Stratton tries to juggle a gust of ... The tornado watch also includes Camden and Charlton counties in Southeast ...</t>
  </si>
  <si>
    <t>https://www.tuscaloosanews.com/story/news/local/2018/03/20/storms-leave-trail-of-damage-jsu-hit-hard-by-tornado/12946752007/</t>
  </si>
  <si>
    <t>Storms leave trail of damage; JSU hit hard by tornado</t>
  </si>
  <si>
    <t>JACKSONVILLE — With violent weather plowing through the Southeast, the ... Updated March 20, 2018, 10:34 p.m. CT. JACKSONVILLE — With violent weather ...</t>
  </si>
  <si>
    <t>https://www.cnn.com/2018/03/20/us/tornadoes-storms-noreaster-severe-weather</t>
  </si>
  <si>
    <t>'Significant damage' in Alabama after storms hit Southeast | CNN</t>
  </si>
  <si>
    <t>Mar 20, 2018 ... Large hail pelted down in parts of the state, shattering car windows and hammering vehicles. ... Severe weather was expected to continue overnight ...</t>
  </si>
  <si>
    <t>https://apnews.com/general-news-weather-forecasts-c116ac3656f240238ee7529720e4a4b8</t>
  </si>
  <si>
    <t>Severe storms spawn tornadoes, damage homes in Southeast US ...</t>
  </si>
  <si>
    <t>Updated 11:49 PM PDT, March 19, 2018. Add AP News on Google Add AP News as your preferred source to see more of our stories on Google. ... The storms are the ... “We can't rule ...</t>
  </si>
  <si>
    <t>https://www.cnn.com/2018/04/25/us/tornado-season-canada-trnd-wxc</t>
  </si>
  <si>
    <t>Tornadoes aren't showing up in the Midwest so far this year. Thank ...</t>
  </si>
  <si>
    <t>Apr 25, 2018 ... Two of the US states most notable for tornadoes – Kansas and ... tornado deaths in the Southern Plains,” says CNN meteorologist Chad Myers.</t>
  </si>
  <si>
    <t>https://apnews.com/article/storms-nebraska-weather-tornadoes-lincoln-a9ba6aca04f741e6b7e7770c7820a625</t>
  </si>
  <si>
    <t>Tornado watch issued for southeast Nebraska; snow, wind force I-80 ...</t>
  </si>
  <si>
    <t>Lincoln remained at a slight risk for severe weather Friday afternoon as forecasters expected thunderstorms to ... Published 2:03 PM PDT, April 13, 2018.</t>
  </si>
  <si>
    <t>https://www.cjonline.com/story/news/local/2018/05/02/tornado-watch-in-shawnee-county-expires-quarter-sized-hail-reported/12327182007/</t>
  </si>
  <si>
    <t>Tornado watch in Shawnee County expires; quarter-sized hail ...</t>
  </si>
  <si>
    <t>Updated May 2, 2018, 10:06 p.m. CT. A tornado watch is in effect for Shawnee County and ... to northeast portions of the state. The watch in Shawnee County ...</t>
  </si>
  <si>
    <t>https://www.washingtonpost.com/news/capital-weather-gang/wp/2018/05/02/several-large-tornadoes-raked-across-the-plains-tuesday-another-round-starts-this-evening/</t>
  </si>
  <si>
    <t>Several large tornadoes raked the Plains on Tuesday</t>
  </si>
  <si>
    <t>May 2, 2018 ... In northeast Colorado, one lonely severe thunderstorm produced hail more than an inch in diameter. Because the storm was the only show in town, ...</t>
  </si>
  <si>
    <t>https://www.nytimes.com/interactive/2018/05/24/us/disasters-hurricanes-wildfires-storms.html</t>
  </si>
  <si>
    <t>The Places in the U.S. Where Disaster Strikes Again and Again</t>
  </si>
  <si>
    <t>May 24, 2018 ... Severe weather, tornadoes, flooding. Wildfires, earthquakes, other ... In the first three months of 2018, billion-dollar storms hit the United ...</t>
  </si>
  <si>
    <t>https://www.denverpost.com/2018/05/18/colorado-tornadoes-high-activity-little-damage/</t>
  </si>
  <si>
    <t>Tornado season is underway — here's look at Colorado twisters by ...</t>
  </si>
  <si>
    <t>May 18, 2018 ... ... in the United States when it comes to tornado activity ... Colorado weather: 3 tornadoes detected on radar on Eastern Plains, hail falls ...</t>
  </si>
  <si>
    <t>https://www.denverpost.com/2018/06/19/colorado-hail-storm-damage-june-18/</t>
  </si>
  <si>
    <t>June 18 hail storm pounds Colorado - The Denver Post</t>
  </si>
  <si>
    <t>Jun 19, 2018 ... Colorado was hammered by hail stones as big as golf balls Monday as storms moved through the state ... — Blake Brown (@BlakeBrownWx) June 19, 2018.</t>
  </si>
  <si>
    <t>https://www.denverpost.com/2018/06/19/colorado-hail-storm-safety-advice/</t>
  </si>
  <si>
    <t>How to prepare for, and stay safe during, Colorado hail storms</t>
  </si>
  <si>
    <t>Jun 19, 2018 ... — NWS Boulder (@NWSBoulder) June 19, 2018. Similarly, Colorado State Patrol Trooper Gary Cutler said the best way to stay safe during a hail ...</t>
  </si>
  <si>
    <t>https://www.denverpost.com/2018/06/19/colorado-hail-stone-totals-june-18/</t>
  </si>
  <si>
    <t>Colorado hailstone totals, June 18 2018 - The Denver Post</t>
  </si>
  <si>
    <t>Jun 19, 2018 ... Monday night's hail storm that hit Boulder and communities in the western and northern of part of the metro area before heading east produced baseball-sized ...</t>
  </si>
  <si>
    <t>https://www.denverpost.com/2018/08/07/what-causes-hail/</t>
  </si>
  <si>
    <t>What causes hail to form? - The Denver Post</t>
  </si>
  <si>
    <t>Aug 7, 2018 ... A massive hail storm rocked the Colorado Springs metro area in August 2018 ... hail storms that can go down in the history books. Share ...</t>
  </si>
  <si>
    <t>https://www.denverpost.com/2018/08/06/softball-hail-el-paso-county-colorado/</t>
  </si>
  <si>
    <t>PHOTOS: Softball-sized hail pounds El Paso County causing death ...</t>
  </si>
  <si>
    <t>Aug 6, 2018 ... #COWX hail in the Broadmoor Bluffs/Glen area pic.twitter.com/3vTkB9jAh6. — J (@Junger1975) August 6, 2018. Colorado springs hail ...</t>
  </si>
  <si>
    <t>https://www.denverpost.com/2018/08/07/cheyenne-mountain-zoo-hail-storm/</t>
  </si>
  <si>
    <t>Cheyenne Mountain Zoo recovering from wild hail storm that killed ...</t>
  </si>
  <si>
    <t>PUBLISHED: August 7, 2018 at 11:33 AM MDT | UPDATED: August 7, 2018 at 4:58 PM MDT ... Why is Colorado one of the most susceptible places in the world for ...</t>
  </si>
  <si>
    <t>https://www.ydr.com/picture-gallery/weather/2018/09/14/hurricane-florence-see-pictures-beaches-hit-storm-wind-flooding-north-south-carolina/1294175002/</t>
  </si>
  <si>
    <t>Hurricane Florence: See pictures of coastal areas hit by storm</t>
  </si>
  <si>
    <t>Sep 14, 2018 ... ... 2018 in James City, United States. Hurricane Florence made ... 14, 2018, in the aftermath of Hurricane Florence's landfall. Ken ...</t>
  </si>
  <si>
    <t>https://www.capitalgazette.com/2018/09/14/annapolis-officials-scale-back-hurricane-florence-plans-still-concerned-about-flooding/</t>
  </si>
  <si>
    <t>Annapolis officials scale back Hurricane Florence plans, still ...</t>
  </si>
  <si>
    <t>Sep 14, 2018 ... Local residents have a drink at a bar a day before the arrival of hurricane Florence in Wilmington, North Carolina, on September 12, 2018.</t>
  </si>
  <si>
    <t>https://www.capitalgazette.com/2018/09/13/our-say-preparation-is-key-for-anne-arundel-as-hurricane-season-ramps-up/</t>
  </si>
  <si>
    <t>Our Say: Preparation is key for Anne Arundel as hurricane season ...</t>
  </si>
  <si>
    <t>Sep 13, 2018 ... Hurricane Florence is projected to make landfall in the Carolinas Friday. ... PUBLISHED: September 13, 2018 ... Michael Fenzel, United States ...</t>
  </si>
  <si>
    <t>https://www.capitalgazette.com/2018/09/24/10-days-after-hurricane-florence-the-storm-is-causing-fresh-chaos-across-the-carolinas/</t>
  </si>
  <si>
    <t>10 days after Hurricane Florence, the storm is causing fresh chaos ...</t>
  </si>
  <si>
    <t>Sep 24, 2018 ... Ten days after Hurricane Florence came ... PUBLISHED: September 24, 2018 ... in the southeastern area of the state, the governor added.</t>
  </si>
  <si>
    <t>https://www.charlotteobserver.com/news/local/article218319905.html</t>
  </si>
  <si>
    <t>Hurricane Florence: The storm surge covers coastal highway</t>
  </si>
  <si>
    <t>Sep 13, 2018 ... Hurricane Florence: “Life threatening” hurricane storm surge arrives in North Carolina ... 12, 2018. The center is located approximately ...</t>
  </si>
  <si>
    <t>https://www.usatoday.com/story/travel/flights/todayinthesky/2018/09/14/hurricane-florence-flight-cancellations-charleston-wilmington-charlotte-myrtle-beach/1300434002/</t>
  </si>
  <si>
    <t>Hurricane Florence: Flight cancellations soar past 2,300 - USA Today</t>
  </si>
  <si>
    <t>14, 2018Updated Sept. 15, 2018, 8:38 a.m. ET. Last update: 9:55 p.m. ET on Friday, Sept. 14. ... More: Hurricane Florence: Full list of fee waivers at U.S. ...</t>
  </si>
  <si>
    <t>https://www.npr.org/2018/09/14/647944033/september-is-peak-hurricane-season-why-is-that</t>
  </si>
  <si>
    <t>September Is Peak Hurricane Season. Why Is That? - NPR</t>
  </si>
  <si>
    <t>Sep 14, 2018 ... Why Is That? September 14, 20183:28 PM ET ... A satellite image shows Hurricane Florence on the eastern coast of the United States on Friday.</t>
  </si>
  <si>
    <t>https://www.charlotteobserver.com/news/state/north-carolina/article218455040.html</t>
  </si>
  <si>
    <t>Hurricane Florence: Death toll North Carolina South Carolina</t>
  </si>
  <si>
    <t>Sep 15, 2018 ... ... storm,” Cooper said in a statement. “Hurricane Florence is going to continue its violent grind across our state for days. Be extremely ...</t>
  </si>
  <si>
    <t>https://www.charlotteobserver.com/news/state/north-carolina/article218383430.html</t>
  </si>
  <si>
    <t>Hurricane Florence videos: Watch as storm hits Carolinas</t>
  </si>
  <si>
    <t>Sep 14, 2018 ... 13, 2018 as Hurricane Florence approaches the Carolinas. By Travis ... In the eye wall of Hurricane Florence in Ogden, North Carolina.</t>
  </si>
  <si>
    <t>https://www.thestate.com/news/state/south-carolina/article218385075.html</t>
  </si>
  <si>
    <t>Hurricane Florence could affect SC governor's race | The State</t>
  </si>
  <si>
    <t>Sep 16, 2018 ... After Hurricane Florence made landfall on the North Carolina and ... in the 2018 midterm elections on November 6. By Ashlen Renner. “His ...</t>
  </si>
  <si>
    <t>https://www.blufftontoday.com/story/news/2018/10/10/update-hurricane-michael-to-bring-considerable-tornado-threat/9588729007/</t>
  </si>
  <si>
    <t>UPDATE: Hurricane Michael to bring 'considerable' tornado threat</t>
  </si>
  <si>
    <t>Oct 10, 2018 ... 10, 2018, 5:29 p.m. ET. [Courtesy of National Weather Service]. 5 p.m. update. Hurricane Michael ... of the threat of the ... United States,” he ...</t>
  </si>
  <si>
    <t>https://www.capitalgazette.com/2018/10/11/at-least-6-dead-as-hurricane-michael-leaves-florida-panhandle-devastated/</t>
  </si>
  <si>
    <t>At least 6 dead as Hurricane Michael leaves Florida Panhandle ...</t>
  </si>
  <si>
    <t>Oct 11, 2018 ... ... Hurricane Michael, a sucker-punch of a storm ... of the four most powerful hurricanes ever to strike the United States. “This ... PUBLISHED: October ...</t>
  </si>
  <si>
    <t>https://www.capitalgazette.com/2018/10/11/ravens-from-florida-georgia-mindful-of-family-friends-in-path-of-hurricane-michael/</t>
  </si>
  <si>
    <t>Ravens from Florida, Georgia mindful of family, friends in path of ...</t>
  </si>
  <si>
    <t>Oct 11, 2018 ... PUBLISHED: October 11, 2018 ... Hurricane Michael as it made landfall Wednesday afternoon. ... The force of the winds made it the strongest ...</t>
  </si>
  <si>
    <t>https://www.capitalgazette.com/2018/10/11/hurricane-michael-has-left-at-least-2-dead-so-far/</t>
  </si>
  <si>
    <t>Hurricane Michael has left at least 2 dead so far – Capital Gazette</t>
  </si>
  <si>
    <t>Oct 11, 2018 ... PUBLISHED: October 11, 2018 at 7:35 AM EDT ... Hurricane Michael finally weakened to a ... It will take some time for residents of north Florida to ...</t>
  </si>
  <si>
    <t>https://www.capitalgazette.com/2018/10/16/death-toll-rises-to-at-least-26-across-the-south-after-hurricane-michael-blamed-for-16-deaths-in-florida-alone/</t>
  </si>
  <si>
    <t>Death toll rises to at least 26 across the South after Hurricane ...</t>
  </si>
  <si>
    <t>Oct 16, 2018 ... Hurricane Michael killed at least 16 people in Florida, most of them in the coastal county that took a direct hit from the storm, state ...</t>
  </si>
  <si>
    <t>https://dailyprogress.com/news/article_4a9e1481-199d-5cf9-9748-a8619a26ee85.html</t>
  </si>
  <si>
    <t>WEATHER UPDATE: NWS plans to survey several areas of tornado ...</t>
  </si>
  <si>
    <t>Oct 12, 2018 ... Hurricane Michael threatens US Gulf Coast · Hurricane ...</t>
  </si>
  <si>
    <t>https://dailyprogress.com/news/article_1f6f711e-cd66-11e8-8fe5-db1b9e60ed90.html</t>
  </si>
  <si>
    <t>Remnants of tropical storm bring strong winds, heavy rain through ...</t>
  </si>
  <si>
    <t>Oct 11, 2018 ... Weather from the remnants of Hurricane Michael is expected to clear on Friday ... Oct 11, 2018 ... United States of America, US Virgin Islands ...</t>
  </si>
  <si>
    <t>https://www.news-journalonline.com/story/weather/hurricane/2018/10/10/flagler-under-tornado-watch-as-hurricane-michael-slams-panhandle/9588226007/</t>
  </si>
  <si>
    <t>Flagler under tornado watch as Hurricane Michael slams Panhandle</t>
  </si>
  <si>
    <t>Oct 10, 2018 ... At 11 a.m., Hurricane Michael's central pressure is down to 928. The last hurricane to make landfall in the continental United States with a ...</t>
  </si>
  <si>
    <t>https://www.miamiherald.com/latest-news/article219839260.html</t>
  </si>
  <si>
    <t>Aftermath of Hurricane Michael leaves Panama City residents ...</t>
  </si>
  <si>
    <t>October 11, 2018 at 6:24 AM. Hurricane Michael, one of the most powerful storms ever to hit the continental United States, slammed into the Florida ...</t>
  </si>
  <si>
    <t>https://www.miamiherald.com/news/weather/hurricane/article219818665.html</t>
  </si>
  <si>
    <t>Photo Gallery: Hurricane Michael aftermatch in Panama City</t>
  </si>
  <si>
    <t>Oct 10, 2018 ... United States · Cuba · Haiti · Venezuela · Americas ... Photo Gallery: Hurricane Michael aftermath in Panama City | Wednesday, October 10, 2018.</t>
  </si>
  <si>
    <t>https://www.miamiherald.com/news/state/florida/article220221660.html</t>
  </si>
  <si>
    <t>Investors expected to line up for Hurricane Michael deals | Miami ...</t>
  </si>
  <si>
    <t>Oct 20, 2018 ... After Hurricane Michael ripped up the Forgotten Coast in Florida's Panhandle, residents of the ... United States · Cuba · Haiti · Venezuela.</t>
  </si>
  <si>
    <t>https://www.miamiherald.com/news/weather/hurricane/article219852260.html</t>
  </si>
  <si>
    <t>Hurricane Michael weakens to a tropical storm | Miami Herald</t>
  </si>
  <si>
    <t>Oct 11, 2018 ... After storming ashore as the fourth-most powerful hurricane to slam the U.S. on record, Hurricane Michael finally weakened to a tropical ...</t>
  </si>
  <si>
    <t>https://www.al.com/living/2018/10/alabama_is_heartbroken_for_flo.html</t>
  </si>
  <si>
    <t>Alabama is heartbroken for Florida after Hurricane Michael's ...</t>
  </si>
  <si>
    <t>Oct 15, 2018 ... As I write this, there are people in the southeast corner of the state ... 15, 2018, 3:40 p.m. ... in the direct path of Hurricane Michael.</t>
  </si>
  <si>
    <t>https://www.al.com/news/2018/10/trump-visits-hurricane-michael-ravaged-florida.html</t>
  </si>
  <si>
    <t>Trump visits Hurricane Michael-ravaged Florida - al.com</t>
  </si>
  <si>
    <t>Enter zip code or city and state ... Trump visits Hurricane Michael-ravaged Florida. Published: Oct. 15, 2018, 1:34 p.m. ... In the nearby city of Lynn Haven, where blue tarps topped many of the homes, Trump walked ...</t>
  </si>
  <si>
    <t>https://www.al.com/news/2018/10/alabamas_wiregrass_braces_for.html</t>
  </si>
  <si>
    <t>Alabama's wiregrass braces for Hurricane Michael - al.com</t>
  </si>
  <si>
    <t>Oct 10, 2018 ... 10, 2018, 6:50 p.m.. Dothan Deputy Fire Chief Chris Etheredge gives an update on the early effects of Hurricane Michael on Houston County.</t>
  </si>
  <si>
    <t>https://www.al.com/news/2018/10/hurricane_michael_videos_show.html</t>
  </si>
  <si>
    <t>Hurricane Michael: Videos show Florida devastation; death toll rises ...</t>
  </si>
  <si>
    <t>Oct 17, 2018 ... 17, 2018, 4:08 p.m.. Recovery efforts continue in hard-hit areas of the Florida Panhandle in the wake of Hurricane Michael. (Contributed ...</t>
  </si>
  <si>
    <t>https://www.al.com/news/2018/10/hurricane_michael_like_irma_la.html</t>
  </si>
  <si>
    <t>Hurricane Michael, like Irma last year, fills Alabama hotels with ...</t>
  </si>
  <si>
    <t>Oct 10, 2018 ... 10, 2018, 5:31 p.m.. By. John Sharp | jsharp ... By contrast, Hurricane Michael is a fast ... "The problem that poses for us is that we are on the ...</t>
  </si>
  <si>
    <t>https://www.nytimes.com/2018/10/11/reader-center/how-to-help-hurricane-michael-victims.html</t>
  </si>
  <si>
    <t>How to Help Victims of Hurricane Michael - The New York Times</t>
  </si>
  <si>
    <t>Oct 11, 2018 ... 11, 2018. Updated Oct. 12. Hurricane Michael, one of the most powerful hurricanes to hit the continental United States in decades, slammed ...</t>
  </si>
  <si>
    <t>https://www.cnn.com/2018/10/16/us/hurricane-michael-wxc</t>
  </si>
  <si>
    <t>Hurricane Michael death toll rises to 29, including 19 in Florida | CNN</t>
  </si>
  <si>
    <t>Oct 16, 2018 ... Six days after Hurricane Michael pulverized parts of the Florida Panhandle, officials had more grim and devastating news.</t>
  </si>
  <si>
    <t>https://www.cnn.com/2018/10/12/us/virginia-flooding-hurricane-michael-wxc</t>
  </si>
  <si>
    <t>Hurricane Michael: How Virginia, the Carolinas and Georgia were ...</t>
  </si>
  <si>
    <t>Oct 12, 2018 ... The Sunshine State suffered the brunt of Hurricane Michael's punishing winds, which decimated beach towns and left little more than debris in their wake.</t>
  </si>
  <si>
    <t>https://www.washingtonpost.com/weather/2018/10/11/michael-made-history-one-top-four-strongest-hurricanes-strike-united-states/</t>
  </si>
  <si>
    <t>Michael made history as one of the top four strongest hurricanes to ...</t>
  </si>
  <si>
    <t>Oct 11, 2018 ... ... of the top four strongest hurricanes to strike the United States ... Drone video shows the extent of the damage Hurricane Michael wreaked on ...</t>
  </si>
  <si>
    <t>https://www.cnn.com/2018/10/10/weather/gallery/hurricane-michael</t>
  </si>
  <si>
    <t>In pictures: Hurricane Michael's trail of destruction | CNN</t>
  </si>
  <si>
    <t>Oct 10, 2018 ... Hurricane Michael slammed into Florida on Wednesday, October 10, as ... Michael was the strongest storm to make landfall in the continental United ...</t>
  </si>
  <si>
    <t>https://www.cnn.com/2018/10/10/us/five-things-october-10-trnd</t>
  </si>
  <si>
    <t>5 things to know for October 10: Hurricane Michael, Nikki Haley ...</t>
  </si>
  <si>
    <t>Oct 10, 2018 ... 5 things to know for October 10: Hurricane Michael, Nikki Haley, missing Saudi journalist, giant mosquitoes ... in the United States this year.</t>
  </si>
  <si>
    <t>https://www.islandpacket.com/news/weather/hurricane/article219838535.html</t>
  </si>
  <si>
    <t>Michael update: Wind advisory extended for Beaufort County</t>
  </si>
  <si>
    <t>Oct 11, 2018 ... Hurricane Michael made landfall in the Florida Panhandle as a powerful Category 4 storm with sustained winds around 155 mph. Tropical storm ...</t>
  </si>
  <si>
    <t>https://www.ledger-enquirer.com/news/local/article219780470.html</t>
  </si>
  <si>
    <t>Hurricane Michael weakens as it storms across Georgia</t>
  </si>
  <si>
    <t>Oct 10, 2018 ... Hurricane Michael brings catastrophic 155 mph winds to the Gulf Coast, pushing the Columbus-Phenix City area into tropical storm warning ...</t>
  </si>
  <si>
    <t>https://www.al.com/news/2018/11/hurricane-michael-cost-alabama-estimated-307-million-2500-jobs.html</t>
  </si>
  <si>
    <t>Hurricane Michael cost Alabama estimated $307 million, 2,500 jobs</t>
  </si>
  <si>
    <t>Nov 1, 2018 ... Hurricane Michael swept across the southeast corner of the state on Oct. 10 ... The estimated total agricultural impact of the storm ...</t>
  </si>
  <si>
    <t>https://www.al.com/news/2018/10/hurricane_michael_an_incredibl.html</t>
  </si>
  <si>
    <t>Hurricane Michael: An incredible, history-making, terrifying storm</t>
  </si>
  <si>
    <t>Oct 12, 2018 ... ... of the widespread tree damage reported over the Florida Panhandle from Hurricane #Michael. You can also see difference in the water color ...</t>
  </si>
  <si>
    <t>https://www.tampabay.com/live-coverage/2018/10/10/hurricane-michael-the-latest-from-the-florida-panhandle-and-across-tampa-bay/</t>
  </si>
  <si>
    <t>Hurricane Michael: Complete coverage of the Category 4 storm</t>
  </si>
  <si>
    <t>Oct 10, 2018 ... A look at the damages across the state as Hurricane Michael made landfall. It's been a day, Twitter. Hope you Florida folks get some sleep ...</t>
  </si>
  <si>
    <t>https://www.usatoday.com/story/news/nation/2018/10/15/hurricane-michael-h-e-l-p-sign-saves-stranded-couple-near-panama-city/1645817002/</t>
  </si>
  <si>
    <t>Hurricane Michael: H-E-L-P sign saves stranded couple near ...</t>
  </si>
  <si>
    <t>Oct 15, 2018 ... ... Hurricane Michael were rescued after their niece saw their plea on an aerial map. ... of the storm. The confirmed death toll remained at 17 ...</t>
  </si>
  <si>
    <t>https://www.npr.org/2018/10/11/656419831/after-hurricane-michael-carved-through-florida-panhandle-recovery-work-begins</t>
  </si>
  <si>
    <t>Hurricane Michael Carves Through Florida Panhandle, And ... - NPR</t>
  </si>
  <si>
    <t>Oct 11, 2018 ... ... Hurricane Michael hit the Panhandle as a historic Category 4 storm on Wednesday. ... Christian Pulisic #10 and Weston McKennie #8 of the United ...</t>
  </si>
  <si>
    <t>https://www.washingtonpost.com/news/capital-weather-gang/wp/2018/07/19/a-mega-heat-wave-is-gaining-strength-over-texas-and-the-south-central-united-states/</t>
  </si>
  <si>
    <t>A heat wave is gaining strength over Texas and the south-central ...</t>
  </si>
  <si>
    <t>A mega-heat wave is gaining strength over Texas and the south-central United States. July 19, 2018More than 7 years ago. Make us preferred on Google.</t>
  </si>
  <si>
    <t>https://www.marinij.com/2018/07/04/the-latest-california-officials-lift-some-fire-evacuations/</t>
  </si>
  <si>
    <t>The Latest: California officials lift some fire evacuations – Marin ...</t>
  </si>
  <si>
    <t>Jul 4, 2018 ... (AP) — The Latest on wildfires in the western United States (all times local):. 10:35 a.m.. Crews battling a Northern California wildfire ...</t>
  </si>
  <si>
    <t>https://www.marinij.com/2018/08/13/glacier-latest-us-park-to-be-scorched-by-western-wildfires/amp/</t>
  </si>
  <si>
    <t>Glacier latest US park to be scorched by Western wildfires – Marin ...</t>
  </si>
  <si>
    <t>Aug 13, 2018 ... PUBLISHED: August 13, 2018 ... California prepared to reopen Yosemite ... In Colorado, a wildfire in the southwestern portion of the state ...</t>
  </si>
  <si>
    <t>https://www.marinij.com/2018/11/13/two-years-of-california-wildfires-deadlier-than-almost-30-years-of-u-s-quakes/amp/</t>
  </si>
  <si>
    <t>Two years of California wildfires deadlier than almost 30 years of ...</t>
  </si>
  <si>
    <t>Nov 13, 2018 ... In the last two years, 105 people died in California wildfires in 2017 and 2018, eclipsing the total number of wildfire fatalities in the entire ...</t>
  </si>
  <si>
    <t>https://www.marinij.com/general-news/20180704/california-wildfire-grows-but-so-does-control-over-flames/</t>
  </si>
  <si>
    <t>California wildfire grows, but so does control over flames – Marin ...</t>
  </si>
  <si>
    <t>Jul 4, 2018 ... PUBLISHED: July 4, 2018 ... It's among the massive wildfires burning in the Western United States and putting some Fourth of July plans on hold.</t>
  </si>
  <si>
    <t>https://www.marinij.com/general-news/20180811/trump-tariffs-undermine-wildfire-victims-rebuilding-efforts/</t>
  </si>
  <si>
    <t>Trump tariffs undermine wildfire victims' rebuilding efforts – Marin ...</t>
  </si>
  <si>
    <t>Aug 11, 2018 ... SANTA ROSA &gt;&gt; Add this to the challenges facing California wildfire ... PUBLISHED: August 11, 2018 ... It's not just wildfire victims in the West ...</t>
  </si>
  <si>
    <t>https://www.nytimes.com/interactive/2018/11/27/climate/wildfire-global-warming.html</t>
  </si>
  <si>
    <t>Climate Change Is Fueling Wildfires Nationwide, New Report Warns</t>
  </si>
  <si>
    <t>Nov 27, 2018 ... ... wildfire in California history. The report says the continued ... And wildfire risk in the United States won't just be a Western problem.</t>
  </si>
  <si>
    <t>https://www.washingtonpost.com/news/capital-weather-gang/wp/2018/08/07/wildfire-smoke-is-wreaking-havoc-on-the-air-quality-in-the-western-u-s/</t>
  </si>
  <si>
    <t>Wildfire smoke is wreaking havoc on air quality in the Western U.S.</t>
  </si>
  <si>
    <t>Aug 7, 2018 ... The destructive wildfires that continue to burn thousands of acres across California have created an air pollution nightmare for millions of residents on the ...</t>
  </si>
  <si>
    <t>https://apnews.com/article/fires-north-america-us-news-ap-top-news-ca-state-wire-3cbc36115f3c4dfda26693ffe1a2b5c8</t>
  </si>
  <si>
    <t>Crews make progress battling Southern California wildfire | AP News</t>
  </si>
  <si>
    <t>Aug 11, 2018 ... Eric Garcia delivers mail in a neighborhood burned in the Carr Fire, Friday, Aug. 10, 2018, in Redding, Calif. (AP Photo/John Locher). Read ...</t>
  </si>
  <si>
    <t>https://apnews.com/4025c23c384043c0a1549a2337dbb4a8</t>
  </si>
  <si>
    <t>Bill could shield utilities from California wildfire costs | AP News</t>
  </si>
  <si>
    <t>Nov 20, 2018 ... ... west of Los Angeles, which has destroyed ... 2018 fires if utilities are found liable for ... United States' Megan Rapinoe embraces ...</t>
  </si>
  <si>
    <t>https://www.carsonnow.org/09/06/2018/smoke-wildfires-move-carson-city-area</t>
  </si>
  <si>
    <t>Smoke and haze from regional wildfires moves into Carson City ...</t>
  </si>
  <si>
    <t>Sep 6, 2018 ... ... State Route 108 Sonora Pass in the event livestock evacuations are necessary. ... Drift smoke from California wildfires moves into western Nevada, ...</t>
  </si>
  <si>
    <t>https://www.marinij.com/2018/07/06/the-latest-official-say-california-blaze-moved-swiftly/</t>
  </si>
  <si>
    <t>The Latest: Official say California blaze moved swiftly – Marin ...</t>
  </si>
  <si>
    <t>Jul 6, 2018 ... HORNBROOK, Calif. (AP) — The Latest on wildfires in the Western United States (all times local): 12:00 p.m. A local California official says ...</t>
  </si>
  <si>
    <t>https://www.nytimes.com/2018/07/02/us/fires-california-colorado.html</t>
  </si>
  <si>
    <t>'The New Normal': Wildfires Roar Across the West, Again - ny times</t>
  </si>
  <si>
    <t>Jul 2, 2018 ... https://www.nytimes.com/2018/07/02/us/fires-california-colorado.html ... Wildfires are tearing across California, Colorado, New Mexico and other ...</t>
  </si>
  <si>
    <t>https://www.usatoday.com/story/news/nation/2018/07/05/western-wildfires-thousands-flee-dozens-blazes/759351002/</t>
  </si>
  <si>
    <t>Western wildfires: Thousands flee blazes in Colorado, California</t>
  </si>
  <si>
    <t>Jul 5, 2018 ... Overall, more than 60 blazes are burning across the western continental USA and in Alaska, the National Interagency Fire Center said. In 2018, ...</t>
  </si>
  <si>
    <t>https://www.baltimoresun.com/2018/08/08/maryland-firefighters-head-west-to-battle-wildfires/</t>
  </si>
  <si>
    <t>Maryland firefighters head west to battle wildfires – Baltimore Sun</t>
  </si>
  <si>
    <t>Aug 8, 2018 ... And on Tuesday the Mendocino Complex Fire in northern California became the largest wildfire ever recorded in the state, growing to more than ...</t>
  </si>
  <si>
    <t>https://www.washingtonpost.com/weather/2019/03/29/forecast-heavy-rain-central-us-spurs-new-flooding-concerns/</t>
  </si>
  <si>
    <t>Forecast for heavy rain in Central U.S. spurs new flooding concerns</t>
  </si>
  <si>
    <t>Mar 29, 2019 ... This flooding will be compounded as the swollen Missouri River flows into the Mississippi, just north of St. Louis. The Weather Prediction ...</t>
  </si>
  <si>
    <t>https://www.mprnews.org/story/2019/03/24/midwest-flood-risk-may-persist-for-months</t>
  </si>
  <si>
    <t>Experts warn Midwest flood risk may persist for months - MPR News</t>
  </si>
  <si>
    <t>Mar 24, 2019 ... ... northern states, the relief may only be temporary ... Floodwaters inundate the town of Craig, Mo., near the Missouri River, on Saturday, March 22, ...</t>
  </si>
  <si>
    <t>https://www.usatoday.com/story/news/nation/2019/04/13/severe-storms-including-likely-twisters-feared-texas-alabama/3456113002/</t>
  </si>
  <si>
    <t>Weather forecast: Tornado hits Texas; storm eyes Alabama, Georgia</t>
  </si>
  <si>
    <t>USA TODAY. Updated April 13, 2019, 6:52 p.m. ET. A twister dipping out of a storm system sweeping across the South Saturday caused widespread damage and ...</t>
  </si>
  <si>
    <t>https://www.beaumontenterprise.com/news/article/When-will-SETX-be-out-of-the-severe-storm-threat-13777510.php</t>
  </si>
  <si>
    <t>How long will the storms last in SE Texas? - Beaumont Enterprise</t>
  </si>
  <si>
    <t>Apr 18, 2019 ... The severe weather threat to the Southeast ... Officials said most of the severe weather ... April 18, 2019 |Updated April 18, 2019 11:43 a.m..</t>
  </si>
  <si>
    <t>https://www.al.com/news/2019/04/alabama-tornado-count-continues-today.html</t>
  </si>
  <si>
    <t>Alabama tornado count now up to 11 from weekend storms - al.com</t>
  </si>
  <si>
    <t>Apr 16, 2019 ... 16, 2019, 12:48 p.m.. North Alabama tornadoes of April 14 2019 ... The National Weather Service continued on Tuesday to look at storm damage from ...</t>
  </si>
  <si>
    <t>https://www.npr.org/programs/weekend-edition-sunday/2019/05/19/724747841/weekend-edition-sunday-for-may-19-2019</t>
  </si>
  <si>
    <t>Weekend Edition Sunday for May 19, 2019 - NPR</t>
  </si>
  <si>
    <t>May 19, 2019 ... Severe Weather Hits Central U.S.. by Shannon Van Sant. 1 min. Severe Weather Hits Central U.S.. Listen· 1:39 1-Minute Listen. Transcript Toggle ...</t>
  </si>
  <si>
    <t>https://www.usatoday.com/story/news/nation/2019/05/21/tornado-outbreak-dangerous-violent-severe-weather-forecast-monday/3750684002/</t>
  </si>
  <si>
    <t>Tornadoes hit Oklahoma, more severe weather expected Wednesday</t>
  </si>
  <si>
    <t>May 21, 2019 ... ... of the month for the central U.S.: "It looks like there is no end in sight to this very active pattern of severe weather into the end of May ...</t>
  </si>
  <si>
    <t>https://www.aberdeennews.com/story/news/2019/05/21/ornado-season-has-been-wild-and-more-storms-are-coming/44247427/</t>
  </si>
  <si>
    <t>Tornado season has been wild, and more storms are coming</t>
  </si>
  <si>
    <t>May 21, 2019 ... A day after at least 20 tornadoes rolled through the central U.S., more twisters, strong winds, downpours and hail threatened parts of Oklahoma, ...</t>
  </si>
  <si>
    <t>https://www.californiademocrat.com/news/2019/may/24/tornado-watch-effect-mid-missouri-until-midnight/</t>
  </si>
  <si>
    <t>Tornado Watch in effect for parts of Mid-Missouri until midnight ...</t>
  </si>
  <si>
    <t>May 24, 2019 ... NWS reports severe storms are possible tonight with large hail, damaging winds and tornadoes posing a potential threat. Weather resources ...</t>
  </si>
  <si>
    <t>https://www.mlive.com/weather/2019/05/brief-damaging-gusts-large-hail-isolated-tornado-possible-with-afternoon-storms.html</t>
  </si>
  <si>
    <t>Brief damaging gusts, large hail, isolated tornado possible with ...</t>
  </si>
  <si>
    <t>May 19, 2019 ... Tornado threat Sunday, May 19, 2019 Tornado ... The highest chance of large hail is for parts of the southern half of Lower Michigan.</t>
  </si>
  <si>
    <t>https://www.usatoday.com/story/news/nation/2019/05/17/tornado-alley-storms-hail-winds-tornadoes-slam-texas-south-dakota/3704233002/</t>
  </si>
  <si>
    <t>Tornado Alley storms: Hail, tornadoes to slam Texas to South Dakota</t>
  </si>
  <si>
    <t>May 17, 2019 ... Violent weather: Hail, winds, tornadoes begin hammering swath from Texas to Nebraska. Doug Stanglin Doyle Rice. USA TODAY. Updated May 17, 2019, ...</t>
  </si>
  <si>
    <t>https://www.denverpost.com/2019/05/27/colorado-tornadoes-weather-front-range/</t>
  </si>
  <si>
    <t>10 tornadoes reported in Colorado on Sunday - The Denver Post</t>
  </si>
  <si>
    <t>May 27, 2019 ... — NWS Boulder (@NWSBoulder) May 27, 2019. The first tornado on Sunday was reported at 2:38 p.m. three miles northeast of Wiley in southeast ...</t>
  </si>
  <si>
    <t>https://www.denverpost.com/2019/05/26/seven-confirmed-tornadoes-and-large-hail-in-eastern-colorado/</t>
  </si>
  <si>
    <t>Seven confirmed tornadoes in Colorado; flights now allowed to land ...</t>
  </si>
  <si>
    <t>PUBLISHED: May 26, 2019 at 4:28 PM MDT | UPDATED: May 26, ... Springfield, in the southeast corner of the state, was hit with 2.5-inch diameter hail, large ...</t>
  </si>
  <si>
    <t>https://www.chicagotribune.com/2019/05/29/tornado-that-ripped-through-kansas-city-suburbs-was-an-ef-4-national-weather-service-says/</t>
  </si>
  <si>
    <t>Tornado that ripped through Kansas City suburbs was an EF-4 ...</t>
  </si>
  <si>
    <t>May 29, 2019 ... ... severe weather that saw tornado warnings as far east as New York City. The latest round of damaging weather in the central U.S. came a day ...</t>
  </si>
  <si>
    <t>https://www.nwaonline.com/news/2019/jun/12/2-cities-still-in-major-flood-stage-201/</t>
  </si>
  <si>
    <t>2 cities still in major flood stage | Northwest Arkansas Democrat ...</t>
  </si>
  <si>
    <t>Jun 12, 2019 ... ... Arkansas River flooding were not mentioned in the initial major disaster declaration sent to Trump and that he fully anticipates the list of ...</t>
  </si>
  <si>
    <t>https://www.nwaonline.com/news/2019/may/30/governor-asks-trump-for-help-for-floode/</t>
  </si>
  <si>
    <t>Governor asks Trump for help for flooded state | Northwest Arkansas ...</t>
  </si>
  <si>
    <t>May 30, 2019 ... By Wednesday morning, though, Palarm Creek in Faulkner County was rising so fast from Arkansas River flooding that the creek's excess water ...</t>
  </si>
  <si>
    <t>https://www.examiner-enterprise.com/story/news/2019/05/30/rain-intensifies-flooding-in-saturated/5031895007/</t>
  </si>
  <si>
    <t>Rain intensifies flooding in saturated Arkansas, Oklahoma</t>
  </si>
  <si>
    <t>May 30, 2019 ... It surpasses all Arkansas River flooding in our recorded history," Hutchinson said Wednesday at a news conference with state emergency ...</t>
  </si>
  <si>
    <t>https://tulsaworld.com/news/state-and-regional/collection_52f1ad79-a25f-5158-b2a6-206460862c40.html</t>
  </si>
  <si>
    <t>Gallery: Aerial views of May 2019 flooding along the Arkansas River ...</t>
  </si>
  <si>
    <t>May 23, 2019 ... A look at Arkansas River flooding at the Pedestrian bridge on Wednesday, May 22, 2019. ... United States of America, US Virgin Islands ...</t>
  </si>
  <si>
    <t>https://www.nytimes.com/2019/05/31/us/army-corps-engineers-midwest-floods.html</t>
  </si>
  <si>
    <t>Army Corps Under Fire: In a Flood, It Released More Water</t>
  </si>
  <si>
    <t>May 31, 2019 ... ... Arkansas River, flooding parts of Sand Springs and other towns. ... Firestone of the United States Court of Federal Claims determines how ...</t>
  </si>
  <si>
    <t>https://www.alvareviewcourier.com/story/2019/05/24/interesting/arkansas-braces-for-major-flooding-on-arkansas-river/51805.html</t>
  </si>
  <si>
    <t>Arkansas braces for major flooding on Arkansas River - Alva Review ...</t>
  </si>
  <si>
    <t>May 24, 2019 ... The U.S. Army Corps of Engineers in Little Rock says water speeds could be up to seven times faster than normal because of the water moving ...</t>
  </si>
  <si>
    <t>https://www.aberdeennews.com/story/news/local/farm-forum/2019/04/11/flooding-threatens-projected-rise-in-south-dakota-corn-planting/44270993/</t>
  </si>
  <si>
    <t>Flooding threatens projected rise in South Dakota corn planting</t>
  </si>
  <si>
    <t>Apr 11, 2019 ... ... flooding, which has impacted large swaths of the Midwest. Those ... in the central and eastern United States. South Dakota was one of ...</t>
  </si>
  <si>
    <t>https://www.aberdeennews.com/story/news/nation/2019/05/02/tornadoes-storms-roar-across-central-u-s-more-expected-wednesday/3650913002/</t>
  </si>
  <si>
    <t>More storms brewing Thursday after floods, tornadoes hit central USA</t>
  </si>
  <si>
    <t>May 2, 2019 ... After two days of severe storms and tornadoes across the South and Midwest, more severe weather is in the forecast for Thursday. "Severe ...</t>
  </si>
  <si>
    <t>Mar 24, 2019 ... ... states, the relief may only be temporary ... Joseph was largely spared, but Brinton said 250 homes were flooded in the southern part of Buchanan ...</t>
  </si>
  <si>
    <t>https://www.beaconjournal.com/story/business/2019/03/26/midwest-floods-add-pain-to/5610546007/</t>
  </si>
  <si>
    <t>Midwest floods add pain to tough farm economy</t>
  </si>
  <si>
    <t>Mar 26, 2019 ... Morgan Stanley consequently lowered its 2019 ... flooding across the Midwest on top of the current disruptions." ... the South may delay ...</t>
  </si>
  <si>
    <t>https://www.detroitnews.com/story/weather/2019/04/10/michigan-weather-rain-snow-temperature-friday/3432135002/</t>
  </si>
  <si>
    <t>Central U.S. endures bomb cyclone: Mich. at risk of flooding, wind ...</t>
  </si>
  <si>
    <t>April 10, 2019Updated April 11, 2019, 9:05 a.m. ET ... in the Midwest that flooded after March's drenching. ... Light snow was reported Thursday morning in parts of the southern Lower Peninsula, but more snow and ice was forecast in northern portions of the state.</t>
  </si>
  <si>
    <t>https://www.nytimes.com/interactive/2019/03/19/us/midwest-flooding.html</t>
  </si>
  <si>
    <t>Rising Waters: See How Quickly the Midwest Flooded</t>
  </si>
  <si>
    <t>Mar 21, 2019 ... ... Wisconsin. See how flooding has increased in the Midwestern and Southern states along the Missouri and Mississippi Rivers so far.</t>
  </si>
  <si>
    <t>https://www.washingtonpost.com/weather/2019/05/01/severe-weather-flooding-pounding-plains-midwest-second-day-row/</t>
  </si>
  <si>
    <t>Midwest and Plains brace for more severe weather and flooding ...</t>
  </si>
  <si>
    <t>May 1, 2019 ... Severe weather erupted Tuesday across the central United States. Numerous tornadoes touched down in at least five states, with the focus of ...</t>
  </si>
  <si>
    <t>https://www.nytimes.com/2019/03/24/us/midwest-flooding-pine-ridge.html</t>
  </si>
  <si>
    <t>'A State of Emergency': Native Americans Stranded for Days by ...</t>
  </si>
  <si>
    <t>Mar 24, 2019 ... U.S.|'A State of Emergency': Native Americans Stranded for Days by Flooding. https://www.nytimes.com/2019/03/24/us/midwest-flooding-pine-ridge.</t>
  </si>
  <si>
    <t>https://www.npr.org/2019/04/22/715902263/losses-continue-to-mount-after-recent-midwest-flooding</t>
  </si>
  <si>
    <t>Losses Continue To Mount After Recent Midwest Flooding - NPR</t>
  </si>
  <si>
    <t>Apr 22, 2019 ... Here in the United States, the devastating floods in the Midwest ... For NPR News, I'm Frank Morris. Copyright © 2019 NPR. All rights ...</t>
  </si>
  <si>
    <t>https://www.npr.org/2019/03/25/706492307/pine-ridge-reservation-in-south-dakota-suffers-2-weeks-of-flooding</t>
  </si>
  <si>
    <t>Pine Ridge Reservation In South Dakota Suffers 2 Weeks Of Flooding</t>
  </si>
  <si>
    <t>Mar 25, 2019 ... Pine Ridge community members are not the only ones affected in the central U.S., as historic floods down the Missouri River breached levees and ...</t>
  </si>
  <si>
    <t>https://www.twincities.com/2019/03/23/experts-warn-midwest-flood-risk-may-persist-for-months/</t>
  </si>
  <si>
    <t>Experts warn Midwest flood risk may persist for months - Pioneer Press</t>
  </si>
  <si>
    <t>Mar 23, 2019 ... Joseph was largely spared, but Brinton said 250 homes were flooded in the southern part of Buchanan County. It wasn't clear when residents ...</t>
  </si>
  <si>
    <t>https://www.nytimes.com/2019/03/16/us/nebraska-flooding.html</t>
  </si>
  <si>
    <t>Record-High Floods in Nebraska Breach Levees and Isolate Towns</t>
  </si>
  <si>
    <t>Mar 16, 2019 ... March 16, 2019. Several areas in the Midwest experienced record flooding this past week, with high water on Saturday causing more levee ...</t>
  </si>
  <si>
    <t>https://www.capitalgazette.com/2019/09/05/death-toll-from-hurricane-dorian-jumps-to-20-in-bahamas-as-storm-back-to-a-category-3-rakes-the-southeastern-us-coast/</t>
  </si>
  <si>
    <t>Death toll from Hurricane Dorian jumps to 20 in Bahamas as storm ...</t>
  </si>
  <si>
    <t>Sep 5, 2019 ... ... Hurricane Dorian in Pine Bay, near Freeport, Bahamas, on Sept. 4, 2019. The U.S. Coast Guard, Britain's Royal Navy and relief organizations ...</t>
  </si>
  <si>
    <t>https://www.blufftontoday.com/story/news/2019/08/30/hurricane-dorian-gains-fury-but-could-end-up-sparing-florida/4342885007/</t>
  </si>
  <si>
    <t>Hurricane Dorian gains fury but could end up sparing Florida</t>
  </si>
  <si>
    <t>Aug 30, 2019 ... MIAMI — Hurricane Dorian powered toward Florida with increasing fury Friday — but also indications that it might just skirt the U.S. ...</t>
  </si>
  <si>
    <t>https://www.blufftontoday.com/story/news/2019/08/29/update-dorian-forcasted-to-hit-florida-on-tuesday-as-category-4/4351624007/</t>
  </si>
  <si>
    <t>Update: Dorian forcasted to hit Florida on Tuesday as Category 4</t>
  </si>
  <si>
    <t>Aug 29, 2019 ... 29, 2019, 6:07 p.m. ET ... "Hurricane Dorian's path — as well as its ... She said with the storm still days away from landfall in the United States, ...</t>
  </si>
  <si>
    <t>https://www.capitalgazette.com/2019/09/06/hurricane-dorian-forecast-eastern-shore-southern-maryland-upgraded-to-tropical-storm-warning/</t>
  </si>
  <si>
    <t>Hurricane Dorian forecast: Eastern Shore, Southern Maryland ...</t>
  </si>
  <si>
    <t>Sep 6, 2019 ... ... Hurricane Dorian moves along the coast of the United States. The National Weather Service said tropical storm-force winds of up to 73 mph ...</t>
  </si>
  <si>
    <t>https://www.charlotteobserver.com/news/local/article234460917.html</t>
  </si>
  <si>
    <t>Carolinas join states facing impact of Hurricane Dorian | Charlotte ...</t>
  </si>
  <si>
    <t>Aug 28, 2019 ... ... Hurricane Dorian as it moves toward the US. By ABC11 ... of the United States,” the center reported Wednesday. ... August 27, 2019 7:04 AM.</t>
  </si>
  <si>
    <t>https://www.jacksonville.com/story/news/disaster/2019/09/03/hurricane-dorian-northeast-florida-mail-delivery-disrupted-tuesday/3970772007/</t>
  </si>
  <si>
    <t>Hurricane Dorian: Northeast Florida mail delivery disrupted Tuesday</t>
  </si>
  <si>
    <t>3, 2019, 10:40 a.m. ET. As it draws nearer to the Sunshine State, Hurricane Dorian is also affecting mail delivery on the First Coast. The United States ...</t>
  </si>
  <si>
    <t>https://www.charlotteobserver.com/news/weather-news/article234567337.html</t>
  </si>
  <si>
    <t>Hurricane Dorian: path shifts, raising concerns in Carolinas</t>
  </si>
  <si>
    <t>Sep 1, 2019 ... Henry McMaster declares state of emergency ahead of Hurricane Dorian. August 31, 2019 12:14 PM. North Carolina Gov. Roy Cooper on Saturday ...</t>
  </si>
  <si>
    <t>https://www.jacksonville.com/story/news/disaster/2019/09/01/hurricane-dorian-hurricanes-hard-at-work-on-labor-day-weekends-in-florida/4225511007/</t>
  </si>
  <si>
    <t>Hurricane Dorian: Hurricanes hard at work on Labor Day weekends ...</t>
  </si>
  <si>
    <t>Before Hurricane Dorian, there was the Great Hurricane of 1935, David in ... "It's one of the strongest storms ever to hit the United States," said state ...</t>
  </si>
  <si>
    <t>https://www.miamiherald.com/news/weather-news/article234640157.html</t>
  </si>
  <si>
    <t>Hurricane Dorian: Other systems being monitored in Atlantic</t>
  </si>
  <si>
    <t>Sep 2, 2019 ... Updated September 2, 2019 5:00 PM. As Hurricane Dorian makes its way toward the United States, including Florida and the Carolinas ...</t>
  </si>
  <si>
    <t>https://www.miamiherald.com/news/weather/hurricane/article234693262.html</t>
  </si>
  <si>
    <t>Will Bahamians get U.S. refuge after Hurricane Dorian? - Miami Herald</t>
  </si>
  <si>
    <t>Sep 4, 2019 ... ... in the U.S. in the aftermath of Hurricane Dorian? By Monique O. Madan , David Ovalle and Douglas Hanks. Updated December 11, 2019 4:12 PM.</t>
  </si>
  <si>
    <t>https://www.miamiherald.com/news/weather/hurricane/article234691682.html</t>
  </si>
  <si>
    <t>Hurricane Dorian: what did it do to Florida? | Miami Herald</t>
  </si>
  <si>
    <t>Sep 4, 2019 ... U.S. Geological Survey coastal change experts forecast Hurricane Dorian will cause 78 percent of the sandy beaches from Florida to North ...</t>
  </si>
  <si>
    <t>https://www.miamiherald.com/news/weather/hurricane/article234734037.html</t>
  </si>
  <si>
    <t>Photo Gallery: Hurricane Dorian destruction on Abaco - Miami Herald</t>
  </si>
  <si>
    <t>Sep 4, 2019 ... United States · Cuba · Haiti · Venezuela · Americas ... Photo Gallery: Aftermath of Hurricane Dorian in the Bahamas | Friday, September 6, 2019.</t>
  </si>
  <si>
    <t>https://www.miamiherald.com/news/weather/hurricane/article234594322.html</t>
  </si>
  <si>
    <t>Photo gallery: Hurricane Dorian | Saturday, Aug. 31, 2019</t>
  </si>
  <si>
    <t>Aug 31, 2019 ... United States · Cuba · Haiti · Venezuela · Americas ... Photo Gallery: Aftermath of Hurricane Dorian in the Bahamas | Friday, September 6, 2019.</t>
  </si>
  <si>
    <t>https://www.al.com/hurricane/2019/08/tropical-storm-dorian-2019-update-stronger-dorian-approaches-puerto-rico-latest-forecast-ominous-for-florida.html</t>
  </si>
  <si>
    <t>Hurricane Dorian 2019 track update: Dorian gets stronger on path ...</t>
  </si>
  <si>
    <t>Aug 28, 2019 ... Hurricane Dorian 2019 track update: Dorian gets stronger on path for Florida ... of the United States,” the hurricane center said Wednesday.</t>
  </si>
  <si>
    <t>https://www.cnn.com/us/live-news/hurricane-dorian-bahamas-southeastern-us</t>
  </si>
  <si>
    <t>US coast threatened by Hurricane Dorian - CNN</t>
  </si>
  <si>
    <t>Hurricane Dorian is continuing to inch up the US coast near Charleston, South Carolina, after leaving terrible damage and residents stranded in the Bahamas.</t>
  </si>
  <si>
    <t>https://www.nytimes.com/2019/08/31/us/hurricane-dorian-updates.html</t>
  </si>
  <si>
    <t>Hurricane Dorian Gains Strength as Forecast Shifts</t>
  </si>
  <si>
    <t>Sep 3, 2019 ... ... of the United States ... https://www.nytimes.com/2019/08/31/us/hurricane-dorian-updates.html.</t>
  </si>
  <si>
    <t>https://www.washingtonpost.com/local/2019/08/28/tracking-dorian/</t>
  </si>
  <si>
    <t>Tracking the path of Hurricane Dorian - The Washington Post</t>
  </si>
  <si>
    <t>Sep 6, 2019 ... “But not this. This was nothing like we've ever seen.” People sift through the destruction caused by Hurricane Dorian in the Mudd neighborhood ...</t>
  </si>
  <si>
    <t>https://www.npr.org/2019/08/28/754984058/dorian-will-hit-florida-as-category-2-hurricane-new-forecast-says</t>
  </si>
  <si>
    <t>Hurricane Dorian: Florida Governor Declares State Of Emergency</t>
  </si>
  <si>
    <t>Aug 28, 2019 ... Hurricane Dorian: Florida Governor Declares State Of Emergency In the ... Meanwhile, the fifth named storm of the 2019 Atlantic season ...</t>
  </si>
  <si>
    <t>https://www.npr.org/2019/09/09/759095242/u-s-sows-confusion-over-how-bahamas-residents-may-enter</t>
  </si>
  <si>
    <t>Hurricane Dorian:U.S. Sows Confusion Over How Bahamas ... - NPR</t>
  </si>
  <si>
    <t>Sep 9, 2019 ... U.S. Sows Confusion Over How Bahamas Residents May Enter After Hurricane Dorian. September 9, 20194:52 PM ET.</t>
  </si>
  <si>
    <t>https://www.miamiherald.com/news/weather/hurricane/article234468777.html</t>
  </si>
  <si>
    <t>Where can I get water before Hurricane Dorian hits Florida?</t>
  </si>
  <si>
    <t>Aug 29, 2019 ... ... in the morning on Aug. 28, 2019, as word of growing Hurricane Dorian sent Floridians to stores to stock up on supplies. Publix said they ...</t>
  </si>
  <si>
    <t>https://www.tampabay.com/hurricane/2019/08/29/hurricane-dorian-prompts-florida-state-league-to-cancel-rest-of-the-season/</t>
  </si>
  <si>
    <t>Hurricane Dorian prompts Florida State League to cancel rest of the ...</t>
  </si>
  <si>
    <t>Aug 29, 2019 ... All future games are canceled. .@FloridaStateLg cancels weekend series, 2019 playoffs as Hurricane Dorian bears down on Florida. Tonight's ...</t>
  </si>
  <si>
    <t>https://www.washingtonpost.com/weather/2019/08/28/tropical-storm-dorian-intensifies-it-nears-puerto-rico-is-increasing-threat-southeast-us/</t>
  </si>
  <si>
    <t>Strengthening Hurricane Dorian is a growing threat to Florida Labor ...</t>
  </si>
  <si>
    <t>Aug 28, 2019 ... ... Hurricane Dorian is drifting west-northwest at just 1 mph towards the southeast U.S. on Sept. 2 as its path remains uncertain. (Video: The ...</t>
  </si>
  <si>
    <t>https://www.nytimes.com/2019/08/30/us/hurricane-dorian-florida-updates.html</t>
  </si>
  <si>
    <t>Hurricane Dorian Intensifies to Category 4 Strength</t>
  </si>
  <si>
    <t>Aug 30, 2019 ... U.S.|Hurricane Dorian Intensifies to Category 4 Strength. https://www.nytimes.com/2019/08/30/us/hurricane-dorian-florida-updates.html. Share ...</t>
  </si>
  <si>
    <t>https://www.washingtonpost.com/weather/2019/08/31/extremely-dangerous-hurricane-dorian-churns-toward-southeast-us-florida-forecast-is-highly-uncertain/</t>
  </si>
  <si>
    <t>Hurricane Dorian forecast: Florida threat isn't as dire, but concern ...</t>
  </si>
  <si>
    <t>Aug 31, 2019 ... With peak winds of 150 mph, Hurricane Dorian is as imposing and threatening as ever as it churns toward Florida and the Southeast United States.</t>
  </si>
  <si>
    <t>https://www.washingtonpost.com/nation/2019/08/29/hurricane-dorian-was-relatively-tame-caribbean-now-its-threatening-florida/</t>
  </si>
  <si>
    <t>Hurricane Dorian was relatively tame in the Caribbean, but now it's ...</t>
  </si>
  <si>
    <t>Aug 29, 2019 ... August 29, 2019More than 6 years ago. Make us preferred on Google ... The two U.S. territories in Hurricane Dorian's path through the ...</t>
  </si>
  <si>
    <t>https://www.capitalgazette.com/2019/08/29/hurricane-dorian-could-grow-into-a-category-4-storm-before-hitting-florida-over-labor-day-weekend/</t>
  </si>
  <si>
    <t>Hurricane Dorian could grow into a Category 4 storm before hitting ...</t>
  </si>
  <si>
    <t>Aug 29, 2019 ... ... Hurricane Dorian threatened to broadside the state over Labor Day weekend ... of the 2019 season swirled toward the U.S., [ ... of the storm.</t>
  </si>
  <si>
    <t>https://www.jacksonville.com/story/news/disaster/2019/09/02/hurricane-dorian-storm-brings-massive-flooding-across-bahamas/3994057007/</t>
  </si>
  <si>
    <t>Hurricane Dorian: Storm brings massive flooding across Bahamas</t>
  </si>
  <si>
    <t>Hurricane Dorian: Storm brings massive flooding across Bahamas. Ramon ... Meanwhile in the United States, the National Hurricane Center extended watches ...</t>
  </si>
  <si>
    <t>https://www.charlotteobserver.com/news/weather-news/article234706062.html</t>
  </si>
  <si>
    <t>Hurricane Dorian weakens to Category 1 storm as it whips North ...</t>
  </si>
  <si>
    <t>Sep 6, 2019 ... Hurricane Dorian weakens to Category 1 storm as it whips North Carolina coast. By Mark Price and Noah Feit. Updated September 6, 2019 7:13 AM.</t>
  </si>
  <si>
    <t>https://www.jacksonville.com/story/news/disaster/2019/08/30/hurricane-dorian-storm-driven-flooding-biggest-northeast-florida-concern/4225709007/</t>
  </si>
  <si>
    <t>Hurricane Dorian: Storm-driven flooding biggest Northeast Florida ...</t>
  </si>
  <si>
    <t>Hurricane Dorian: Storm-driven flooding biggest Northeast Florida concern ... Fuel shortages are already reported in many parts of the state, with gas stations ...</t>
  </si>
  <si>
    <t>https://www.miamiherald.com/news/weather/hurricane/article234672567.html</t>
  </si>
  <si>
    <t>Death toll rises to at least 20 in the Bahamas from Hurricane Dorian</t>
  </si>
  <si>
    <t>Sep 5, 2019 ... Scores are missing following in the aftermath of Hurricane Dorian ... storm's aftermath to enter the United States. “I urge the Trump ...</t>
  </si>
  <si>
    <t>https://www.beaumontenterprise.com/news/article/Chemical-production-to-resume-at-Exxon-Mobil-14471737.php</t>
  </si>
  <si>
    <t>Chemical production to resume at Exxon Mobil Beaumont plant</t>
  </si>
  <si>
    <t>Sep 26, 2019 ... ... Tropical Storm Imelda in Beaumont, Texas, U.S., on Friday, Sept. 20, 2019. The remnants of Tropical Storm Imelda lashed Houston and coastal ...</t>
  </si>
  <si>
    <t>https://www.chron.com/neighborhood/kingwood/news/article/Tropical-Depression-Imelda-floods-hundreds-of-14454109.php</t>
  </si>
  <si>
    <t>Tropical Storm Imelda floods hundreds of homes in Kingwood ...</t>
  </si>
  <si>
    <t>Sep 20, 2019 ... 20, 2019, in Huffman, Texas. Tropical Storm Imelda dumped 43 inches of rain in the greater Houston area. Godofredo A. Vásquez/Staff photographer.</t>
  </si>
  <si>
    <t>https://www.beaumontenterprise.com/news/article/NWS-8-10-inches-of-rain-expected-over-next-3-days-14446034.php</t>
  </si>
  <si>
    <t>Update: Tropical Storm Imelda forms in Gulf - Beaumont Enterprise</t>
  </si>
  <si>
    <t>Sep 17, 2019 ... 1:05 p.m. update: Tropical Storm Imelda has formed just south of the coast of Texas, according to the National Hurricane Center. "This system is ...</t>
  </si>
  <si>
    <t>https://www.texasobserver.org/tropical-storm-imelda-will-likely-be-southeast-texas-fifth-500-year-flood-in-five-years/</t>
  </si>
  <si>
    <t>Tropical Storm Imelda Will Likely Be Southeast Texas' Fifth 500-Year ...</t>
  </si>
  <si>
    <t>Sep 20, 2019 ... September 20, 2019, 10:06 AM, CDT. Tropical Storm Imelda hit Southeast Texas this week, causing incredible flooding in much of the region.</t>
  </si>
  <si>
    <t>https://www.washingtonpost.com/weather/2019/09/19/flash-flood-emergency-coastal-texas-hundreds-rescued-high-water-incredibly-dangerous-situation/</t>
  </si>
  <si>
    <t>Flash flood disaster in coastal Texas as hundreds rescued from high ...</t>
  </si>
  <si>
    <t>Tropical Storm Imelda is now the 5th-wettest tropical cyclone on record in the Lower 48 states. September 19, 2019More than 6 years ago. Make us preferred ...</t>
  </si>
  <si>
    <t>https://www.washingtonpost.com/weather/2019/09/20/flooded-again-climate-change-is-making-flooding-more-frequent-southeast-texasthanks-part-climate-change/</t>
  </si>
  <si>
    <t>Climate change is making flooding more frequent in Southeast Texas</t>
  </si>
  <si>
    <t>Sep 20, 2019 ... Tropical Storm Imelda enters the history books as one of the top five wettest tropical cyclones to ever strike the lower 48 states, with a ...</t>
  </si>
  <si>
    <t>https://www.npr.org/2019/09/19/762485736/tropical-storm-imelda-swamps-southeast-texas-with-heavy-rains-and-flooding</t>
  </si>
  <si>
    <t>Tropical Storm Imelda Swamps Southeast Texas With Heavy Rains ...</t>
  </si>
  <si>
    <t>Sep 19, 2019 ... Tropical Storm Imelda Swamps Southeast Texas With Heavy Rains And Flooding ... of the state. The storm is flooding out some of the same ...</t>
  </si>
  <si>
    <t>https://www.npr.org/2019/09/21/762988580/imeldas-aftermath-floods-southeast-texas-neighborhoods</t>
  </si>
  <si>
    <t>Imelda's Aftermath Floods Southeast Texas Neighborhoods - NPR</t>
  </si>
  <si>
    <t>Sep 21, 2019 ... One of the wettest tropical cyclones in U.S. history has caused intense flooding in and around the city. Tropical Storm Imelda has left at ...</t>
  </si>
  <si>
    <t>https://www.usatoday.com/story/news/nation/2019/09/21/texas-flooding-tropical-storm-imelda-death-toll-increases-5/2402290001/</t>
  </si>
  <si>
    <t>Texas flooding, Tropical Storm Imelda death toll increases to 5</t>
  </si>
  <si>
    <t>Sep 21, 2019 ... 5 deaths now linked to flooding in Texas after Tropical Storm Imelda. Portrait of Doug Stanglin Doug Stanglin. USA TODAY. Sept. 21, 2019, 2:11 ...</t>
  </si>
  <si>
    <t>https://www.washingtonpost.com/nation/2019/09/19/rainfall-tropical-storm-imelda-causes-flash-flooding-texas/</t>
  </si>
  <si>
    <t>'Water was knocking at my door': Tropical Storm Imelda floods Texas ...</t>
  </si>
  <si>
    <t>'Water was knocking at my door': Tropical Storm Imelda floods Texas as two people reported dead. September 19, 2019More than 6 years ago. Make us preferred ...</t>
  </si>
  <si>
    <t>https://www.chron.com/news/houston-texas/article/Texas-A-M-VET-Imelda-animal-rescues-southeast-14464187.php</t>
  </si>
  <si>
    <t>How Texas A&amp;M vets helped save 100 animals after Tropical Storm ...</t>
  </si>
  <si>
    <t>Sep 24, 2019 ... News|Houston. How Texas A&amp;M vets helped save 100 animals after Tropical Storm Imelda. By Rebecca Hennes, Deputy Audience Director Sep 24, 2019.</t>
  </si>
  <si>
    <t>https://www.usatoday.com/story/news/2019/09/18/president-donald-trump-greta-thunberg-tropical-storm-imelda-federal-interest-rates/2347506001/</t>
  </si>
  <si>
    <t>Greta Thunberg, Tropical Storm Imelda: 5 things to know Wednesday</t>
  </si>
  <si>
    <t>Sep 18, 2019 ... Tropical Storm Imelda threatens to swamp portions of southeastern ... She recently said during an interview with NPR that the United States has an ...</t>
  </si>
  <si>
    <t>https://www.swtimes.com/story/news/2019/10/24/dallas-area-tornadoes-cause-2/2460758007/</t>
  </si>
  <si>
    <t>Dallas-area tornadoes cause $2 billion in losses</t>
  </si>
  <si>
    <t>Oct 23, 2019 ... The Insurance Council of Texas said the estimate, which it called "pretty conservative," makes the tornado outbreak the costliest in state ...</t>
  </si>
  <si>
    <t>https://www.cnn.com/2019/10/24/us/texas-tornadoes-costliest-history</t>
  </si>
  <si>
    <t>North Texas tornado outbreak caused $2 billion in losses, the ... - CNN</t>
  </si>
  <si>
    <t>Oct 24, 2019 ... ... outbreak in Texas history, according to the ... 2019, 9:29 AM ET. PUBLISHED Oct 24, 2019, 9:29 AM ET. 15505097: TX:Tornado in DFW [Dallas, USA].</t>
  </si>
  <si>
    <t>https://www.dallasnews.com/news/weather/2019/10/21/3-tornadoes-tear-through-dallas-leveling-homes-and-leaving-thousands-in-north-texas-without-power/</t>
  </si>
  <si>
    <t>3 tornadoes tear through Dallas area, leveling homes and leaving ...</t>
  </si>
  <si>
    <t>Oct 21, 2019 ... Members of Texas Baptist Men and Islamic Relief USA clear tornado debris on Monday, October 21, 2019 in Richardson, Texas. Shaban Athuman ...</t>
  </si>
  <si>
    <t>https://www.chicagotribune.com/2019/10/21/tornado-slams-densely-populated-area-of-dallas-4-killed-in-arkansas-and-oklahoma/</t>
  </si>
  <si>
    <t>Tornado slams densely populated area of Dallas; 4 killed in ...</t>
  </si>
  <si>
    <t>Oct 21, 2019 ... A search and rescue team checks a home after a tornado hit the neighborhood in Richardson, Texas, on Monday, Oct. 21, 2019. Expand. By ...</t>
  </si>
  <si>
    <t>https://www.usatoday.com/story/news/weather/2019/10/25/texas-weather-amarillo-hit-rare-october-thundersnow/2453521001/</t>
  </si>
  <si>
    <t>Texas weather: Amarillo hit with rare October thunder snow</t>
  </si>
  <si>
    <t>Oct 25, 2019 ... Texas is no stranger to odd weather. From heat to tornadoes to hail, 2019 has been an eventful year for inclement natural events in the state.</t>
  </si>
  <si>
    <t>https://www.usatoday.com/picture-gallery/news/nation/2019/10/21/tornado-sweeps-through-dallas-leaving-over-100-000-without-power/4051129002/</t>
  </si>
  <si>
    <t>Tornado sweeps through Dallas, leaving Texas residents with ...</t>
  </si>
  <si>
    <t>Tornado sweeps through Dallas, leaving Texas residents with damaged homes. USA TODAY. Oct. 21, 2019Updated Oct. 22, 2019, 9:05 a.m. ET. A tornado caused ...</t>
  </si>
  <si>
    <t>https://nwitimes.com/news/archives/collection_5b2ea591-1ba6-522e-aa15-85d39bb50d28.html</t>
  </si>
  <si>
    <t>Today's top pics: Trudeau wins narrow victory in Canada and more</t>
  </si>
  <si>
    <t>APTOPIX Severe Weather Texas. APTOPIX Severe Weather Texas. Women stand outside a house damaged by a tornado in the Preston Hollow section of Dallas, Monday, ...</t>
  </si>
  <si>
    <t>https://bendbulletin.com/2019/11/20/bend-red-cross-volunteer-responds-to-deadly-california-wildfire/</t>
  </si>
  <si>
    <t>Bend Red Cross volunteer responds to deadly California wildfire ...</t>
  </si>
  <si>
    <t>Published 1:39 pm Wednesday, November 20, 2019 ... United States who are in Northern California this week assisting those displaced by the deadly Camp ...</t>
  </si>
  <si>
    <t>https://www.adn.com/nation-world/2019/06/25/smoke-from-more-intense-western-us-wildfires-raises-health-risks/</t>
  </si>
  <si>
    <t>Smoke from more intense Western US wildfires raises health risks ...</t>
  </si>
  <si>
    <t>Jun 25, 2019 ... With the 2019 wildfire season already heating up and fires breaking out from Southern California through Canada to Alaska, authorities are ...</t>
  </si>
  <si>
    <t>https://www.ap.org/news-highlights/best-of-the-states/2019/smoke-from-us-wildfires-boosting-health-risk/</t>
  </si>
  <si>
    <t>AP: Smoke from US wildfires boosting health risk for millions | The ...</t>
  </si>
  <si>
    <t>Jul 5, 2019 ... After last year's deadly wildfires in California brought weeks of sooty skies to cities along the West Coast, the AP decided to take a ...</t>
  </si>
  <si>
    <t>https://www.mendocinobeacon.com/2019/08/28/marin-crews-battle-5-acre-wildfire-near-woodacre/</t>
  </si>
  <si>
    <t>Man, 73, allegedly starts Northern California wildfire by burning ...</t>
  </si>
  <si>
    <t>Aug 28, 2019 ... The Marin County Fire Department handled the wildfire with help from the state fire department and the Ross Valley Fire Department.</t>
  </si>
  <si>
    <t>https://www.mendocinobeacon.com/2019/09/18/california-funds-two-innovative-wildfire-technologies-in-butte-county/</t>
  </si>
  <si>
    <t>California funds two innovative wildfire technologies in Butte County ...</t>
  </si>
  <si>
    <t>Sep 18, 2019 ... Study ties particle pollution from wildfire smoke to 24,100 US deaths per year · Chile fights wildfires that killed 19 and left 1,500 homeless ...</t>
  </si>
  <si>
    <t>https://www.nytimes.com/2019/06/21/business/energy-environment/newsom-california-wildfire-utilities.html</t>
  </si>
  <si>
    <t>California Wildfire Fund Would Put Aside $21 Billion for Damage ...</t>
  </si>
  <si>
    <t>Jun 21, 2019 ... One of the state's utilities is already in bankruptcy largely because of the resulting liability claims. On Friday, Gov. Gavin Newsom laid out a ...</t>
  </si>
  <si>
    <t>https://www.nytimes.com/2019/07/11/business/energy-environment/wildfire-california-utilities.html</t>
  </si>
  <si>
    <t>California Lawmakers Give Utilities a Backstop on Wildfire Liability</t>
  </si>
  <si>
    <t>Jul 11, 2019 ... Some of the fires that have swept the state in recent years started when trees fell onto power lines. The Camp Fire was ignited after a live ...</t>
  </si>
  <si>
    <t>https://www.cnn.com/2019/10/29/us/how-to-help-california-wildfire-victims-iyw-trnd</t>
  </si>
  <si>
    <t>Here's how you can help California's wildfire victims - CNN</t>
  </si>
  <si>
    <t>Oct 29, 2019 ... The United Way of the Wine Country set up the Kincade Fire Emergency Relief and Recovery Fund to help victims both in the short and long-term.</t>
  </si>
  <si>
    <t>https://www.nytimes.com/interactive/2019/07/31/magazine/paradise-camp-fire-california.html</t>
  </si>
  <si>
    <t>'We Have Fire Everywhere': Escaping California's Deadliest Blaze</t>
  </si>
  <si>
    <t>Jul 31, 2019 ... ... of the oldest window-washing supply companies in the United States. ... But as the mass of the wildfire moved in, the ravine appeared to ...</t>
  </si>
  <si>
    <t>https://www.al.com/news/2020/01/alabama-tornado-damage-photos-video-from-deadly-storms.html</t>
  </si>
  <si>
    <t>Alabama tornado damage: Photos, video from deadly storms - al.com</t>
  </si>
  <si>
    <t>Jan 13, 2020 ... 11, 2020, as a line of strong thunderstorms swept through the southeastern United States. Larry Jones talks to Sheriff Todd Hall. Jones ...</t>
  </si>
  <si>
    <t>https://www.charlotteobserver.com/news/weather-news/article240061978.html</t>
  </si>
  <si>
    <t>Videos, photos capture damage from storms in the Carolinas</t>
  </si>
  <si>
    <t>Feb 7, 2020 ... Tornado warned storm that did drop a tornado northeast of Charlotte. ... tornado tore through a town in South Carolina. https://t.co ...</t>
  </si>
  <si>
    <t>https://www.cnn.com/2020/03/03/weather/dixie-alley-tornadoes-southeast-wxc</t>
  </si>
  <si>
    <t>Tornadoes in the Southeast are getting worse – and they're often the ...</t>
  </si>
  <si>
    <t>Mar 3, 2020 ... ... March. Video Ad ... Although those states led in the average number of tornado fatalities, they were not the states with the most tornadoes.</t>
  </si>
  <si>
    <t>https://www.washingtonpost.com/weather/2020/03/13/ominous-weather-pattern-may-bring-severe-weather-flood-risk-central-southern-us-starting-next-week/</t>
  </si>
  <si>
    <t>Ominous weather pattern may bring severe weather, flooding risk to ...</t>
  </si>
  <si>
    <t>Mar 13, 2020 ... An early uptick in severe thunderstorm activity is likely over the central and southeastern United States in the coming weeks as a volatile weather pattern ...</t>
  </si>
  <si>
    <t>https://www.cnn.com/2020/03/04/weather/tennessee-tornado-wednesday</t>
  </si>
  <si>
    <t>Tennessee tornadoes confirmed as EF-4 and EF-3, weather service ...</t>
  </si>
  <si>
    <t>Mar 4, 2020 ... — Nick Valencia (@nickvalencianew) March 4, 2020. Kyndel Morgan, 11, lost a classmate in the storm, she told CNN, and two friends are ...</t>
  </si>
  <si>
    <t>https://www.washingtonpost.com/weather/2020/03/06/tennessee-tornado-tragedy-was-tied-lack-warning-awareness-readiness/</t>
  </si>
  <si>
    <t>Tennessee tornadoes' death toll was tied to a lack of warning ...</t>
  </si>
  <si>
    <t>Mar 6, 2020 ... ... of the state capital — suffered the worst of the devastation. The ... — NWS Nashville (@NWSNashville) March 2, 2020. As much as 24 hours ...</t>
  </si>
  <si>
    <t>https://www.washingtonpost.com/weather/2020/03/09/severe-thunderstorm-outlook-march/</t>
  </si>
  <si>
    <t>Severe weather risk may spike in second half of March in eastern U.S.</t>
  </si>
  <si>
    <t>Mar 9, 2020 ... ... 2020More than 6 years ago. Make us preferred on ... in the South and Southeast will be punctuated by occasional chances of severe weather.</t>
  </si>
  <si>
    <t>https://www.washingtonpost.com/weather/2020/03/27/midwest-severe-weather-tornadoes/</t>
  </si>
  <si>
    <t>Midwest braces for possible tornado outbreak Saturday</t>
  </si>
  <si>
    <t>Mar 27, 2020 ... A dangerous severe weather outbreak is likely across parts of the Midwest ... of the Ohio Valley. Comments. Most read Climate. Analysis. Niko ...</t>
  </si>
  <si>
    <t>https://www.washingtonpost.com/weather/2020/03/28/severe-thunderstorms-tornadoes-midwest/</t>
  </si>
  <si>
    <t>Dangerous storms and possibly significant tornadoes to target Midwest</t>
  </si>
  <si>
    <t>Mar 28, 2020 ... Make us preferred on Google. The Storm Prediction Center has issued a moderate risk (Level 4 out of 5) for severe weather. (NOAA/SPC). By ...</t>
  </si>
  <si>
    <t>https://www.usatoday.com/story/news/nation/2020/04/10/weather-easter-sunday-severe-storms-tornadoes-forecast-south/5121584002/</t>
  </si>
  <si>
    <t>Weather Easter Sunday: Severe storms, tornadoes forecast for South</t>
  </si>
  <si>
    <t>Apr 10, 2020 ... ... north over the central states into Ohio Valley on Sunday and Sunday night. ... With tornadoes in the weekend forecast, residents in severe weather ...</t>
  </si>
  <si>
    <t>https://www.usatoday.com/story/news/nation/2020/04/14/deadly-tornadoes-south-power-outages-cleanup/2987678001/</t>
  </si>
  <si>
    <t>60+ tornadoes reported; power outages; 34 dead - USA Today</t>
  </si>
  <si>
    <t>Apr 14, 2020 ... Deadliest tornado outbreak in 6 years: Stunned residents begin cleanup in the South, East ... 2020. Nine people died in South Carolina, Gov ...</t>
  </si>
  <si>
    <t>https://www.washingtonpost.com/weather/2020/04/13/tornado-severe-weather-east-coast/</t>
  </si>
  <si>
    <t>Violent storms, tornadoes shift to East Coast after leaving at least 30 ...</t>
  </si>
  <si>
    <t>Apr 13, 2020 ... Tornado watches stretch from north Florida to southeast Virginia while the Northeast braces for widespread strong winds. April 13, 2020More ...</t>
  </si>
  <si>
    <t>https://www.usatoday.com/story/news/weather/2020/04/19/weather-forecast-storms-tornadoes-texas-mississippi-louisiana-alabama-georgia/5161762002/</t>
  </si>
  <si>
    <t>Weather forecast storms: South braces for thunderstorms, tornadoes</t>
  </si>
  <si>
    <t>Apr 19, 2020 ... There were more than 30,000 power outages in Mississippi and over 13,000 in Alabama late Sunday night, according to poweroutages.us. An outbreak ...</t>
  </si>
  <si>
    <t>https://www.washingtonpost.com/weather/2020/04/17/tornado-outbreak-satellite-imagery/</t>
  </si>
  <si>
    <t>Images from space from Easter Sunday tornado outbreak</t>
  </si>
  <si>
    <t>Apr 17, 2020 ... ... of the South and Southeast. Three of the tornadoes were deemed ... This map shows the scars from devastating tornadoes that struck eastern ...</t>
  </si>
  <si>
    <t>https://www.washingtonpost.com/weather/2020/04/16/south-carolina-tornado-merger/</t>
  </si>
  <si>
    <t>Two strong tornadoes may have combined into one in South Carolina</t>
  </si>
  <si>
    <t>Apr 16, 2020 ... It was part of the same tornado outbreak that left 34 dead and ... tornado #2 early in the morning on April 13, 2020. (GR2 Analyst ...</t>
  </si>
  <si>
    <t>https://www.usatoday.com/story/news/2020/04/12/coronavirus-easter-boris-johnson-snl-stimulus-checks-weekends-biggest-news/2978391001/</t>
  </si>
  <si>
    <t>Coronavirus, Easter, Boris Johnson, SNL, stimulus checks</t>
  </si>
  <si>
    <t>Apr 12, 2020 ... Severe weather, including likeiihood of tornadoes, is forecast for much of the Southeast for ... in the United States and state by state here.</t>
  </si>
  <si>
    <t>https://www.washingtonpost.com/weather/2020/04/17/sunday-once-again-features-severe-weather-chances-across-hard-hit-south/</t>
  </si>
  <si>
    <t>South faces Sunday severe weather threat for second straight week</t>
  </si>
  <si>
    <t>Apr 17, 2020 ... Before Easter Sunday's severe weather outbreak, Alabama Gov. Kay Ivey issued an emergency declaration ordering all communities in the state to ...</t>
  </si>
  <si>
    <t>https://www.washingtonpost.com/weather/2020/04/19/south-tornadoes-severe-storms/</t>
  </si>
  <si>
    <t>South faces tornado and severe thunderstorm outbreak</t>
  </si>
  <si>
    <t>Apr 20, 2020 ... ... of the South and Southeast amid a deadly severe weather event. With a preliminary tally of 69 deaths, 2020 is the nation's deadliest year ...</t>
  </si>
  <si>
    <t>https://www.cnn.com/2020/04/19/weather/severe-storms-return-to-the-south-on-sunday</t>
  </si>
  <si>
    <t>Southeast is getting hit by another round of severe storms and ...</t>
  </si>
  <si>
    <t>Apr 19, 2020 ... ... severe weather and tornadoes across the southern US, especially in the area called Dixie Alley,” CNN meteorologist Brandon Miller said. The ...</t>
  </si>
  <si>
    <t>https://www.capitalgazette.com/2020/04/23/at-least-7-dead-as-apparent-tornadoes-tear-through-oklahoma-texas-and-louisiana/</t>
  </si>
  <si>
    <t>At least 7 dead as apparent tornadoes tear through Oklahoma ...</t>
  </si>
  <si>
    <t>Apr 23, 2020 ... Severe weather blew through the South on ... states to pay attention and take shelter. An ... 2020, in Monterey, Miss.</t>
  </si>
  <si>
    <t>https://www.washingtonpost.com/weather/2020/04/23/least-6-dead-severe-weather-tornadoes-oklahoma-mississippi-threat-moves-east/</t>
  </si>
  <si>
    <t>At least 7 dead from severe weather, tornadoes from Oklahoma to ...</t>
  </si>
  <si>
    <t>Apr 23, 2020 ... According to USA Today, some 20 homes in the town of Mansfield were reportedly flooded. It all comes as additional severe weather, including ...</t>
  </si>
  <si>
    <t>https://www.cnn.com/2020/04/22/weather/tornado-forecast-severe-outbreak</t>
  </si>
  <si>
    <t>Tornadoes could hammer the Southern Plains and Deep South this ...</t>
  </si>
  <si>
    <t>Apr 22, 2020 ... PUBLISHED Apr 22, 2020, 4:03 AM ET. ALPINE_AL_BUS.jpg. Video Ad Feedback. Severe weather throws school bus up against high school in Alabama. 0 ...</t>
  </si>
  <si>
    <t>https://www.washingtonpost.com/weather/2020/04/22/severe-thunderstorms-target-south-southeast-wednesday-thursday/</t>
  </si>
  <si>
    <t>Severe thunderstorms target South and Southeast on Wednesday ...</t>
  </si>
  <si>
    <t>Apr 22, 2020 ... Large hail, damaging winds and a few tornadoes are possible in already hard-hit areas. April 22, 2020More than 5 years ago.</t>
  </si>
  <si>
    <t>https://www.washingtonpost.com/weather/2020/04/23/how-single-thunderstorm-spawned-violent-tornadoes-across-three-states-wednesday/</t>
  </si>
  <si>
    <t>How a single thunderstorm spawned violent tornadoes across three ...</t>
  </si>
  <si>
    <t>Apr 23, 2020 ... ... states Wednesday. The storm prompted 16 tornado warnings. April 23, 2020 ... hail and flooding rains, that started across southeastern Oklahoma ...</t>
  </si>
  <si>
    <t>https://www.washingtonpost.com/weather/2020/05/02/severe-weather-outlook-may-features-backloaded-tornado-season/</t>
  </si>
  <si>
    <t>Severe weather outlook for May features a backloaded tornado ...</t>
  </si>
  <si>
    <t>May 2, 2020 ... Tornado activity through the end of April across the United States as compared to other years. ... thunderstorms from the Southeast to the Plains ...</t>
  </si>
  <si>
    <t>https://www.denverpost.com/2020/04/30/colorado-severe-weather-hail-tornado-spring-2020/</t>
  </si>
  <si>
    <t>Colorado severe weather: Will this be an active hail and tornado ...</t>
  </si>
  <si>
    <t>Apr 30, 2020 ... Deadly tornadoes, large hail and damaging winds have regularly pummeled the southern United States ... Because eastern Colorado is so much ...</t>
  </si>
  <si>
    <t>https://www.usatoday.com/story/news/nation/2020/04/28/severe-weather-tornadoes-hail-texas-oklahoma-arkansas/3038834001/</t>
  </si>
  <si>
    <t>Severe storms, tornadoes and 'massive' hail forecast for 42 million ...</t>
  </si>
  <si>
    <t>Apr 28, 2020 ... This week's outbreak of severe weather continues a stormy pattern that's plagued the southern U.S. this year. According to AccuWeather, 2020 ...</t>
  </si>
  <si>
    <t>https://www.beaumontenterprise.com/news/article/Hurricane-Hanna-makes-landfall-in-south-Texas-15434500.php</t>
  </si>
  <si>
    <t>Hurricane Hanna makes landfall in south Texas, brings rain to SETX</t>
  </si>
  <si>
    <t>Jul 25, 2020 ... As Hurricane Hanna marched closer to landfall in the far south Texas ... July 25, 2020 |Updated July 25, 2020 7:37 p.m.. Most Popular. 1 ...</t>
  </si>
  <si>
    <t>https://www.npr.org/2020/07/25/895374359/hurricane-hanna-heads-toward-south-texas-as-the-region-confronts-a-covid-19-spik</t>
  </si>
  <si>
    <t>Hurricane's Fallout Batters Texas As The Region Confronts A COVID ...</t>
  </si>
  <si>
    <t>Jul 25, 2020 ... Forecasters early Sunday downgraded Hurricane Hanna to a tropical storm. The first hurricane of the 2020 Atlantic season made landfall twice ...</t>
  </si>
  <si>
    <t>https://www.usatoday.com/story/news/nation/2020/07/27/hurricane-douglas-skirts-north-hawaii-texas-hurricane-hanna/5517730002/</t>
  </si>
  <si>
    <t>Hurricane Douglas skirts north of Hawaii; Texas Hurricane Hanna</t>
  </si>
  <si>
    <t>Jul 27, 2020 ... Hurricane Douglas skirts north of Hawaii; Texas cleans up from Hurricane Hanna. Portrait of Doyle Rice Doyle Rice. USA TODAY. Updated July 27, ...</t>
  </si>
  <si>
    <t>https://www.washingtonpost.com/weather/2020/07/28/tropical-storm-warnings-isaias/</t>
  </si>
  <si>
    <t>Tropical storm warnings issued for Puerto Rico, Virgin Islands ahead ...</t>
  </si>
  <si>
    <t>Jul 28, 2020 ... The United States has already been hit by a hurricane this season, with Category 1 Hurricane Hanna striking Texas over the weekend. Tracking ...</t>
  </si>
  <si>
    <t>https://www.npr.org/2020/07/26/895480849/1st-hurricane-of-the-season-hits-texas-with-high-winds-heavy-rain</t>
  </si>
  <si>
    <t>1st Hurricane Of The Season Hits Texas With High Winds, Heavy Rain</t>
  </si>
  <si>
    <t>Jul 26, 2020 ... South Texas is braced for flooding after Hurricane Hanna battered parts of the state yesterday. ... MCCOMB: Thank you. Copyright © 2020 NPR.</t>
  </si>
  <si>
    <t>https://www.washingtonpost.com/weather/2020/07/26/hanna-south-texas/</t>
  </si>
  <si>
    <t>Tropical Storm Hanna unloading flooding rains in South Texas</t>
  </si>
  <si>
    <t>Jul 26, 2020 ... ... 2020. “Hurricane Hanna dealt a heavy blow to our system,” tweeted the Magic Valley Electric Cooperative, which serves far South Texas. “We ...</t>
  </si>
  <si>
    <t>https://www.startribune.com/hawaii-avoids-direct-hit-from-hurricane-douglas/571924622</t>
  </si>
  <si>
    <t>Hawaii avoids direct hit from Hurricane Douglas - Star Tribune</t>
  </si>
  <si>
    <t>Jul 27, 2020 ... ... Hurricane Hanna in Corpus Christi, Texas, July 26, 2020. (Tamir ... of the island chain. The Central Pacific Warning Center lifted the ...</t>
  </si>
  <si>
    <t>https://www.houstonchronicle.com/news/houston-weather/article/storms-last-through-week-hurricane-hanna-texas-15436321.php</t>
  </si>
  <si>
    <t>Storms to last through week in Houston as Hurricane Hanna's effects ...</t>
  </si>
  <si>
    <t>Jul 27, 2020 ... People walk along the beach on Saturday, July 25, 2020, in Galveston, Texas. Outer bands of Hurricane Hanna are affecting the Houston and ...</t>
  </si>
  <si>
    <t>https://www.houstonchronicle.com/news/houston-texas/houston/article/Hurricane-Hanna-heads-for-South-Texas-coast-15433824.php</t>
  </si>
  <si>
    <t>Hurricane Hanna makes landfall on Padre Island, COVID-19 ...</t>
  </si>
  <si>
    <t>Jul 25, 2020 ... Two boys run after heavy rain descended on Seawall Boulevard on Saturday, July 25, 2020, in Galveston, Texas. Outer bands of Hurricane Hanna are ...</t>
  </si>
  <si>
    <t>https://www.washingtonpost.com/health/virus-weary-texas-hit-by-category-1-hurricane-hanna/2020/07/25/9faec0e6-ced6-11ea-99b0-8426e26d203b_story.html</t>
  </si>
  <si>
    <t>South Texas drenched by cyclone amid surge in virus cases</t>
  </si>
  <si>
    <t>Jul 25, 2020 ... A boat sinks in the Packery Channel during Hurricane Hanna, Saturday, July 25, 2020, in North Padre Island, Texas. The Category 1 storm ...</t>
  </si>
  <si>
    <t>https://www.bostonherald.com/2020/08/03/tropical-storm-isaias-massachusetts-under-a-tropical-storm-watch/</t>
  </si>
  <si>
    <t>Tropical Storm Isaias: Massachusetts under a Tropical Storm Watch</t>
  </si>
  <si>
    <t>Aug 3, 2020 ... ... 2020 at 7:36 PM EDT | UPDATED: August 4, 2020 at 7:01 AM EDT ... Hurricane Isaias. Isaias snapped trees and knocked out power as it ...</t>
  </si>
  <si>
    <t>https://nypost.com/2020/08/04/hurricane-isaias-makes-landfall-in-north-carolina/</t>
  </si>
  <si>
    <t>Hurricane Isaias makes landfall in North Carolina - New York Post</t>
  </si>
  <si>
    <t>Aug 4, 2020 ... ... Hurricane Isaias sped toward the Carolinas. The US National Hurricane Center warned oceanside home dwellers to brace for storm surge up to 5 ...</t>
  </si>
  <si>
    <t>https://www.capitalgazette.com/2020/08/04/hurricane-isaias-makes-landfall-in-north-carolina-is-downgraded-to-a-tropical-storm/</t>
  </si>
  <si>
    <t>Hurricane Isaias makes landfall in North Carolina, is downgraded to ...</t>
  </si>
  <si>
    <t>Aug 4, 2020 ... ... 2020 at 8:09 AM EDT | UPDATED: August 4, 2020 at 12:09 PM EDT. Getting your Trinity Audio player ready... Hurricane Isaias has been ...</t>
  </si>
  <si>
    <t>https://www.myrtlebeachonline.com/news/weather-news/article244739682.html</t>
  </si>
  <si>
    <t>Hurricane Isaias caused damage to North Myrtle Beach dunes</t>
  </si>
  <si>
    <t>Aug 6, 2020 ... The U.S. Army Corps of Engineers is assessing the damage done to Grand Strand beaches after Hurricane Isaias made landfall near the South ...</t>
  </si>
  <si>
    <t>https://www.thestate.com/news/weather-news/article244693877.html</t>
  </si>
  <si>
    <t>Hurricane Isaias creates coastal flooding in South Carolina - The State</t>
  </si>
  <si>
    <t>Flooding and power outages were reported overnight in parts of coastal South Carolina as Hurricane Isaias made landfall just north of ... This story was originally published August 4, 2020 at 6:45 AM.</t>
  </si>
  <si>
    <t>https://www.starnewsonline.com/story/weather/hurricane/2020/08/05/hurricane-isaias-did-north-carolina-underestimate-storm/42242559/</t>
  </si>
  <si>
    <t>HURRICANE ISAIAS: Did North Carolina underestimate the storm?</t>
  </si>
  <si>
    <t>HURRICANE ISAIAS: Did North Carolina underestimate the storm? Gareth McGrath. gareth.mcgrath@starnewsonline.com. Aug. 5, 2020, 3:21 p.m. ET.</t>
  </si>
  <si>
    <t>https://www.al.com/hurricane/2020/08/tropical-storm-isaias-now-forecast-to-be-hurricane-when-it-hits-carolinas-later-tonight.html</t>
  </si>
  <si>
    <t>Hurricane Isaias 2020 makes landfall in North Carolina with 85 mph ...</t>
  </si>
  <si>
    <t>Aug 3, 2020 ... Hurricane Isaias 2020 makes landfall in North Carolina with 85 mph winds ... Isaias will move near or along the coast of the mid-Atlantic states ...</t>
  </si>
  <si>
    <t>https://www.nytimes.com/2020/08/13/us/tropical-storm-josephine-.html</t>
  </si>
  <si>
    <t>Tropical Storm Josephine Forms in the Atlantic - The New York Times</t>
  </si>
  <si>
    <t>Aug 13, 2020 ... ... United States, according to the National Hurricane Center ... Josephine formed on Thursday, just days after Hurricane Isaias raked ...</t>
  </si>
  <si>
    <t>https://www.npr.org/2020/08/06/899736652/noaa-now-predicts-up-to-25-named-storms-in-the-atlantic-hurricane-season</t>
  </si>
  <si>
    <t>NOAA Now Predicts Up To 25 Named Storms In The Atlantic ... - NPR</t>
  </si>
  <si>
    <t>Aug 6, 2020 ... Hurricane Isaias made landfall in North Carolina earlier this week. ... in the United States. The current pace is far ahead of historic ...</t>
  </si>
  <si>
    <t>https://www.usatoday.com/story/news/nation/2020/08/03/tropical-storm-isaias-track-forecast-become-hurricane-carolinas/5571118002/</t>
  </si>
  <si>
    <t>Hurricane Isaias track: Storm makes landfall in North Carolina</t>
  </si>
  <si>
    <t>Aug 4, 2020 ... DURHAM, N.C. – Hurricane Isaias has been downgraded down to a ... Isaias, which prompted evacuation orders in the Tar Heel State over ...</t>
  </si>
  <si>
    <t>https://www.npr.org/2020/08/03/898620721/tropical-storm-isaias-expected-to-make-landfall-as-a-hurricane-in-carolinas</t>
  </si>
  <si>
    <t>Isaias Makes Landfall In North Carolina - NPR</t>
  </si>
  <si>
    <t>Isaias Makes Landfall In North Carolina. August 3, 20203:40 PM ET. By. Alana Wise. Enlarge this image. Hurricane Isaias made landfall near Ocean Isle Beach, ...</t>
  </si>
  <si>
    <t>https://www.washingtonpost.com/weather/2020/08/05/isaias-power-outages/</t>
  </si>
  <si>
    <t>Hurricane Isaias: power outage, wind and flooding statistics</t>
  </si>
  <si>
    <t>Aug 5, 2020 ... ... us (@PowerOutage_us) August 5, 2020. 78 mph: The wind ... Nine: The total fatalities in the mainland United States from Hurricane Isaias.</t>
  </si>
  <si>
    <t>https://www.fayobserver.com/story/news/2020/08/05/nc-hurricane-isaias-wind-power-outrages-surprised-some-taught-lessons/3304063001/</t>
  </si>
  <si>
    <t>Aug. 5, 2020, 5:18 p.m. ET. Boats and docks are washed together along the marsh near Southport, N.C. as Hurricane Isaias. BRUNSWICK COUNTY -- Holden Beach ...</t>
  </si>
  <si>
    <t>https://www.cnn.com/2020/08/03/us/five-things-august-3-trnd</t>
  </si>
  <si>
    <t>5 things to know for August 3: Coronavirus, schools, election 2020 ...</t>
  </si>
  <si>
    <t>Aug 3, 2020 ... Former President Ronald Reagan designated the rose as the national flower of the United States in 1986. ... Hurricane Isaias makes landfall in ...</t>
  </si>
  <si>
    <t>https://www.ydr.com/story/news/2020/08/03/hurricane-isaias-how-much-rain-south-central-pennsylvania-could-see/5571836002/</t>
  </si>
  <si>
    <t>'Quick hitter': Tropical Storm Isaias dumps heavy rain in central Pa.</t>
  </si>
  <si>
    <t>Aug 3, 2020 ... South central Pennsylvania is expected to receive two to four inches of rain from Hurricane Isaias ... of the storm, according to a Monday news ...</t>
  </si>
  <si>
    <t>https://www.news-journalonline.com/story/news/local/coastal-volusia/2020/08/06/hurricane-alpha-with-amped-up-season-forecast-names-may-run-out/42182267/</t>
  </si>
  <si>
    <t>Hurricane Alpha? With amped up season forecast, names may run out</t>
  </si>
  <si>
    <t>Aug 6, 2020 ... The most destructive so far has been this month's Hurricane Isaias ... United States. While the predictions are about the number of storms ...</t>
  </si>
  <si>
    <t>https://www.starnewsonline.com/story/news/disaster/2020/08/03/track-isaias-as-daybreak-emerges-wilmington-area-begins-to-assess-storm-damage/113360392/</t>
  </si>
  <si>
    <t>TRACK ISAIAS: As daybreak emerges, Wilmington area begins to ...</t>
  </si>
  <si>
    <t>Aug 3, 2020 ... As Hurricane Isaias hit landfall around Ocean Isle Beach, it also ... states on Tuesday and into the northeastern United States by Tuesday night.</t>
  </si>
  <si>
    <t>https://www.washingtonpost.com/weather/2020/08/06/hurricane-outlook-extremely-active/</t>
  </si>
  <si>
    <t>NOAA hurricane forecast now predicts 'extremely active' season</t>
  </si>
  <si>
    <t>Aug 6, 2020 ... The 2020 Atlantic hurricane season has already set records for being so active, with Hurricane Isaias being the earliest ninth named storm on ...</t>
  </si>
  <si>
    <t>https://nwitimes.com/news/article_846cc2bc-97c8-534e-b308-363e6a3d219a.html</t>
  </si>
  <si>
    <t>Powerful derecho leaves path of devastation across Midwest</t>
  </si>
  <si>
    <t>Aug 10, 2020 ... "This is our version of a hurricane," an Illinois meteorology professor said of one of 2020's most severe weather events yet.</t>
  </si>
  <si>
    <t>https://www.fultonsun.com/news/2020/aug/11/Powerful-derecho-leaves-path-of-devastation-across/</t>
  </si>
  <si>
    <t>Powerful derecho leaves path of devastation across Midwest | Fulton ...</t>
  </si>
  <si>
    <t>Aug 11, 2020 ... Gensini said this derecho will go down as one of the strongest in recent history and be one of the nation's worst weather events of 2020.</t>
  </si>
  <si>
    <t>https://www.npr.org/2020/08/13/902106373/after-devastating-derecho-midwest-takes-stock-of-the-damage</t>
  </si>
  <si>
    <t>After Devastating Derecho, Midwest Takes Stock Of The Damage</t>
  </si>
  <si>
    <t>Aug 13, 2020 ... After Devastating Derecho, Midwest Takes Stock Of The Damage. August 13, 202010:52 AM ET ... Tickets for the opening match of the United States at ...</t>
  </si>
  <si>
    <t>https://www.nytimes.com/2020/08/18/us/how-to-help-derecho-iowa.html</t>
  </si>
  <si>
    <t>How to Help Derecho Victims in the Midwest - The New York Times</t>
  </si>
  <si>
    <t>Aug 18, 2020 ... More than a week after the storms swept through several states, there is still a lot of confusion and needs are constantly evolving, said Carter ...</t>
  </si>
  <si>
    <t>https://www.nytimes.com/2020/08/10/us/derecho-storm-chicago-weather.html</t>
  </si>
  <si>
    <t>Unusual 'Derecho' Storms Rip Through Midwest - The New York Times</t>
  </si>
  <si>
    <t>Aug 15, 2020 ... Derechos occur a couple of times a year across the United States ... She is also a member of the 2020-21 New York Times fellowship class.</t>
  </si>
  <si>
    <t>https://www.washingtonpost.com/weather/2020/08/12/iowa-derecho-corn-damage/</t>
  </si>
  <si>
    <t>Iowa derecho corn damage is massive, at 43 percent of state's crop</t>
  </si>
  <si>
    <t>Aug 13, 2020 ... Satellite imagery shows damage. More than 10 million acres, or 43 percent, of the state's crops were affected. August 13, 2020More than ...</t>
  </si>
  <si>
    <t>https://www.cnn.com/2020/08/10/weather/derecho-forecast-chicago-severe-storms</t>
  </si>
  <si>
    <t>Derecho with 100 mph winds moves across the Midwest ... - CNN</t>
  </si>
  <si>
    <t>Aug 10, 2020 ... ... 2020, 2:35 PM ET. Updated Aug 10, 2020 ... Serena Williams of United States in action against Nicole Melichar-Martinez of United States and.</t>
  </si>
  <si>
    <t>https://www.cnn.com/2020/08/11/weather/derecho-forecast-chicago-storms-tuesday</t>
  </si>
  <si>
    <t>Derecho storms leave more than 1 million without power overnight</t>
  </si>
  <si>
    <t>Aug 11, 2020 ... — Faust (@Chillingchic) August 10, 2020. A total number of ... Storm damage prompts curfew in Cedar Rapids. Cedar Rapids, Iowa ...</t>
  </si>
  <si>
    <t>https://www.nola.com/news/hurricane/president-trump-surveys-hurricane-laura-damage-im-here-to-support-the-great-people-of-louisiana/article_f5d482f6-ea0d-11ea-abb6-9f3c803e3ac5.html</t>
  </si>
  <si>
    <t>President Trump surveys Hurricane Laura damage: 'I'm here to ...</t>
  </si>
  <si>
    <t>Aug 29, 2020 ... ... of the town of Lake Charles following Hurricane Laura on Saturday, Aug. 29, 2020, in Lake Charles, Louisiana. STAFF PHOTO BY BRAD BOWIE.</t>
  </si>
  <si>
    <t>https://www.houstonchronicle.com/news/houston-weather/hurricanes/article/hurricane-laura-aftermath-scars-east-texas-storm-15520692.php</t>
  </si>
  <si>
    <t>Scars of Hurricane Laura evident as Louisiana residents assess ...</t>
  </si>
  <si>
    <t>Aug 27, 2020 ... A car is covered with the front wall of the store Hair Saga on Ryan Street in the aftermath of Hurricane Laura, Thursday, Aug. 27, 2020, in Lake ...</t>
  </si>
  <si>
    <t>https://www.nola.com/news/hurricane/nothing-like-this-how-hurricane-lauras-devastation-has-stunned-lake-charles-residents/article_40d78c1c-e8b5-11ea-871c-e3a0ef1b8b80.html</t>
  </si>
  <si>
    <t>'Nothing like this': How Hurricane Laura's devastation has stunned ...</t>
  </si>
  <si>
    <t>Aug 27, 2020 ... WESTLAKE- Part of the roof is missing on the Isle of Capri casino following Hurricane Laura in southwest Louisiana on Thursday, August 27, 2020.</t>
  </si>
  <si>
    <t>https://www.houstonchronicle.com/business/energy/article/hurricane-laura-gulf-coast-refineries-oil-gas-tx-15523139.php</t>
  </si>
  <si>
    <t>Spared from Hurricane Laura's wrath, Gulf Coast refineries begin to ...</t>
  </si>
  <si>
    <t>Aug 31, 2020 ... Galveston Bay oil refinery plant ahead of Hurricane Laura in Texas City, Texas, U.S., on Wednesday, Aug. 26, 2020. Show Less Show More. Go ...</t>
  </si>
  <si>
    <t>https://www.nola.com/news/hurricane/why-hurricane-laura-s-storm-surge-wasn-t-thankfully-as-bad-in-lake-charles-as/article_9d69f56e-e88d-11ea-b1f5-a35013378fd2.html</t>
  </si>
  <si>
    <t>Why Hurricane Laura's storm surge wasn't — thankfully - NOLA.com</t>
  </si>
  <si>
    <t>Aug 27, 2020 ... As Hurricane Laura continues to move through U.S., NHC watching two systems in tropics.</t>
  </si>
  <si>
    <t>https://www.denverpost.com/2020/08/28/hurricane-laura-coastal-louisiana/</t>
  </si>
  <si>
    <t>Hurricane Laura: Coastal Louisiana a hot mess as storm's leftovers ...</t>
  </si>
  <si>
    <t>Aug 28, 2020 ... ... in the aftermath of Hurricane Laura. (AP Photo/Gerald Herbert). By ... One of the strongest hurricanes ever to strike the United States ...</t>
  </si>
  <si>
    <t>https://www.nytimes.com/2020/08/27/us/hurricane-laura-damage.html</t>
  </si>
  <si>
    <t>Hurricane Laura Carves Destructive Path Across Louisiana</t>
  </si>
  <si>
    <t>Aug 27, 2020 ... https://www.nytimes.com/2020/08/27/us/hurricane-laura-damage.html ... Reeves, the superintendent of the Louisiana State Police, said that ...</t>
  </si>
  <si>
    <t>https://www.npr.org/sections/hurricane-laura-live-updates/2020/08/27/906653006/hurricane-laura-knocks-out-power-for-hundreds-of-thousands-in-louisiana-and-texa</t>
  </si>
  <si>
    <t>Hurricane Laura Knocks Out Power For Hundreds Of Thousands In ...</t>
  </si>
  <si>
    <t>Aug 27, 2020 ... Hurricane Laura Knocks Out Power For Hundreds Of Thousands In Louisiana And Texas. August 27, 202012:01 PM ET ... Southern States Assessing ...</t>
  </si>
  <si>
    <t>https://www.nytimes.com/2020/08/27/us/hurricane-laura-how-to-help.html</t>
  </si>
  <si>
    <t>How to Help Hurricane Laura Victims - The New York Times</t>
  </si>
  <si>
    <t>Aug 27, 2020 ... Hurricane Laura, one of the strongest storms on record to hit the United States ... 27, 2020 · Map: Tracking Hurricane Laura's Path.</t>
  </si>
  <si>
    <t>https://www.npr.org/sections/hurricane-laura-live-updates/2020/08/27/906788618/covid-19-complicates-response-to-hurricane-laura-spurs-fears-of-new-outbreaks</t>
  </si>
  <si>
    <t>COVID-19 Complicates Response To Hurricane Laura, Spurs Fears ...</t>
  </si>
  <si>
    <t>Aug 27, 2020 ... Texas and Louisiana were already struggling to contain the spread of the coronavirus when Hurricane Laura ... United States celebrates after ...</t>
  </si>
  <si>
    <t>https://www.npr.org/sections/hurricane-laura-live-updates/2020/08/27/906633395/hurricanes-like-laura-are-more-likely-because-of-climate-change</t>
  </si>
  <si>
    <t>Hurricanes Like Laura Are More Likely Because Of Climate Change</t>
  </si>
  <si>
    <t>Aug 27, 2020 ... Hurricane Laura approaches the Gulf Coast of the U.S. on Wednesday. The storm rapidly intensified before it made landfall. NOAA via AP hide ...</t>
  </si>
  <si>
    <t>https://www.npr.org/sections/hurricane-laura-live-updates/2020/08/29/907445890/president-trump-visits-areas-hardest-hit-by-hurricane-laura</t>
  </si>
  <si>
    <t>President Trump Visits Areas Hardest Hit By Hurricane Laura - NPR</t>
  </si>
  <si>
    <t>Aug 29, 2020 ... Hurricane Laura was a Category 4 storm when it hit the Gulf Coast. Katrina ranks not only the costliest-ever U.S. hurricane, but as the most ...</t>
  </si>
  <si>
    <t>https://www.npr.org/sections/hurricane-laura-live-updates/2020/08/27/906704215/chemical-fire-burns-near-lake-charles-in-aftermath-of-hurricane-laura</t>
  </si>
  <si>
    <t>Chemical Fire Burns Near Lake Charles, La., In Aftermath Of ... - NPR</t>
  </si>
  <si>
    <t>Aug 27, 2020 ... ... Hurricane Laura made landfall in Westlake, La., on Aug. 27, 2020 ... John Bel Edwards (@LouisianaGov) August 27, 2020. The Cajun Navy, a ...</t>
  </si>
  <si>
    <t>https://www.washingtonpost.com/weather/2020/08/28/hurricane-laura-peak-winds-surge/</t>
  </si>
  <si>
    <t>Hurricane Laura by the numbers: Winds to 154 mph, a 15-foot surge ...</t>
  </si>
  <si>
    <t>Aug 28, 2020 ... Hurricane Laura by the numbers: Winds to 154 mph, a 15-foot surge and yet another Category 4+ on U.S. soil. September 1, 2020More than 5 years ...</t>
  </si>
  <si>
    <t>https://www.chron.com/news/houston-weather/hurricanes/guide/article/Hurricane-Laura-The-latest-on-storm-s-impact-15518802.php</t>
  </si>
  <si>
    <t>Hurricane Laura: The latest on storm's impact on Texas, Louisiana</t>
  </si>
  <si>
    <t>Aug 28, 2020 ... Hurricane Laura: The latest on storm's impact on Texas, Louisiana · This is just a small sample of the damage around Lake Charles. · Shelter in ...</t>
  </si>
  <si>
    <t>https://www.beaumontenterprise.com/z-archived-entertainment/article/Laura-batters-Texas-Louisiana-coasts-15518342.php</t>
  </si>
  <si>
    <t>Laura batters Texas, Louisiana coasts - Beaumont Enterprise</t>
  </si>
  <si>
    <t>Aug 28, 2020 ... - Hurricane Laura slammed into the southern US state ... in the apartment but the storm caused ... 27, 2020, in the wake of Hurricane Laura.</t>
  </si>
  <si>
    <t>https://www.nola.com/news/hurricane/powerful-hurricane-laura-delivers-damage-across-the-state-last-minute-shift-reduces-storm-surge/article_4c9eaaec-e8b2-11ea-9d15-135739fe1259.html</t>
  </si>
  <si>
    <t>Powerful Hurricane Laura delivers damage across the state</t>
  </si>
  <si>
    <t>Aug 27, 2020 ... Hurricane Laura, the most powerful storm ever to make landfall in Louisiana, left a broad path of destruction across much of the western portion of the state ...</t>
  </si>
  <si>
    <t>https://www.npr.org/sections/hurricane-laura-live-updates/2020/08/27/906713584/hurricane-lauras-intense-winds-cut-through-louisiana-coastline</t>
  </si>
  <si>
    <t>Hurricane Laura's Intense Winds Cut Through Louisiana Coastline</t>
  </si>
  <si>
    <t>Aug 27, 2020 ... ... Hurricane Laura moved through the state. Johnson stayed in his ... Hurricane Laura, one of the most powerful storms to hit Louisiana in ...</t>
  </si>
  <si>
    <t>https://www.pennlive.com/nation-world/2020/09/deadly-hurricane-sally-floods-parts-of-alabama-and-florida-moves-toward-the-carolinas.html</t>
  </si>
  <si>
    <t>Deadly Hurricane Sally floods parts of Alabama and Florida, moves ...</t>
  </si>
  <si>
    <t>Sep 17, 2020 ... Hurricane Sally Waves crash near a pier at Gulf State Park, Tuesday, Sept. 15, 2020, in Gulf Shores, Ala. (AP Photo/Gerald Herbert, file)AP.</t>
  </si>
  <si>
    <t>https://www.pennlive.com/nation-world/2020/09/hurricane-sally-moves-slowly-and-steadily-to-us-gulf-coast-threatening-floods-and-tornadoes.html</t>
  </si>
  <si>
    <t>Hurricane Sally moves slowly and steadily to U.S. Gulf Coast ...</t>
  </si>
  <si>
    <t>Published: Sep. 15, 2020, 6:58 a.m.. Hurricane Sally Waters from the Guld of Mexico poor onto a local road, Monday, Sept. 14, 2020, in Waveland, Miss.</t>
  </si>
  <si>
    <t>https://www.miamiherald.com/news/politics-government/article245774020.html</t>
  </si>
  <si>
    <t>Hurricane Sally tests Trump's storm recovery in Florida | Miami Herald</t>
  </si>
  <si>
    <t>Sep 17, 2020 ... United States · Cuba · Haiti · Venezuela · Americas. Sports. Sports ... in the government's ability to respond to Hurricane Sally. As the ...</t>
  </si>
  <si>
    <t>https://www.al.com/news/2020/09/crops-tourism-pummeled-hurricane-sally-rattles-coastal-alabamas-economy.html</t>
  </si>
  <si>
    <t>Crops, tourism pummeled: Hurricane Sally rattles coastal Alabama's ...</t>
  </si>
  <si>
    <t>Sep 21, 2020 ... Hurricane Sally pummeled coastal Alabama's cotton crop, which was expected to be among the best in the state's history. The storm also ...</t>
  </si>
  <si>
    <t>https://www.al.com/news/2020/09/reimaging-alabamas-power-grid-after-hurricane-sally-bury-power-lines-use-solar-electric-cars.html</t>
  </si>
  <si>
    <t>Reimagining Alabama's power grid after Hurricane Sally</t>
  </si>
  <si>
    <t>Sep 29, 2020 ... Hurricane Sally knocked out electricity for days to over 500000 ... Four states in the U.S. – Texas, Oklahoma, Kansas, and Iowa ...</t>
  </si>
  <si>
    <t>https://www.al.com/news/2020/10/alabama-still-on-long-road-to-recovery-from-hurricane-sally.html</t>
  </si>
  <si>
    <t>Alabama still on long road to recovery from Hurricane Sally - al.com</t>
  </si>
  <si>
    <t>Oct 4, 2020 ... 04, 2020, 10:50 a.m.. Hurricane Sally Makes Landfall On Gulf Coast GULF SHORES, AL - SEPTEMBER 17: An aerial view from a drone shows ...</t>
  </si>
  <si>
    <t>https://www.al.com/news/2020/09/power-outages-compound-hurricane-sally-agony-in-coastal-alabama.html</t>
  </si>
  <si>
    <t>Power outages compound Hurricane Sally agony in coastal Alabama</t>
  </si>
  <si>
    <t>Published: Sep. 18, 2020, 5:33 p.m.. Hurricane Sally damage in Baldwin County Power lines in the streets in Gulf Shores. Hurricane Sally damage to Baldwin ...</t>
  </si>
  <si>
    <t>https://dailyleader.com/2020/09/16/coast-guard-conducts-first-hurricane-sally-post-storm-overflights-along-gulf-coast/</t>
  </si>
  <si>
    <t>Coast Guard conducts first Hurricane Sally post-storm overflights ...</t>
  </si>
  <si>
    <t>Sep 16, 2020 ... Coast Guard conducts first Hurricane Sally post-storm overflights along Gulf Coast ... Photo by United States Coast Guard / The Coast Guard began ...</t>
  </si>
  <si>
    <t>https://dothaneagle.com/community/jcfloridan/news/article_16dbff9e-f9cf-11ea-ac7a-6713dc490152.html</t>
  </si>
  <si>
    <t>Alabama reports 2nd death from Hurricane Sally; Alpha forms</t>
  </si>
  <si>
    <t>Sep 18, 2020 ... Alabama reports 2nd death from Hurricane Sally; Alpha forms · Sep 18, 2020 · Sep 18, 2020 Updated Oct 24, 2021 · 0.</t>
  </si>
  <si>
    <t>https://www.sunherald.com/news/weather-news/article245771835.html</t>
  </si>
  <si>
    <t>Hurricane Sally: Destruction as storm hits MS, Gulf coast - Sun Herald</t>
  </si>
  <si>
    <t>Sep 16, 2020 ... ... Hurricane #sally #Florida pic.twitter.com/P0xgBo4joD. — Chris Bruin (@TWCChrisBruin) September 16, 2020 ... About Us Site Map Contact Us Archives.</t>
  </si>
  <si>
    <t>https://www.nytimes.com/2020/09/16/us/hurricane-sally-live.html</t>
  </si>
  <si>
    <t>Hundreds Rescued as Floods From Hurricane Sally Hit Florida and ...</t>
  </si>
  <si>
    <t>Sep 16, 2020 ... U.S.|Hundreds Rescued as Floods From Hurricane Sally Hit Florida and Alabama. https://www.nytimes.com/2020/09/16/us/hurricane-sally-live.html.</t>
  </si>
  <si>
    <t>https://www.washingtonpost.com/graphics/weather/2020/09/15/hurricane-sally/</t>
  </si>
  <si>
    <t>Photos: Hurricane Sally makes landfall - The Washington Post</t>
  </si>
  <si>
    <t>Sep 16, 2020 ... Sept. 16, 2020 | Pensacola, Fla. A U.S. flag flies from a boat damaged by Hurricane Sally. Jonathan Bachman/Reuters.</t>
  </si>
  <si>
    <t>https://www.washingtonpost.com/national/hurricane-sally-damage/2020/09/16/9c642880-f83f-11ea-be57-d00bb9bc632d_story.html</t>
  </si>
  <si>
    <t>Hurricane Sally lashes Gulf coast - The Washington Post</t>
  </si>
  <si>
    <t>Sep 16, 2020 ... Hurricane Sally lashes Gulf coast. September 16, 2020More than 5 ... in the United States. Sally is part of a new trend of hurricanes ...</t>
  </si>
  <si>
    <t>https://www.nytimes.com/2020/09/15/climate/hurricane-sally-climate-change.html</t>
  </si>
  <si>
    <t>Why Hurricane Sally Could Bring a Deluge - The New York Times</t>
  </si>
  <si>
    <t>Sep 16, 2020 ... Hurricane Sally is expected to dump as much as two and a half feet of rain on parts of the Gulf Coast over the next few days.</t>
  </si>
  <si>
    <t>https://www.washingtonpost.com/weather/2020/09/16/hurricane-sally-flooding-florida-alabama/</t>
  </si>
  <si>
    <t>Tropical Storm Sally: Flooding in Florida, Alabama as threat shifts to ...</t>
  </si>
  <si>
    <t>Sep 16, 2020 ... Carl Narman walks his dog in the rain as Hurricane Sally approached in Mobile, Ala. Though major flooding occurred near the coastline and in ...</t>
  </si>
  <si>
    <t>https://www.al.com/hurricane/2020/09/hurricane-sally-slams-alabama-16-years-to-the-day-after-hurricane-ivan.html</t>
  </si>
  <si>
    <t>Hurricane Sally slams Alabama 16 years to the day after Hurricane ...</t>
  </si>
  <si>
    <t>Sep 16, 2020 ... Hurricane Sally made landfall at 4:45 a.m. Wednesday — Sept. 16, 2020 — at Gulf Shores as a Category 2 hurricane with 105 mph winds.</t>
  </si>
  <si>
    <t>https://www.sunherald.com/news/weather-news/article245765785.html</t>
  </si>
  <si>
    <t>Scenes from Hurricane Sally in AL, FL, MS Gulf Coast - Sun Herald</t>
  </si>
  <si>
    <t>Sep 16, 2020 ... As Hurricane Sally slowly swirls along the Gulf Coast, damaging ... — Palmetto State Chasers (@PalmettoChasers) September 15, 2020.</t>
  </si>
  <si>
    <t>https://www.washingtonpost.com/weather/2020/09/27/hurricanes-atlantic-coast-climate-change/</t>
  </si>
  <si>
    <t>Hurricanes near U.S. coast forecast to worsen due to climate change</t>
  </si>
  <si>
    <t>Sep 27, 2020 ... September 27, 2020More than 5 years ago. Make us preferred on Google. Boats ... Rainfall from Hurricane Sally in the Southeast United States.</t>
  </si>
  <si>
    <t>https://www.pennlive.com/nation-world/2020/09/as-hurricane-sally-wanes-hurricane-teddy-remains-a-category-4-storm-and-theyre-not-the-last.html</t>
  </si>
  <si>
    <t>As Hurricane Sally wanes, Hurricane Teddy remains a Category 4 ...</t>
  </si>
  <si>
    <t>Sep 18, 2020 ... 16, 2020, in Pensacola, Fla. Hurricane Sally made landfall Wednesday near Gulf Shores, Alabama, as a Category 2 storm, pushing a surge of ...</t>
  </si>
  <si>
    <t>https://journalnow.com/news/local/flooding-could-hit-triad-as-hurricane-sally-s-remnants-pass-through-expect-cooler-weather-too/article_9e2f2698-f78a-11ea-8828-f7a72d295f10.html</t>
  </si>
  <si>
    <t>Flooding could hit Triad as Hurricane Sally's remnants pass through ...</t>
  </si>
  <si>
    <t>Sep 15, 2020 ... The remnants of Hurricane Sally likely will ... The storm also will combine with a. ... United States of America, US Virgin Islands ...</t>
  </si>
  <si>
    <t>https://www.tampabay.com/hurricane/2020/09/15/hurricane-sally-moves-in-on-panhandle-and-gulf-coast/</t>
  </si>
  <si>
    <t>Hurricane Sally moves in on Panhandle and Gulf Coast</t>
  </si>
  <si>
    <t>Sep 15, 2020 ... 15, 2020. WAVELAND, Miss. — Hurricane Sally, a plodding but powerful storm with winds of 85 mph, crept toward the northern Gulf Coast early ...</t>
  </si>
  <si>
    <t>https://www.sunherald.com/news/weather-news/article245765155.html</t>
  </si>
  <si>
    <t>Hurricane Sally: Jellyfish wash ashore on MS Gulf Coast - Sun Herald</t>
  </si>
  <si>
    <t>Sep 15, 2020 ... Hurricane Sally's storm surge scatters dozens of jellyfish across Ocean Springs beach. By Alyssa Newton. Updated September 15, 2020 10:44 PM.</t>
  </si>
  <si>
    <t>https://www.nola.com/news/hurricane/as-hurricane-delta-menaces-region-scarred-by-laura-residents-weigh-difficult-choices/article_bbc32eb0-0a78-11eb-8658-5f7b5bf08333.html</t>
  </si>
  <si>
    <t>As Hurricane Delta menaces region scarred by Laura, residents ...</t>
  </si>
  <si>
    <t>Oct 9, 2020 ... Delta became the record 10th named storm to make landfall in the United States ... Hurricane Delta heads that way on Friday, October 9, 2020.</t>
  </si>
  <si>
    <t>https://www.nola.com/news/map-shows-hurricane-delta-the-seventh-of-eight-named-gulf-storms-in-2020/article_51aa306c-0a93-11eb-a427-73c3e8d163a5.html</t>
  </si>
  <si>
    <t>Map shows Hurricane Delta the seventh of eight named Gulf storms ...</t>
  </si>
  <si>
    <t>Oct 11, 2020 ... Map shows Hurricane Delta the seventh of eight named Gulf storms in 2020 ... in the Gulf, with seven making landfall in the U.S.. The next ...</t>
  </si>
  <si>
    <t>https://www.cnn.com/2020/10/10/us/how-to-help-hurricane-delta-iyw-trnd</t>
  </si>
  <si>
    <t>Hurricane Delta slams the Gulf Coast. Here is how you can help - CNN</t>
  </si>
  <si>
    <t>Oct 10, 2020 ... Bang Bui prepares his business Handy Mart as Hurricane Delta approaches in Abbeville, Louisiana, U.S., October 8, 2020. Kathleen Flynn ...</t>
  </si>
  <si>
    <t>https://www.washingtonpost.com/national/louisiana-coast-hurricane-delta/2020/10/09/fc432f1c-0a4b-11eb-859b-f9c27abe638d_story.html</t>
  </si>
  <si>
    <t>Rattled Louisiana Gulf Coast slammed by Hurricane Delta</t>
  </si>
  <si>
    <t>Oct 9, 2020 ... Hurricane Delta brought 90-100 mph wind gusts to Lake Arthur, La ... United States. The ferocious 2020 season already has exhausted the ...</t>
  </si>
  <si>
    <t>https://www.npr.org/2020/10/09/922148939/hurricane-deltas-winds-hit-120-mph-as-storm-approaches-louisiana-coast</t>
  </si>
  <si>
    <t>Hurricane Delta Weakens After Making Landfall On Southwest ...</t>
  </si>
  <si>
    <t>Oct 9, 2020 ... October 9, 202010:19 AM ET ... Danielle Fontenot carries her son Hunter to a relative's home Friday in the rain ahead of Hurricane Delta in Lake ...</t>
  </si>
  <si>
    <t>https://www.nytimes.com/2020/10/12/us/hurricanes-lake-charles-allyson-waller.html</t>
  </si>
  <si>
    <t>What It's Like to Watch Hurricanes Batter Your Hometown</t>
  </si>
  <si>
    <t>Oct 19, 2020 ... ... Hurricane Delta will delay those repairs. For now, she's settled ... Allyson Waller is part of the 2020-2021 New York Times Fellowship ...</t>
  </si>
  <si>
    <t>https://www.usatoday.com/story/news/nation/2020/10/10/hurricane-delta-update-damage-weakens-tropical-storm-power-outages/5952093002/</t>
  </si>
  <si>
    <t>Hurricane Delta update, damage: Power outages; clean-up begins</t>
  </si>
  <si>
    <t>Oct 10, 2020 ... Thousands of people were in shelters and hundreds of thousands were without power in Louisiana Saturday evening in the wake of Hurricane Delta ...</t>
  </si>
  <si>
    <t>https://www.nola.com/news/environment/hurricane-delta-makes-a-soggy-windy-landfall-in-southwest-louisiana-friday-evening/article_77f40116-0a71-11eb-b634-efe14d0c4549.html</t>
  </si>
  <si>
    <t>Hurricane Delta makes a soggy, windy landfall in southwest ...</t>
  </si>
  <si>
    <t>Mark Schleifstein · Author email. Oct 9, 2020; Oct 9, 2020. 6 min to read. Facebook · Twitter · WhatsApp · SMS · Email. Hurricane Delta made landfall at ...</t>
  </si>
  <si>
    <t>https://www.washingtonpost.com/weather/2020/10/26/zeta-louisiana-florida-flooding/</t>
  </si>
  <si>
    <t>Hurricane watches issued for U.S. Gulf Coast as Zeta churns north</t>
  </si>
  <si>
    <t>Oct 26, 2020 ... Storm is slated to be the 11th named storm to strike the United States in 2020. October 26, 2020More than 5 years ago ... Hurricane Delta hitting ...</t>
  </si>
  <si>
    <t>https://www.washingtonpost.com/weather/2020/10/09/hurricane-delta-live-updates/</t>
  </si>
  <si>
    <t>Hurricane Delta blasts Louisiana, eastern Texas, with record surge ...</t>
  </si>
  <si>
    <t>Oct 9, 2020 ... It was the 10th named storm to make landfall in the United States in 2020, a new record. ... The northern eyewall of Hurricane Delta, the zone of ...</t>
  </si>
  <si>
    <t>https://www.npr.org/2020/10/10/922589535/hurricane-delta-roars-ashore-in-louisiana</t>
  </si>
  <si>
    <t>Hurricane Delta Roars Ashore In Louisiana - NPR</t>
  </si>
  <si>
    <t>Oct 10, 2020 ... Hurricane Delta Roars Ashore In Louisiana. October 10, 20207:39 AM ET ... Of the 11 U.S. states that executed prisoners in 2025, Florida led the ...</t>
  </si>
  <si>
    <t>https://www.nola.com/news/hurricane/hurricane-delta-deals-a-harsh-second-blow-to-southwest-louisiana-we-re-numb/article_279dbd48-0b42-11eb-ba8d-f72fbf3c430c.html</t>
  </si>
  <si>
    <t>Hurricane Delta deals a harsh, second blow to southwest Louisiana</t>
  </si>
  <si>
    <t>Oct 10, 2020 ... On Friday evening, Hurricane Delta came to finish the job. The late-blooming storm came ashore in the coastal hamlet of Creole, in Cameron ...</t>
  </si>
  <si>
    <t>https://www.cnn.com/2020/10/11/weather/hurricane-delta-sunday</t>
  </si>
  <si>
    <t>Hurricane Delta leaves one dead in Louisiana and brings tornado ...</t>
  </si>
  <si>
    <t>Oct 11, 2020 ... ... state's southeastern border. Delta sets records. Hurricane Delta was the 25th named storm of the 2020 Atlantic hurricane season. It hit ...</t>
  </si>
  <si>
    <t>https://www.nola.com/news/hurricane/alabama-man-taking-video-of-hurricane-zeta-drowns-at-broadwater-marina-in-biloxi-sun-herald/article_cb7ef1d4-19de-11eb-9bc4-435fe8f0ff51.html</t>
  </si>
  <si>
    <t>Alabama man taking video of Hurricane Zeta drowns at Broadwater ...</t>
  </si>
  <si>
    <t>Oct 29, 2020 ... ... 2020; Oct 29, 2020. 1 min to read. Facebook · Twitter ... Richardson is the second death reported in the United States due to Hurricane Zeta.</t>
  </si>
  <si>
    <t>https://www.nola.com/news/hurricane/lost-power-during-hurricane-zeta-here-are-some-of-the-important-stories-you-might-have/article_cc3b7812-1b92-11eb-88ce-9f0a327ff65f.html</t>
  </si>
  <si>
    <t>Lost power during Hurricane Zeta? Here are some of the important ...</t>
  </si>
  <si>
    <t>Oct 31, 2020 ... Hundreds of thousands across metro New Orleans and southeast Louisiana were left powerless from Hurricane Zeta ... 2020; Oct 31, 2020. 2 min to ...</t>
  </si>
  <si>
    <t>https://www.nola.com/news/communities/st_tammany/hurricane-zeta-rips-through-st-tammany-widespread-power-outages-follow-cat-2-storm/article_62cbed78-1af0-11eb-905b-6f4289faf1ac.html</t>
  </si>
  <si>
    <t>Hurricane Zeta rips through St. Tammany, widespread power ...</t>
  </si>
  <si>
    <t>Nov 1, 2020 ... The roof of an apartment complex on U.S. 11 near Slidell appears heavily damaged Thursday, Oct. 29, 2020, after Hurricane Zeta blew through ...</t>
  </si>
  <si>
    <t>https://www.nola.com/news/hurricane/hurricane-zeta-becomes-category-2-storm-ahead-of-landfall-see-strength-timing-latest-track/article_5e12e20c-192c-11eb-b47f-7f89025ea1bd.html</t>
  </si>
  <si>
    <t>Hurricane Zeta becomes Category 2 storm ahead of landfall</t>
  </si>
  <si>
    <t>Oct 28, 2020 ... As of 1 p.m., Hurricane Zeta was about 145 miles southwest of the ... United States on Thursday. Watches and warnings. A storm surge warning ...</t>
  </si>
  <si>
    <t>https://www.nola.com/news/hurricane/why-did-hurricane-zeta-intensify-so-quickly-lack-of-wind-shear-forecaster-says/article_bf9f94a4-1989-11eb-b139-2b6c3f33aeef.html</t>
  </si>
  <si>
    <t>Why did Hurricane Zeta intensify so quickly? Lack of wind shear ...</t>
  </si>
  <si>
    <t>Oct 28, 2020 ... After Hurricane Zeta, area in Caribbean Sea has a chance to develop in the next few days ... Barry Keim, a Louisiana State University professor ...</t>
  </si>
  <si>
    <t>https://www.denverpost.com/2020/10/28/hurricane-zeta-storm-wednesday-louisiana/</t>
  </si>
  <si>
    <t>Hurricane Zeta speeds toward a storm-weary Louisiana</t>
  </si>
  <si>
    <t>Oct 28, 2020 ... Hurricane Zeta was speeding toward storm-weary Louisiana with ... United States on Thursday, the hurricane center said. Louisiana Gov ...</t>
  </si>
  <si>
    <t>https://www.al.com/news/2020/10/hurricane-zeta-louisiana-braces-for-yet-another-tropical-storm.html</t>
  </si>
  <si>
    <t>Hurricane Zeta: Louisiana braces for yet another tropical storm</t>
  </si>
  <si>
    <t>Oct 28, 2020 ... 28, 2020. Businesses that were boarded up for previous hurricanes this season remain open this time as Hurricane Zeta approaches, expected ...</t>
  </si>
  <si>
    <t>https://www.al.com/hurricane/2020/10/hurricane-zeta-alabama-recovering-from-power-outages-shortage-of-supplies.html</t>
  </si>
  <si>
    <t>Hurricane Zeta: Alabama recovering from power outages, shortage ...</t>
  </si>
  <si>
    <t>Oct 31, 2020 ... ... of the worst storms to have hit the state ... Clarke County was the site of the only fatality from Hurricane Zeta.</t>
  </si>
  <si>
    <t>https://www.al.com/news/anniston-gadsden/2020/10/gadsden-coal-ash-hearing-postponed-after-hurricane-zeta.html</t>
  </si>
  <si>
    <t>Gadsden coal ash hearing postponed after Hurricane Zeta - al.com</t>
  </si>
  <si>
    <t>Gadsden coal ash hearing postponed after Hurricane Zeta. Published: Oct. 29, 2020, 2:05 p.m.. Closed coal ash pond - Gadsden Alabama Power Company completed ...</t>
  </si>
  <si>
    <t>https://www.al.com/news/2020/10/hurricane-zeta-latest-photos-videos-of-damage.html</t>
  </si>
  <si>
    <t>Hurricane Zeta: Latest photos, videos of damage - al.com</t>
  </si>
  <si>
    <t>Oct 29, 2020 ... Damage from Hurricane Zeta is being reported throughout Alabama, Mississippi, Georgia and Louisiana. ... in the southwest sections of the state.</t>
  </si>
  <si>
    <t>https://www.al.com/hurricane/2020/10/hurricane-zeta-track-update-zeta-gets-stronger-louisiana-still-in-the-path-for-landfall-later-today.html</t>
  </si>
  <si>
    <t>Zeta weakens to a tropical storm after making landfall as a Category ...</t>
  </si>
  <si>
    <t>Oct 28, 2020 ... Add us on Google. By. Leigh Morgan. Hurricane Zeta made landfall in southeast Louisiana on Wednesday afternoon and battered the storm-weary ...</t>
  </si>
  <si>
    <t>https://www.sunherald.com/news/weather-news/article246797872.html</t>
  </si>
  <si>
    <t>Hurricane Zeta death: Biloxi MS drowning victim identified</t>
  </si>
  <si>
    <t>Oct 29, 2020 ... 28, 2020. Wednesday night, the Mississippi ... Richardson is the second death reported in the United States due to Hurricane Zeta.</t>
  </si>
  <si>
    <t>https://www.sunherald.com/news/weather-news/article246744466.html</t>
  </si>
  <si>
    <t>List of South Mississippi road closures due to Hurricane Zeta</t>
  </si>
  <si>
    <t>Oct 29, 2020 ... South Mississippi officials shut down roads in Harrison County due to high water from Hurricane Zeta. U.S. 90 is closed from Biloxi through ...</t>
  </si>
  <si>
    <t>https://www.sunherald.com/news/weather-news/article246891322.html</t>
  </si>
  <si>
    <t>Hurricane chaser iCyclone tracks Zeta on MS Gulf Coast - Sun Herald</t>
  </si>
  <si>
    <t>Nov 2, 2020 ... Louis, Mississippi his home to chase storms in the United States. ... Across the Coast, Hurricane Zeta tore down trees, ripped apart power ...</t>
  </si>
  <si>
    <t>https://www.sunherald.com/news/weather-news/article246836202.html</t>
  </si>
  <si>
    <t>Hurricane Zeta: Power out for thousands on MS Gulf Coast</t>
  </si>
  <si>
    <t>Oct 30, 2020 ... Mississippi Power had 91,000 customers of the 190,000 served without power at peak as Hurricane Zeta zoomed through the state. That was down ...</t>
  </si>
  <si>
    <t>https://www.sunherald.com/news/weather-news/article246799167.html</t>
  </si>
  <si>
    <t>Hurricane Zeta by the numbers: Wind speed totals from storm</t>
  </si>
  <si>
    <t>Oct 29, 2020 ... Hurricane Zeta by the numbers: Rain, wind and storm surge pummel the ... 28, 2020. Wednesday night, the Mississippi coastline ...</t>
  </si>
  <si>
    <t>https://www.cnn.com/2020/10/29/weather/hurricane-zeta-thursday</t>
  </si>
  <si>
    <t>Zeta leaves over 2.1 million customers without power and at least 6 ...</t>
  </si>
  <si>
    <t>Oct 29, 2020 ... ... Hurricane Zeta hit the Gulf Coast and rushed inland. Zeta – the 27th storm of the Atlantic hurricane season – made landfall in Louisiana as ...</t>
  </si>
  <si>
    <t>https://www.cnn.com/2020/10/28/us/hurricane-zeta-wednesday</t>
  </si>
  <si>
    <t>Hurricane Zeta batters a storm-weary Gulf Coast - CNN</t>
  </si>
  <si>
    <t>Oct 28, 2020 ... US 6 min read. Hurricane Zeta batters a storm-weary Gulf Coast. By. Madeline Holcombe. ,. Amara Walker. ,.</t>
  </si>
  <si>
    <t>https://www.npr.org/2020/10/29/929235444/how-louisianas-jefferson-parish-is-doing-after-hurricane-zeta</t>
  </si>
  <si>
    <t>How Louisiana's Jefferson Parish Is Doing After Hurricane Zeta - NPR</t>
  </si>
  <si>
    <t>Oct 29, 2020 ... Last evening, Hurricane Zeta became the fifth named storm of the 2020 Atlantic season to strike Louisiana. Zeta has taken at least five ...</t>
  </si>
  <si>
    <t>https://www.nytimes.com/2020/10/29/us/hurricane-zeta-louisiana-mississippi.html?eafs_enabled=false</t>
  </si>
  <si>
    <t>Hurricane Zeta: Widespread Damage Leaves 2 Million Without Power</t>
  </si>
  <si>
    <t>Oct 29, 2020 ... Hurricane Zeta is expected to make landfall in the United States Wednesday. ... 30, 2020, Section A, Page 18 of the New York edition with ...</t>
  </si>
  <si>
    <t>https://www.npr.org/2020/10/28/928697902/gulf-coast-braces-for-life-threatening-storm-surge-as-hurricane-zeta-nears</t>
  </si>
  <si>
    <t>Hurricane Zeta Weakening As It Moves From Louisiana ... - NPR</t>
  </si>
  <si>
    <t>Oct 28, 2020 ... The U.S. Gulf Coast has been bracing for Hurricane Zeta. The Category 2 storm made landfall late Wednesday afternoon in Cocodrie, La ...</t>
  </si>
  <si>
    <t>https://www.al.com/hurricane/2020/10/tropical-storm-zeta-speeds-away-from-alabama-but-leaves-a-big-mess-behind.html</t>
  </si>
  <si>
    <t>Tropical Storm Zeta speeds away from Alabama but leaves a big ...</t>
  </si>
  <si>
    <t>Oct 29, 2020 ... Daylight is revealing a big mess across Alabama in the wake of what was Hurricane Zeta. ... — NWS Birmingham (@NWSBirmingham) October 29, 2020.</t>
  </si>
  <si>
    <t>https://www.al.com/election/2020/10/hurricane-zeta-extends-in-person-absentee-voting-one-more-day-in-four-south-alabama-counties.html</t>
  </si>
  <si>
    <t>Hurricane Zeta extends in-person absentee voting one more day in ...</t>
  </si>
  <si>
    <t>Oct 30, 2020 ... 30, 2020, 12:05 p.m.. Hurricane Zeta damage in Citronelle, Alabama. ... state on Wednesday, October 28, 2020. (Joe Songer ...</t>
  </si>
  <si>
    <t>https://www.tampabay.com/hurricane/2020/10/28/hurricane-zeta-speeds-toward-a-storm-weary-louisiana/</t>
  </si>
  <si>
    <t>At least 1 dead as Hurricane Zeta hammers Gulf Coast</t>
  </si>
  <si>
    <t>Oct 28, 2020 ... ... Hurricane Zeta on Wednesday near the restaurant Patois in New Orleans. [ PHOTO BY CHRIS GRANGER | AP ]. By. Associated Press. Published Oct. 28 ...</t>
  </si>
  <si>
    <t>https://www.sunherald.com/news/weather-news/article246799152.html</t>
  </si>
  <si>
    <t>Live updates: Mississippi Coast starts cleanup from Hurricane Zeta ...</t>
  </si>
  <si>
    <t>Oct 29, 2020 ... Live updates: Mississippi Coast starts cleanup from Hurricane Zeta, free meals available. By Sun Herald. Updated October 29, 2020 8:57 PM.</t>
  </si>
  <si>
    <t>https://www.sunherald.com/news/weather-news/article246770437.html</t>
  </si>
  <si>
    <t>Live update: Zeta track, forecast, landfall on MS Gulf Coast</t>
  </si>
  <si>
    <t>Oct 28, 2020 ... Live updates: Hurricane Zeta's wind and surge cause power outages, damage on MS Coast. Sun Herald. Updated October 28, 2020 11:19 PM. &lt;style&gt; ...</t>
  </si>
  <si>
    <t>https://www.washingtonpost.com/weather/2020/10/28/hurricane-zeta-track-louisiana/</t>
  </si>
  <si>
    <t>Hurricane Zeta roars inland after slamming New Orleans</t>
  </si>
  <si>
    <t>Oct 28, 2020 ... Hurricane Zeta roars inland after slamming New Orleans. October 28, 2020 ... Hurricane Zeta is hitting the Southeast United States savagely but ...</t>
  </si>
  <si>
    <t>https://www.nwaonline.com/news/2020/oct/28/hurricane-zeta-speeds-toward-storm-weary-la/</t>
  </si>
  <si>
    <t>Category 2 Hurricane Zeta crashes ashore in Louisiana</t>
  </si>
  <si>
    <t>Oct 28, 2020 ... The original version is below. 10:12 a.m.: Hurricane Zeta speeds toward a storm-weary Louisiana ... United States on Thursday, the hurricane ...</t>
  </si>
  <si>
    <t>https://www.nola.com/news/environment/theres-nothing-protecting-us-after-hurricane-zeta-blasts-through-grand-isles-levee/article_e674de94-1d54-11eb-af39-b7b81ce24990.html</t>
  </si>
  <si>
    <t>'There's nothing protecting us' after Hurricane Zeta blasts through ...</t>
  </si>
  <si>
    <t>Nov 2, 2020 ... Hurricane Zeta, the fifth named storm to strike Louisiana this year, made a direct hit on Grand Isle, ripping off roofs, knocking down utility poles and ...</t>
  </si>
  <si>
    <t>https://www.al.com/weather/2020/10/hurricane-zeta-mobile-and-baldwin-absentee-voting-offices-remain-open-today.html</t>
  </si>
  <si>
    <t>Hurricane Zeta: Mobile and Baldwin absentee voting offices remain ...</t>
  </si>
  <si>
    <t>Oct 28, 2020 ... It will be in and out of the area within four to five hours.” Related: Hurricane Zeta: Alabama storm live updates. Alabama Secretary of State ...</t>
  </si>
  <si>
    <t>https://www.pennlive.com/weather/2020/11/tropical-storm-eta-sticking-to-the-south-central-pa-to-avoid-its-wrath-forecasters-say.html</t>
  </si>
  <si>
    <t>Tropical Storm Eta sticking to the South; central Pa. to avoid its wrath ...</t>
  </si>
  <si>
    <t>Nov 11, 2020 ... Tropical Storm Eta's trek through Florida this week will not have any weather impact on northeastern states, including Pennsylvania, ...</t>
  </si>
  <si>
    <t>https://www.ocala.com/story/news/2020/11/11/tropical-storm-eta-expected-cross-area-thursday/6246385002/</t>
  </si>
  <si>
    <t>Marion closes schools Thursday due to Tropical Storm Eta</t>
  </si>
  <si>
    <t>Nov 11, 2020 ... Jerry Jones, manager of the Georgia Floors Direct store on Southwest 17th Street in Ocala. Tropical Storm Eta is expected to bring 45 mph wind ...</t>
  </si>
  <si>
    <t>https://www.miamiherald.com/news/weather/hurricane/article247070782.html</t>
  </si>
  <si>
    <t>Tropical Storm Eta could stall west of Florida for days - Miami Herald</t>
  </si>
  <si>
    <t>Nov 10, 2020 ... Tropical Storm Eta made landfall in the Keys Sunday night and kept moving, but the rain is still drenching the southern half of Florida.</t>
  </si>
  <si>
    <t>https://www.miamiherald.com/news/weather/hurricane/article247120461.html</t>
  </si>
  <si>
    <t>Tropical Storm Eta: Watches, warnings issued in west Florida</t>
  </si>
  <si>
    <t>Nov 11, 2020 ... United States · Cuba · Haiti · Venezuela · Americas ... Florida's west coast feels Tropical Storm Eta's winds as it curves east to cross over ...</t>
  </si>
  <si>
    <t>https://www.miamiherald.com/news/weather/hurricane/article247456680.html</t>
  </si>
  <si>
    <t>Hurricane season officially ends, but more storms could come</t>
  </si>
  <si>
    <t>Nov 30, 2020 ... ... Tropical Storm Eta, whose zig-zagging path brought it over Central America, Cuba, South Florida and North Florida in the course of a week.</t>
  </si>
  <si>
    <t>https://www.staugustine.com/story/news/state/2020/11/12/tropical-storm-eta-dumps-blustery-rain-florida-west-coast/6262636002/</t>
  </si>
  <si>
    <t>Tropical Storm Eta dumps blustery rain on Florida west coast</t>
  </si>
  <si>
    <t>Nov 12, 2020 ... 12, 2020, 8:58 a.m. ET. ST. PETERSBURG — Tropical Storm Eta dumped ... USA TODAY Network Style Guide Responsible Disclosure Subscription ...</t>
  </si>
  <si>
    <t>https://www.al.com/hurricane/2020/11/tropical-storm-eta-what-should-alabama-expect.html</t>
  </si>
  <si>
    <t>Tropical Storm Eta: What should Alabama expect? - al.com</t>
  </si>
  <si>
    <t>Nov 11, 2020 ... Tropical Storm Eta was moving closer to landfall on Florida's west ... Alabama is no longer in the cone, and most of the state will feel no ...</t>
  </si>
  <si>
    <t>https://www.tampabay.com/hurricane/2020/11/12/tropical-storm-eta-leaves-tampa-bay-staggering-a-reminder-of-the-regions-risk/</t>
  </si>
  <si>
    <t>Tropical Storm Eta leaves Tampa Bay staggering, a reminder of the ...</t>
  </si>
  <si>
    <t>Nov 12, 2020 ... Across Florida, about 8 percent of the state's properties are ... Tropical Storm Eta in the Shore Acres neighborhood. [ MARTHA ASENCIO ...</t>
  </si>
  <si>
    <t>https://www.tampabay.com/hurricane/2020/11/13/tropical-storm-iota-forms-and-thats-bad-news-for-central-america/</t>
  </si>
  <si>
    <t>Tropical Storm Iota forms, and that's bad news for Central America</t>
  </si>
  <si>
    <t>Nov 13, 2020 ... Iota is unlikely to reach Florida the way Tropical Storm Eta did ... Eta is blamed for six deaths in the United States, including a ...</t>
  </si>
  <si>
    <t>https://www.washingtonpost.com/weather/2020/11/09/theta-hurricane-season-record/</t>
  </si>
  <si>
    <t>2020 Atlantic hurricane season becomes busiest on record</t>
  </si>
  <si>
    <t>Nov 9, 2020 ... ... in the United States. ... That river of soupy air is being drawn northward, spiraling into Tropical Storm Eta west of the Florida Straights.</t>
  </si>
  <si>
    <t>https://www.nytimes.com/2020/11/09/us/tropical-storm-eta-florida.html</t>
  </si>
  <si>
    <t>Tropical Storm Eta Causes Flooding in South Florida</t>
  </si>
  <si>
    <t>Nov 12, 2020 ... Tropical Storm Eta caused intense flooding, a storm surge along the ... Eta, the 28th named storm of the 2020 season and the first to ...</t>
  </si>
  <si>
    <t>https://www.nytimes.com/2020/11/16/us/hurricane-season-2020.html</t>
  </si>
  <si>
    <t>The 2020 Hurricane Season in Rewind - The New York Times</t>
  </si>
  <si>
    <t>Nov 16, 2020 ... The Miami skyline during rain caused by Tropical Storm Eta on Nov. 9 ... The Gulf Coast of the United States was also battered this season by ...</t>
  </si>
  <si>
    <t>https://www.usatoday.com/story/news/nation/2020/11/10/subtropical-storm-theta-forms-atlantic-record/6233406002/</t>
  </si>
  <si>
    <t>Theta storm forms in Atlantic; update on Eta path in Gulf of Mexico</t>
  </si>
  <si>
    <t>Nov 11, 2020 ... Eta could approach the northeastern or north-central U.S. Gulf Coast later this week as a tropical storm. Tropical Storm Eta is the first ...</t>
  </si>
  <si>
    <t>https://www.npr.org/2020/11/08/932803085/tropical-storm-eta-could-become-a-hurricane-dousing-florida-with-a-foot-of-rain</t>
  </si>
  <si>
    <t>Florida Faces One-Two Punch From Tropical Storm Eta - NPR</t>
  </si>
  <si>
    <t>Nov 8, 2020 ... November 8, 20203:22 PM ET. By. Matthew S ... Tropical Storm Eta made landfall late Sunday in the Florida Keys. The southern part of the state ...</t>
  </si>
  <si>
    <t>https://www.miamiherald.com/news/weather/hurricane/article247071127.html</t>
  </si>
  <si>
    <t>Tracking Eta: Where is it going? How will it affect Florida?</t>
  </si>
  <si>
    <t>Nov 9, 2020 ... Where is Tropical Storm Eta going next? By Michelle Marchante. Updated November 9, 2020 12:01 PM. Tropical Storm Eta is continuing to douse ...</t>
  </si>
  <si>
    <t>https://www.miamiherald.com/news/weather/hurricane/article247076982.html</t>
  </si>
  <si>
    <t>South Florida's most flooded areas - Tropical Storm Eta - Miami Herald</t>
  </si>
  <si>
    <t>Nov 9, 2020 ... These South Florida neighborhoods were the most flooded by Tropical Storm Eta. By David J. Neal. Updated November 9, 2020 8:22 PM. Tropical ...</t>
  </si>
  <si>
    <t>https://www.usatoday.com/story/news/nation/2020/11/10/hurricane-season-when-finally-come-end/6224332002/</t>
  </si>
  <si>
    <t>When will this relentless Atlantic hurricane season finally end?</t>
  </si>
  <si>
    <t>Nov 10, 2020 ... 30, and November is typically one of the quietest months for storms. ... Eta drenches Florida: Tropical Storm Eta soaks South Florida after ...</t>
  </si>
  <si>
    <t>https://www.washingtonpost.com/weather/2020/11/12/tropical-storm-eta-florida/</t>
  </si>
  <si>
    <t>Tropical Storm Eta moves ashore in Florida - The Washington Post</t>
  </si>
  <si>
    <t>Nov 12, 2020 ... Eta's moisture spurs heavy rain and devastating flooding in North Carolina · Tracking Tropical Storm Eta · Where Eta has company in the Atlantic.</t>
  </si>
  <si>
    <t>https://www.cnn.com/2020/11/12/weather/eta-storm-thursday</t>
  </si>
  <si>
    <t>Tropical Storm Eta heads offshore leaving six dead in North ... - CNN</t>
  </si>
  <si>
    <t>Nov 12, 2020 ... Tropical Storm Eta moved out into the Atlantic Ocean Thursday after it dumped torrents of rain on the Southeast leaving one person dead in ...</t>
  </si>
  <si>
    <t>https://www.cnn.com/2020/11/08/weather/tropical-storm-eta-sunday-florida-gulf</t>
  </si>
  <si>
    <t>Tropical Storm Eta is charging toward Florida | CNN</t>
  </si>
  <si>
    <t>Nov 8, 2020 ... After Tropical Storm Eta moves through Cuba Sunday, it is expected ... Eta is the 28th named storm of the 2020 hurricane season, tying ...</t>
  </si>
  <si>
    <t>https://www.lamarledger.com/2020/08/28/colorado-locust-plague-2020-mess/?noamp=mobile</t>
  </si>
  <si>
    <t>Complaining about the mess that is 2020? At least Coloradans aren ...</t>
  </si>
  <si>
    <t>Aug 28, 2020 ... ... wildfire haze and a pandemic in August 2020 ... “Locusts in 1875 in Colorado were about like wildfires in California in 2020.” ... of the West.” ...</t>
  </si>
  <si>
    <t>https://www.latimes.com/world-nation/story/2020-10-15/wildfire-smoke-in-us-exposes-millions-to-hazardous-pollution</t>
  </si>
  <si>
    <t>Wildfire smoke exposes millions to hazardous pollution - LA Times</t>
  </si>
  <si>
    <t>Oct 15, 2020 ... ... U.S. West Coast have exposed more than 8 ... Wildfire smoke exposes millions to hazardous pollution in California and other Western states.</t>
  </si>
  <si>
    <t>https://www.adn.com/nation-world/2020/09/11/false-tales-of-arson-spread-along-with-deadly-wildfires-in-western-us/</t>
  </si>
  <si>
    <t>False tales of arson spread along with deadly wildfires in Western US</t>
  </si>
  <si>
    <t>Sep 11, 2020 ... [10 dead as California's North Complex wildfire becomes deadliest of year]. The FBI said it worked with local authorities to investigate ...</t>
  </si>
  <si>
    <t>https://www.adn.com/nation-world/2020/09/18/firefighter-dies-battling-california-wildfire-sparked-by-gender-reveal-event/</t>
  </si>
  <si>
    <t>Firefighter dies battling California wildfire sparked by gender reveal ...</t>
  </si>
  <si>
    <t>Sep 18, 2020 ... ... west of Forest Falls, Calif., Thursday afternoon, Sept. 10, 2020. (Will Lester/The Orange County Register/SCNG via AP) ... U.S. Forest Service ...</t>
  </si>
  <si>
    <t>https://bendbulletin.com/2020/09/10/oregons-deadly-wildfires-scorch-900000-acres-up-to-500000-evacuated/</t>
  </si>
  <si>
    <t>Oregon's deadly wildfires scorch 900,000 acres, up to 500,000 ...</t>
  </si>
  <si>
    <t>Sep 10, 2020 ... A portion of the Labor Day 2020 wildfires in Clackamas County. ... 28, 2022, issued a wildfire state of emergency going into this year's Labor Day ...</t>
  </si>
  <si>
    <t>https://bluemountaineagle.com/2020/09/15/brown-and-wyden-planning-for-wildfire-recovery-starts-now/</t>
  </si>
  <si>
    <t>Brown and Wyden: Planning for wildfire recovery starts now | Blue ...</t>
  </si>
  <si>
    <t>Sep 15, 2020 ... ... California wildfire that is ... western edge of the Marion County fires but unaffected. ... of the state. “That is why I am asking you ...</t>
  </si>
  <si>
    <t>https://www.cnn.com/2020/08/14/us/gallery/western-wildfires-2020</t>
  </si>
  <si>
    <t>In photos: 2020 wildfires on the West Coast - CNN</t>
  </si>
  <si>
    <t>Aug 14, 2020 ... Wildfires ravaged the West in 2020, especially in California, where fires burned twice the state's previous acreage record ... in the Sierra ...</t>
  </si>
  <si>
    <t>https://www.npr.org/2020/08/24/899422710/to-manage-wildfire-california-looks-to-what-tribes-have-known-all-along</t>
  </si>
  <si>
    <t>Native American Burning And California's Wildfire Strategy - NPR</t>
  </si>
  <si>
    <t>Aug 24, 2020 ... Native American tribes are restoring traditional burning in California, which could help the state reduce the risk of extreme wildfires.</t>
  </si>
  <si>
    <t>https://www.nytimes.com/2020/09/14/us/wildfires-live-updates.html</t>
  </si>
  <si>
    <t>Wildfires Are Reaching Once Tranquil Places on the West Coast</t>
  </si>
  <si>
    <t>Sep 17, 2020 ... Fire Map: California, Oregon and Washington. Where major fires are burning in the Western states and how unhealthy air quality has become. In ...</t>
  </si>
  <si>
    <t>https://www.washingtonpost.com/nation/2020/09/16/smoke-air-west/</t>
  </si>
  <si>
    <t>As wildfire smoke becomes a part of life on the West Coast, so do its ...</t>
  </si>
  <si>
    <t>Sep 16, 2020 ... Wildfires raging in California, Oregon and Washington have led to some of the worst air quality in the world. September 16, 2020More than 5 ...</t>
  </si>
  <si>
    <t>https://www.nytimes.com/2020/09/15/us/oregon-fires-california.html</t>
  </si>
  <si>
    <t>More Than Five Million Acres Have Burned in West Coast's Wildfires</t>
  </si>
  <si>
    <t>Sep 17, 2020 ... https://www.nytimes.com/2020/09/15/us/oregon-fires-california.html ... Where major fires are burning in the Western states and how unhealthy air ...</t>
  </si>
  <si>
    <t>https://www.adn.com/nation-world/2020/09/12/better-weather-aids-battle-against-deadly-western-wildfires/</t>
  </si>
  <si>
    <t>Smoke chokes West Coast as wildfire deaths keep climbing ...</t>
  </si>
  <si>
    <t>Sep 12, 2020 ... Most of the fatalities were in California and Oregon. ... California, Oregon and Washington state ... fires down the western slopes of the ...</t>
  </si>
  <si>
    <t>https://www.sfchronicle.com/california-wildfires/article/At-Station-62-shelter-from-the-firestorm-15576500.php</t>
  </si>
  <si>
    <t>California's Butte County has been ravaged by wildfires. One man's ...</t>
  </si>
  <si>
    <t>Sep 18, 2020 ... ... fire in Oroville, California on September 9, 2020. - Dangerous ... western United States. (Photo by JOSH EDELSON / AFP) (Photo by JOSH ...</t>
  </si>
  <si>
    <t>https://www.washingtonpost.com/weather/2020/09/10/western-fires-fatalities-homes/</t>
  </si>
  <si>
    <t>Western wildfires break records as devastating toll on lives and ...</t>
  </si>
  <si>
    <t>Sep 10, 2020 ... At least seven people, including a 1-year-old boy, have died in California, Oregon and Washington state. September 10, 2020More than 5 years ...</t>
  </si>
  <si>
    <t>https://www.cnn.com/2020/09/14/us/california-wildfires-monday</t>
  </si>
  <si>
    <t>California wildfires have burned an area almost the size of Connecticut</t>
  </si>
  <si>
    <t>Sep 14, 2020 ... Firefighters look out over a burning hillside as they fight the Blue Ridge Fire in Yorba. In photos: 2020 wildfires on the West Coast. 124 ...</t>
  </si>
  <si>
    <t>https://www.alvareviewcourier.com/story/2020/10/09/interesting/dry-weather-worsen-in-colorado-17-percent-in-exceptional-drought/66899.html</t>
  </si>
  <si>
    <t>Dry weather worsen in Colorado, 17% in 'exceptional drought' - Alva ...</t>
  </si>
  <si>
    <t>Oct 09, 20200. Share X Share ... exceptional drought, the most extreme category, the U.S. Drought Monitor said. ... The western part of the state has been ...</t>
  </si>
  <si>
    <t>https://www.carsonnow.org/07/22/2020/lahontan-cutthroat-trout-thrive-paiute-s-summit-lake-northwest-nevada</t>
  </si>
  <si>
    <t>Lahontan Cutthroat Trout thrive at Paiute's Summit Lake in northwest ...</t>
  </si>
  <si>
    <t>Jul 22, 2020 ... ... drought in the western United States that lasted from 2012 to 2016. “One thing we learned is that the climatically induced drought can ...</t>
  </si>
  <si>
    <t>https://www.latimes.com/california/story/2020-10-16/with-dry-la-nina-conditions-persistent-western-drought-looms-large-in-winter-outlook</t>
  </si>
  <si>
    <t>With dry La Niña conditions, Western drought looms in winter</t>
  </si>
  <si>
    <t>Oct 16, 2020 ... Warmer, drier conditions are predicted for portions of the U.S. currently enduring drought.</t>
  </si>
  <si>
    <t>https://www.latimes.com/world-nation/story/2020-09-10/q-a-la-nina-may-bring-more-atlantic-storms-western-drought</t>
  </si>
  <si>
    <t>La Niña may fuel drought conditions in the Southwestern U.S.</t>
  </si>
  <si>
    <t>Sep 10, 2020 ... Federal weather officials say a La Niña weather condition has formed in the Pacific. It may fuel drought conditions in the West as well as ...</t>
  </si>
  <si>
    <t>https://bendbulletin.com/2020/06/16/drought-may-leave-central-oregon-irrigation-districts-out-of-water-this-year/</t>
  </si>
  <si>
    <t>Drought may leave Central Oregon irrigation districts out of water ...</t>
  </si>
  <si>
    <t>Jun 16, 2020 ... “There is a trend in the U.S. West toward longer and more frequent drought conditions. The droughts in the last 20 years or so that we've ...</t>
  </si>
  <si>
    <t>https://www.baltimoresun.com/2020/07/06/dry-lightning-risk-rises-in-us-west-thanks-to-tardy-monsoon/</t>
  </si>
  <si>
    <t>Dry lightning risk rises in US West, thanks to tardy monsoon ...</t>
  </si>
  <si>
    <t>Jul 6, 2020 ... ... 2020 at 4:22 PM EDT | UPDATED: July 6, 2020 ... Across 11 Western states almost 67% of the ... drought as of June 23, according to the U.S. Drought ...</t>
  </si>
  <si>
    <t>https://apnews.com/general-news-e400ee491ba8b1a3648d8855ce8afd05</t>
  </si>
  <si>
    <t>Heat, drought make for miserable combo for southwest US | AP News</t>
  </si>
  <si>
    <t>Aug 31, 2020 ... It's grim news for the western U.S. The latest maps show most of the southern half of the region is mired by drought, with the most extreme ...</t>
  </si>
  <si>
    <t>https://www.usatoday.com/story/news/nation/2020/08/14/heat-wave-western-u-s-faces-high-heat-wildfire-worries/5585225002/</t>
  </si>
  <si>
    <t>'Dangerous' heat wave scorches western U.S., raising fire threat and ...</t>
  </si>
  <si>
    <t>'Dangerous' heat wave scorches western U.S., raising fire ... USA TODAY. Aug. 14, 2020Updated Aug. 15, 2020, 2:49 a.m. ET. In California, the heat will lead ...</t>
  </si>
  <si>
    <t>https://www.npr.org/2020/08/15/902781690/california-issues-first-rolling-blackouts-since-2001-as-heat-wave-bakes-western-</t>
  </si>
  <si>
    <t>California Issues 1st Rolling Blackouts Since 2001 As Heat Wave ...</t>
  </si>
  <si>
    <t>Aug 15, 2020 ... California Issues 1st Rolling Blackouts Since 2001 As Heat Wave Bakes Western U.S.. August 15, 20203:34 AM ET.</t>
  </si>
  <si>
    <t>https://www.washingtonpost.com/weather/2020/07/20/east-coast-heat-wave-peaks-second-heat-dome-sets-up-across-west/</t>
  </si>
  <si>
    <t>East Coast heat wave peaks as second heat dome sets up across ...</t>
  </si>
  <si>
    <t>Jul 20, 2020 ... East Coast heat wave peaks as second heat dome sets up across the West ... While heat waves have always been a part of summer in the United States ...</t>
  </si>
  <si>
    <t>https://www.washingtonpost.com/weather/2020/09/02/california-heat-wave-wildfires/</t>
  </si>
  <si>
    <t>Extreme heat wave targets California as wildfires rage</t>
  </si>
  <si>
    <t>Sep 3, 2020 ... One way to look at how volatile the fire weather conditions are in California, and how the upcoming heat wave could put parts of the state back ...</t>
  </si>
  <si>
    <t>https://www.npr.org/2020/08/17/903291108/heat-wave-causes-power-outages-in-california</t>
  </si>
  <si>
    <t>Heat Wave Causes Power Outages In California - NPR</t>
  </si>
  <si>
    <t>Aug 17, 2020 ... A heat wave in the West is causing rolling power outages in parts of California. And many places where people usually go to cool off — such as ...</t>
  </si>
  <si>
    <t>https://www.latimes.com/california/story/2020-08-14/california-heat-wave-records</t>
  </si>
  <si>
    <t>California heat wave may rival deadly July 2006 event, forecasters say</t>
  </si>
  <si>
    <t>Aug 14, 2020 ... ... heat wave that could rival the seven-day event in 2006 that ... Above-normal temperatures in the Western U.S. have contributed to expanding ...</t>
  </si>
  <si>
    <t>https://www.washingtonpost.com/climate-environment/2020/08/21/heat-climate-change-weather/</t>
  </si>
  <si>
    <t>Heat is turbocharging fires, drought and tropical storms this summer</t>
  </si>
  <si>
    <t>Aug 21, 2020 ... ... U.S. Drought Monitor, creating dry brush that's primed to ignite. ... in the midst of the state's heat wave, Smith said. Flames approach a ...</t>
  </si>
  <si>
    <t>https://www.nytimes.com/2020/09/23/climate/heat-drought-climate-change.html</t>
  </si>
  <si>
    <t>Heat and Drought Team Up More Frequently, With Disastrous Results</t>
  </si>
  <si>
    <t>Sep 24, 2020 ... ... drought events that occurred across the contiguous United States. ... heat wave in early October, which could “bring extreme wildfire ...</t>
  </si>
  <si>
    <t>https://www.washingtonpost.com/weather/2020/07/11/heat-wave-1980/</t>
  </si>
  <si>
    <t>Remembering the deadly U.S. heat wave of 1980</t>
  </si>
  <si>
    <t>Jul 11, 2020 ... So there are few showers or storms capable of providing cooling underneath the high pressure. The July 1980 heat wave brought widespread drought ...</t>
  </si>
  <si>
    <t>https://www.cnn.com/2020/08/13/weather/monsoon-southwest-heat-drought</t>
  </si>
  <si>
    <t>Missing monsoon leading to prolonged heat waves, drought ... - CNN</t>
  </si>
  <si>
    <t>Aug 13, 2020 ... What NOT to do in a heat wave. 1:14. Facebook Tweet Email Link Threads ... of the Southwest United States. Much of the region counts on ...</t>
  </si>
  <si>
    <t>https://www.baltimoresun.com/2020/12/02/its-time-to-end-war-on-nature-un-chief-urges-steps-to-curb-climate-change-as-year-of-extreme-weather-comes-to-close/</t>
  </si>
  <si>
    <t>It's time to end 'war on nature': UN chief urges steps to curb climate ...</t>
  </si>
  <si>
    <t>Dec 2, 2020 ... ... United States, following a major fire season and record heat in Australia. The Arctic had record wildfires and a prolonged heat wave ...</t>
  </si>
  <si>
    <t>https://www.marinij.com/2021/02/03/ross-valley-flood-project-draft-eir-flags-park-impact/</t>
  </si>
  <si>
    <t>Ross Valley flood project draft EIR flags park impact</t>
  </si>
  <si>
    <t>Feb 3, 2021 ... PUBLISHED: February 3, 2021 ... A scaled-back version of a $14 million effort to curb flooding in the ... California Department of Water Resources ...</t>
  </si>
  <si>
    <t>https://www.latimes.com/world-nation/story/2021-02-17/winter-storm-2021-we-were-prepared-texas-was-not</t>
  </si>
  <si>
    <t>How a winter storm walloped my Texas - Los Angeles Times</t>
  </si>
  <si>
    <t>Feb 17, 2021 ... The winter storm and associated power outages that paralyzed Texas and a wide swath of the country this week exceeded even my worst expectations.</t>
  </si>
  <si>
    <t>https://www.capitalgazette.com/2021/02/21/how-a-winter-storm-pushed-texas-into-a-power-political-crisis-who-set-up-this-system/</t>
  </si>
  <si>
    <t>How a winter storm pushed Texas into a power, political crisis: 'Who ...</t>
  </si>
  <si>
    <t>Feb 21, 2021 ... How a winter storm pushed Texas into a power ... 16, 2021. As temperatures plunged and snow and ice whipped the state ... Eastern U.S. grid and ...</t>
  </si>
  <si>
    <t>https://www.al.com/news/2021/02/winter-storm-warning-issued-includes-more-of-alabama.html</t>
  </si>
  <si>
    <t>Winter storm making its mark on Alabama; dangerous travel, power ...</t>
  </si>
  <si>
    <t>Feb 15, 2021 ... 14, 2021, 5:36 a.m.. Winter weather map A winter storm was making its presence felt in Alabama late Sunday. The Alabama counties in pink are ...</t>
  </si>
  <si>
    <t>https://www.npr.org/2021/02/13/967665748/winter-storms-across-the-country-bring-snow-and-ice-to-millions-of-americans</t>
  </si>
  <si>
    <t>Winter Storms Across The Country Bring Snow And Ice To Millions ...</t>
  </si>
  <si>
    <t>Feb 13, 2021 ... ... eastern United States over the coming days ... A large winter storm dropped heavy snow across the region. David ...</t>
  </si>
  <si>
    <t>https://www.washingtonpost.com/weather/2021/02/12/texas-snow-ice-mississippi-valley/</t>
  </si>
  <si>
    <t>A major winter storm may target Texas, Mississippi Valley next week</t>
  </si>
  <si>
    <t>Feb 12, 2021 ... Winter storm watches are in effect across much of eastern New Mexico, Texas and Oklahoma, as well as the northwestern corner of Arkansas.</t>
  </si>
  <si>
    <t>https://www.nytimes.com/2021/02/13/us/winter-storm-snow-ice.html</t>
  </si>
  <si>
    <t>Winter Storms Pummel U.S. With Snow, Ice and Extreme Cold</t>
  </si>
  <si>
    <t>Feb 19, 2021 ... The harsh weather was a prelude to another winter storm that is expected to bring more snow, sleet and freezing rain to over 100 million ...</t>
  </si>
  <si>
    <t>https://www.npr.org/2021/02/16/968293872/winter-storm-not-over-yet-for-much-of-the-country</t>
  </si>
  <si>
    <t>Winter Storm Is Not Over Yet For Much Of The Country - NPR</t>
  </si>
  <si>
    <t>Feb 16, 2021 ... Heavy snowfall and frigid temperatures across the U.S. have kept winter storm warnings in effect from Washington to the Great Lakes into ...</t>
  </si>
  <si>
    <t>https://www.usatoday.com/story/news/nation/2021/02/17/weather-updates-texas-power-outages-another-winter-storm-south-midwest/6778122002/</t>
  </si>
  <si>
    <t>Weather updates: Texas power outages, another winter storm coming</t>
  </si>
  <si>
    <t>Feb 18, 2021 ... 'Just a real mess': 100M from the South to the East Coast in path of a new winter storm; 2.1M power outages across 8 states. Portrait of ...</t>
  </si>
  <si>
    <t>https://www.nytimes.com/2021/02/15/us/winter-storm-today.html</t>
  </si>
  <si>
    <t>Icy Storm Barrels Across Central U.S., Leaving Millions Without Power</t>
  </si>
  <si>
    <t>Mar 12, 2021 ... Snowstorms Across the U.S.. Winter Storm Brings Icy Temperatures and Cuts Power Across U.S.. Feb. 14, 2021. How climate change is affecting ...</t>
  </si>
  <si>
    <t>https://www.npr.org/2021/02/17/968665266/millions-still-without-power-as-winter-storm-wallops-texas</t>
  </si>
  <si>
    <t>Winter Storm Leaves Many In Texas Without Power And Water - NPR</t>
  </si>
  <si>
    <t>The latest on extreme weather that has cut power to millions and hobbled swaths of the U.S.. Live Updates: Winter Storms 2021. Winter Storm Leaves Many In ...</t>
  </si>
  <si>
    <t>https://www.nytimes.com/2021/02/22/us/texas-heb-winter-storm.html</t>
  </si>
  <si>
    <t>How H-E-B Helped Texans After the Winter Storm</t>
  </si>
  <si>
    <t>Feb 22, 2021 ... A winter storm, one of the worst to hit Texas in a generation ... A version of this article appears in print on Feb. 23, 2021, Section ...</t>
  </si>
  <si>
    <t>https://www.washingtonpost.com/weather/2021/02/19/texas-cold-early-warning/</t>
  </si>
  <si>
    <t>Meteorologist for Texas grid operator warned of the winter storm's ...</t>
  </si>
  <si>
    <t>Feb 19, 2021 ... ... United States from the National Weather Service. (NOAA). Texas Weather Service forecast offices issued their first winter storm watches on Feb.</t>
  </si>
  <si>
    <t>https://apnews.com/article/houston-football-storms-coronavirus-pandemic-hurricanes-5fd491ed5bfd9aa0ae08426c6078539e</t>
  </si>
  <si>
    <t>Power failure: How a winter storm pushed Texas into crisis | AP News</t>
  </si>
  <si>
    <t>Feb 21, 2021 ... ... winter storm. (Marie D. De Jesús/Houston Chronicle via AP, File). Read More. FILE - In this Feb. 16, 2021, file photo, people wait in. 8 of 15 ...</t>
  </si>
  <si>
    <t>https://www.washingtonpost.com/weather/2021/03/24/tornado-severe-thunderstorm-outbreak-south/</t>
  </si>
  <si>
    <t>Possible tornado outbreak looms for Deep South, Tennessee Valley ...</t>
  </si>
  <si>
    <t>Mar 24, 2021 ... The impetus for severe weather could be found Wednesday morning in the Southwest, United States, where a counterclockwise-swirling ebb of cold ...</t>
  </si>
  <si>
    <t>https://transcripts.cnn.com/show/cnr/date/2021-03-26/segment/04</t>
  </si>
  <si>
    <t>Mar 26, 2021 ... Aired March 26, 2021 ... tornado outbreak kills at least six people. So far, 23 possible tornados striking several states in the southeast.</t>
  </si>
  <si>
    <t>https://www.washingtonpost.com/weather/2021/03/25/tornado-outbreak-storms-south/</t>
  </si>
  <si>
    <t>Six dead as destructive tornadoes cut across Alabama, Georgia</t>
  </si>
  <si>
    <t>Mar 25, 2021 ... ... southeast of the city in the Eagle Point subdivision. ... — ʀʏ☀️ɴ ᴠᴀᴜɢʜᴀɴ (@ryanvaughan) March 25, 2021. Elsewhere, only ...</t>
  </si>
  <si>
    <t>https://www.nytimes.com/2021/03/25/us/tornadoes-southeast.html</t>
  </si>
  <si>
    <t>Tornadoes in Alabama and Georgia Leave at Least 6 Dead</t>
  </si>
  <si>
    <t>Mar 25, 2021 ... U.S.|Alabama and Georgia Dig Out From Tornadoes That Left at Least 6 Dead. https://www.nytimes.com/2021/03/25/us/tornadoes-southeast.html.</t>
  </si>
  <si>
    <t>https://www.npr.org/2021/03/25/981321584/tornado-strikes-alabama-severe-weather-lashes-southern-states</t>
  </si>
  <si>
    <t>Tornadoes Strike Alabama, Georgia Leaving At Least 5 Dead - NPR</t>
  </si>
  <si>
    <t>Mar 25, 2021 ... Many residents were also displaced following storm damage to their homes, a press release indicated. #GOESEast is keeping an eye on the ...</t>
  </si>
  <si>
    <t>https://www.al.com/news/2021/03/one-tornado-confirmed-from-sunday-storms-in-north-alabama.html</t>
  </si>
  <si>
    <t>One tornado confirmed from Sunday storms in north Alabama - al.com</t>
  </si>
  <si>
    <t>Mar 30, 2021 ... Saturday's Cullman County tornado comes on the heels of Thursday's round of severe weather. Eleven tornadoes have been confirmed so far by ...</t>
  </si>
  <si>
    <t>https://www.cnn.com/2021/03/31/weather/severe-weather-storms-wednesday</t>
  </si>
  <si>
    <t>Millions in the Southeast under threat of severe weather, including ...</t>
  </si>
  <si>
    <t>Mar 31, 2021 ... Millions of people across the Southeast are under the threat of severe weather, including heavy rain and possibly isolated tornadoes, through Wednesday night.</t>
  </si>
  <si>
    <t>https://www.washingtonpost.com/weather/2021/04/07/severe-thunderstorms-memphis-little-rock/</t>
  </si>
  <si>
    <t>'Enhanced' risk of severe storms from Little Rock to Memphis on ...</t>
  </si>
  <si>
    <t>Apr 7, 2021 ... Damaging winds, some hail and even a few tornadoes are possible from East ... United States approaches peak tornado season. Storms to roll across ...</t>
  </si>
  <si>
    <t>https://www.usatoday.com/story/news/nation/2021/04/23/severe-weather-forecast-weekend-south/7350890002/</t>
  </si>
  <si>
    <t>Severe weather: South to get tornadoes, hail flood Friday, Saturday</t>
  </si>
  <si>
    <t>Apr 23, 2021 ... ... hail and flooding rain possible from Texas to the Carolinas ... There have only been 34 tornadoes reported across the United States so far this ...</t>
  </si>
  <si>
    <t>https://www.cnn.com/2021/04/29/weather/hail-damage-severe-weather-texas</t>
  </si>
  <si>
    <t>Texas and Oklahoma: Softball-sized hailstones fall as thunderstorms ...</t>
  </si>
  <si>
    <t>Apr 29, 2021 ... Large hailstones shattered the windows of a house in Hondo, Texas, on Wednesday night, as severe weather impacted the area. Rebecca Gilliam.</t>
  </si>
  <si>
    <t>https://www.washingtonpost.com/weather/2021/05/01/texas-hailstone-state-record/</t>
  </si>
  <si>
    <t>'Gargantuan' Texas hailstone may claim new state record</t>
  </si>
  <si>
    <t>May 1, 2021 ... In the meantime, more severe weather is in the offing in Texas — though cantaloupe-size hail is not expected. A Level 1 out of 5 “marginal ...</t>
  </si>
  <si>
    <t>https://www.washingtonpost.com/weather/2021/04/28/flooding-storms-midwest-ozarks/</t>
  </si>
  <si>
    <t>Severe storms, flooding walloping central U.S. - The Washington Post</t>
  </si>
  <si>
    <t>Apr 28, 2021 ... NWS Storm Prediction Center (@NWSSPC) April 28, 2021 · Tornadoes, hail and stunning skies make for unforgettable Texas storm chase. The next ...</t>
  </si>
  <si>
    <t>https://www.washingtonpost.com/weather/2021/04/29/texas-oklahoma-large-hail/</t>
  </si>
  <si>
    <t>Destructive hail bombards areas near Oklahoma City, Fort Worth ...</t>
  </si>
  <si>
    <t>Apr 29, 2021 ... ... 2021. Tornado watches were issued in Texas ahead of the severe weather, storms anticipated to spin with the risk of damaging winds, hail and ...</t>
  </si>
  <si>
    <t>https://www.usatoday.com/story/news/nation/2021/04/29/hail-storms-batter-texas-oklahoma-billion-dollar-damage/4888118001/</t>
  </si>
  <si>
    <t>Texas, Oklahoma hail: Storms cause 'Billion-dollar' damage</t>
  </si>
  <si>
    <t>Apr 29, 2021 ... Residents in Texas and Oklahoma were recovering Thursday after hail as large as softballs battered portions of the states a day earlier.</t>
  </si>
  <si>
    <t>https://www.cnn.com/2021/04/28/weather/severe-tornadoes-warm-weather</t>
  </si>
  <si>
    <t>Severe storms threaten over 50 million people from Texas to New York</t>
  </si>
  <si>
    <t>Apr 28, 2021 ... “The stronger thunderstorms may produce large hail and wind damage. A tornado threat may also develop in the Southern Plains,” says the SPC on ...</t>
  </si>
  <si>
    <t>https://www.cnn.com/2021/05/04/weather/tornadoes-severe-storms-forecast-tuesday</t>
  </si>
  <si>
    <t>Severe weather risk raised in US Southeast amid multiday threat of ...</t>
  </si>
  <si>
    <t>May 4, 2021 ... A tornado watch was issued Tuesday for over 4 million people from eastern Louisiana through southeastern Mississippi, much of southern Alabama ...</t>
  </si>
  <si>
    <t>https://www.washingtonpost.com/weather/2021/05/03/mississippi-tornadoes-severe-thunderstorm-threat/</t>
  </si>
  <si>
    <t>Severe weather threatens Plains, South after tornadoes hit ...</t>
  </si>
  <si>
    <t>May 3, 2021 ... ... of the Southeast ... Looking ahead, a pattern change could favor an uptick in severe weather potential over the central United States this weekend ...</t>
  </si>
  <si>
    <t>https://www.usatoday.com/story/news/nation/2021/05/18/louisiana-flooding-historic-floods-swamp-south-central-u-s/5144289001/</t>
  </si>
  <si>
    <t>Louisiana flooding: Historic floods swamp south-central U.S.</t>
  </si>
  <si>
    <t>USA TODAY. May 18, 2021Updated May 19, 2021, 1:50 a.m. ET ... This is the third-wettest May in history for Lake Charles, AccuWeather said.</t>
  </si>
  <si>
    <t>https://apnews.com/article/la-state-wire-louisiana-floods-361730669523013b9049bfcbcc958314</t>
  </si>
  <si>
    <t>Drenching rains flood homes, swamp cars in south Louisiana</t>
  </si>
  <si>
    <t>May 18, 2021 ... ... 2021, in Ascension Parish, La. Heavy rains have swept across southern Louisiana, flooding homes, swamping cars and closing a major interstate.</t>
  </si>
  <si>
    <t>https://apnews.com/article/ms-state-wire-texas-louisiana-floods-environment-and-nature-2ee06356a85c1efe998ac87eec3b66e4</t>
  </si>
  <si>
    <t>Heavy rains in Texas, Louisiana add to misery in flood zones</t>
  </si>
  <si>
    <t>May 19, 2021 ... Heavy rains have swept across southern Louisiana, flooding homes, swamping cars and closing a major interstate. ... US launches new strikes on ...</t>
  </si>
  <si>
    <t>https://www.pennlive.com/weather/2021/07/tropical-storm-elsa-promps-tornado-warnings-in-nj-delaware.html</t>
  </si>
  <si>
    <t>Tropical Storm Elsa prompts tornado warnings in N.J., Delaware</t>
  </si>
  <si>
    <t>Jul 9, 2021 ... ... states and into the northeastern United States. Overnight in ... tropical Storm Elsa dropped heavy rain in the Tampa Bay area. (Luis ...</t>
  </si>
  <si>
    <t>https://www.pennlive.com/weather/2021/07/tornado-from-tropical-storm-elsa-leaves-10-hurt-at-georgia-military-base.html</t>
  </si>
  <si>
    <t>Tornado from Tropical Storm Elsa leaves 10 hurt at Georgia military ...</t>
  </si>
  <si>
    <t>Jul 8, 2021 ... ... Tropical Storm Elsa on Tuesday, July 6, 2021. (Ivy Ceballo/Tampa Bay ... United States on Friday. A subscription is required to read ...</t>
  </si>
  <si>
    <t>https://www.pennlive.com/news/2021/07/will-tropical-storm-elsa-hit-pennsylvania-mid-atlantic-beaches.html</t>
  </si>
  <si>
    <t>Will Tropical Storm Elsa hit Pennsylvania, mid-Atlantic beaches?</t>
  </si>
  <si>
    <t>Jul 7, 2021 ... Will Tropical Storm Elsa hit Pennsylvania, mid-Atlantic beaches? ... of the state should see some effects from Elsa in the form of storms.</t>
  </si>
  <si>
    <t>https://www.capitalgazette.com/2021/07/07/tropical-storm-elsa-slightly-weakens-before-florida-impact-central-florida-under-tornado-watch/</t>
  </si>
  <si>
    <t>Tropical Storm Elsa slightly weakens before Florida impact; Central ...</t>
  </si>
  <si>
    <t>Jul 7, 2021 ... ... Tropical Storm Elsa passes Key West, Fla., on Tuesday, July 6, 2021. The weather was getting worse in southern Florida on Tuesday morning as ...</t>
  </si>
  <si>
    <t>https://www.jacksonville.com/story/weather/hurricane/2021/07/07/tropical-storm-elsa-heads-through-jacksonville-florida-wet-and-windy/7885639002/</t>
  </si>
  <si>
    <t>Tropical Storm Elsa passes Jacksonville, leaves Florida wet and windy</t>
  </si>
  <si>
    <t>A wet, windy and disorganized Tropical Storm Elsa blew through the Jacksonville area Wednesday. The extent of the damage was unclear Wednesday evening.</t>
  </si>
  <si>
    <t>https://www.fayobserver.com/story/news/2021/07/07/tropical-storm-elsa-fayetteville-north-carolina-forecast/7885535002/</t>
  </si>
  <si>
    <t>Tropical Storm Elsa Fayetteville, North Carolina forecast</t>
  </si>
  <si>
    <t>Jul 7, 2021 ... UPDATE: Tropical Storm Elsa to reach Fayetteville two hours before daybreak Thursday · Potential for flash flooding · Winds in the area.</t>
  </si>
  <si>
    <t>https://www.ocala.com/story/weather/hurricane/2021/07/07/radar-elsa-hurricane-tropical-storm-ocala-florida/7884315002/</t>
  </si>
  <si>
    <t>Tropical Storm Elsa radar shows storm's movement near Ocala ...</t>
  </si>
  <si>
    <t>Updated July 7, 2021, 8:47 a.m. ET. Tropical Storm Elsa remains a strong tropical storm as it approaches northern Florida's Gulf Coast. Elsa has maximum ...</t>
  </si>
  <si>
    <t>https://www.thestate.com/news/weather-news/article252644663.html</t>
  </si>
  <si>
    <t>Tropical Storm Elsa causes blackouts in Columbia, SC area</t>
  </si>
  <si>
    <t>Jul 8, 2021 ... Thousands without power as Tropical Storm Elsa moves through South Carolina. By Noah Feit. Updated July 8, 2021 8:09 AM.</t>
  </si>
  <si>
    <t>https://www.al.com/hurricane/2021/07/tropical-storm-elsa-2021-hanging-on-as-it-tracks-toward-atlantic-coast.html</t>
  </si>
  <si>
    <t>Tropical Storm Elsa 2021 hanging on as it tracks toward Atlantic coast</t>
  </si>
  <si>
    <t>Jul 8, 2021 ... Tropical Storm Elsa could get a bit stronger as it moves near the Northeast U.S. on Friday but it's not expected to become a hurricane again.</t>
  </si>
  <si>
    <t>https://www.al.com/news/2021/07/tropical-storm-elsa-kills-1-in-florida-injures-10-in-georgia.html</t>
  </si>
  <si>
    <t>Tropical Storm Elsa kills 1 in Florida, injures 10 in Georgia - al.com</t>
  </si>
  <si>
    <t>Jul 7, 2021 ... Tropical Storm Elsa kills 1 in Florida, injures 10 in Georgia ... state line without electricity, according to the website poweroutages.us.</t>
  </si>
  <si>
    <t>https://www.al.com/news/2021/07/tropical-storm-elsa-2021-updated-beach-conditions-for-gulf-coast-live-beach-cams.html</t>
  </si>
  <si>
    <t>Tropical Storm Elsa 2021: Updated beach conditions for Gulf Coast ...</t>
  </si>
  <si>
    <t>Jul 7, 2021 ... Tropical Storm Elsa 2021: Updated beach conditions for Gulf Coast, live beach cams ... states through Thursday. Beach conditions. Double red ...</t>
  </si>
  <si>
    <t>https://www.tampabay.com/hurricane/2021/07/07/elsa-weakens-to-a-tropical-storm-ahead-of-florida-landfall/</t>
  </si>
  <si>
    <t>Elsa makes landfall in Florida's Big Bend after weakening to a ...</t>
  </si>
  <si>
    <t>Jul 7, 2021 ... Tropical Storm Elsa was making landfall in Florida's Big Bend region ... United States through Thursday. Tropical Storm #Elsa made ...</t>
  </si>
  <si>
    <t>https://www.npr.org/2021/07/07/1013809528/tropical-storm-elsa-has-made-landfall-along-floridas-gulf-coast</t>
  </si>
  <si>
    <t>Tropical Storm Elsa Has Made Landfall Along Florida's Gulf Coast</t>
  </si>
  <si>
    <t>Jul 7, 2021 ... — A weakened Tropical Storm Elsa dumped rain across Florida's northern Gulf Coast early Wednesday but appears to have spared the state ...</t>
  </si>
  <si>
    <t>https://apnews.com/article/ron-desantis-st-petersburg-tampa-storms-al-state-wire-c8bb6d276957e92a47dc6af3accf6992</t>
  </si>
  <si>
    <t>Tropical storm kills 1 in Florida, hurts 10 at Georgia base | AP News</t>
  </si>
  <si>
    <t>Jul 8, 2021 ... ... Tropical Storm Elsa Wednesday, July 7, 2021. The Tampa Bay area was ... United States on Friday. Some re-strengthening was possible ...</t>
  </si>
  <si>
    <t>https://www.npr.org/2021/07/08/1014082866/tropical-storm-elsa-is-blamed-for-one-death-in-florida-its-now-heading-north</t>
  </si>
  <si>
    <t>Tropical Storm Elsa Is Blamed For One Death In Florida. It's ... - NPR</t>
  </si>
  <si>
    <t>Jul 8, 2021 ... Tropical Storm Elsa tore through Jacksonville, Fla., and southeast ... The standoff in the Strait of Hormuz : State of the World from NPR ...</t>
  </si>
  <si>
    <t>https://www.usatoday.com/story/news/nation/2021/07/09/nyc-flooding-soaks-subways-roads-ahead-tropical-storm-elsa/7912206002/</t>
  </si>
  <si>
    <t>NYC flooding soaks subways, roads; Tropical Storm Elsa heads ...</t>
  </si>
  <si>
    <t>Jul 9, 2021 ... New York City subway stations flooded in waist-high water ahead of Tropical Storm Elsa. Ryan W. Miller Doyle Rice. USA TODAY. Updated July 9, ...</t>
  </si>
  <si>
    <t>https://www.cnn.com/2021/07/07/weather/hurricane-elsa-wednesday</t>
  </si>
  <si>
    <t>At least 1 dead, multiple injured as Tropical Storm Elsa whips north ...</t>
  </si>
  <si>
    <t>Jul 7, 2021 ... As Tropical Storm Elsa creeps over the southeast and continues north ... Serena Williams of United States in action against Nicole Melichar- ...</t>
  </si>
  <si>
    <t>https://www.npr.org/2021/07/09/1014511594/tropical-storm-elsa-sparks-tornado-warnings-in-trek-up-the-east-coast</t>
  </si>
  <si>
    <t>Tropical Storm Elsa Sparks Tornado Warnings In Trek Up The East ...</t>
  </si>
  <si>
    <t>Jul 9, 2021 ... Cranes cross the road during a rainstorm from Tropical Storm Elsa, Wednesday, July 7, 2021 in Westchase, Fla. ... states and into the northeastern ...</t>
  </si>
  <si>
    <t>https://www.usatoday.com/story/news/nation/2021/07/07/tropical-storm-elsa-surfside-collapse-update-eric-adams-5-things-podcast/7888817002/</t>
  </si>
  <si>
    <t>Tropical Storm Elsa, Surfside collapse update, Eric Adams: 5 Things ...</t>
  </si>
  <si>
    <t>USA TODAY. July 7, 2021, 12:37 p.m. ET. Tropical Storm Elsa targets U.S. coast line; Demolition in Surfside collapse site has opened up new areas that ...</t>
  </si>
  <si>
    <t>https://www.miamiherald.com/news/weather/hurricane/article252617188.html</t>
  </si>
  <si>
    <t>Tropical storm Elsa: When will it make Florida landfall? | Miami Herald</t>
  </si>
  <si>
    <t>Jul 7, 2021 ... United States · Cuba · Haiti · Venezuela · Americas. Sports. Sports ... Tropical Storm Elsa is moving along Florida coast. When and where ...</t>
  </si>
  <si>
    <t>https://www.usatoday.com/story/news/nation/2021/08/11/midwest-storms-power-outages-ohio-illinois-wisconsin-michigan/8104086002/</t>
  </si>
  <si>
    <t>Fierce summer storms leave over 850K in Midwest without electricity</t>
  </si>
  <si>
    <t>Aug 12, 2021 ... ... tornadoes, hail and damaging winds. Additional thunderstorms were ... A heat advisory remains in effect across north-central Illinois ...</t>
  </si>
  <si>
    <t>https://www.heraldmailmedia.com/story/news/2021/08/17/tropical-storm-fred-washington-county-maryland-west-virginia/8150711002/</t>
  </si>
  <si>
    <t>Tropical Storm Fred's in the Tri-State area - The Herald-Mail</t>
  </si>
  <si>
    <t>Aug 17, 2021 ... Tropical Storm Fred 11 a.m. Aug. 16, 2021. Fred takes aim at Florida, Alabama. Fred, driving sustained winds of 60 mph, was centered about 55 ...</t>
  </si>
  <si>
    <t>https://www.al.com/news/2021/08/tropical-storm-fred-what-can-alabama-expect.html</t>
  </si>
  <si>
    <t>Tropical Storm Fred: What can Alabama expect? - al.com</t>
  </si>
  <si>
    <t>Aug 16, 2021 ... Tropical Storm Fred: What can Alabama expect? Updated: Aug. 16, 2021 ... The southeast corner of the state could also get 4 to 6 inches ...</t>
  </si>
  <si>
    <t>https://www.washingtonpost.com/weather/2021/08/16/tropical-storm-fred-florida-landfall/</t>
  </si>
  <si>
    <t>Tropical Storm Fred makes landfall along Florida Panhandle</t>
  </si>
  <si>
    <t>Aug 16, 2021 ... Tropical Storm Fred swept ashore the Florida Panhandle on Monday ... in the United States in 2021. It crossed the coast near Cape San ...</t>
  </si>
  <si>
    <t>https://www.nytimes.com/2021/08/22/us/north-carolina-flash-floods.html</t>
  </si>
  <si>
    <t>5 Dead and 1 Missing in North Carolina Flooding</t>
  </si>
  <si>
    <t>Aug 24, 2021 ... The remnants of Tropical Storm Fred dropped more than 10 inches of ... It was the sixth named storm of the 2021 Atlantic hurricane season.</t>
  </si>
  <si>
    <t>https://www.charlotteobserver.com/news/weather-news/article253518354.html</t>
  </si>
  <si>
    <t>Tropical Storm Fred: Latest forecast and path for NC, SC</t>
  </si>
  <si>
    <t>Tropical Storm Fred could dump heavy rain on parts of North Carolina and South Carolina ... This story was originally published August 16, 2021 at 9:32 AM.</t>
  </si>
  <si>
    <t>https://www.courant.com/2021/08/29/hurricane-ida-blasts-louisiana-coast-with-winds-up-to-150-mph-one-of-most-powerful-storms-to-ever-hit-the-us/</t>
  </si>
  <si>
    <t>Hurricane Ida blasts Louisiana coast with winds up to 150 mph, one ...</t>
  </si>
  <si>
    <t>Aug 29, 2021 ... Hurricane Ida blasted ashore Sunday as one of the most powerful storms ever to hit the U.S., blowing off roofs and reversing the flow of the ...</t>
  </si>
  <si>
    <t>https://www.chron.com/news/nation-world/article/Hurricane-Ida-Louisiana-thanks-miracles-16438597.php</t>
  </si>
  <si>
    <t>Louisiana residents thankful for small miracles in wake of Hurricane ...</t>
  </si>
  <si>
    <t>Sep 6, 2021 ... Nathan Fabre checks on his home and boat destroyed by Hurricane Ida, Sunday, Sept. 5, 2021, in Lafitte, La. "We lost everything," said Fabre ...</t>
  </si>
  <si>
    <t>https://www.houstonchronicle.com/news/houston-weather/hurricanes/article/Houstonians-Texas-extend-helping-hands-to-16423916.php</t>
  </si>
  <si>
    <t>Houstonians, Texas extend helping hands to Ida-battered Louisiana</t>
  </si>
  <si>
    <t>Aug 31, 2021 ... ... Hurricane Ida, which made landfall Sunday as one of the most powerful storms ever to hit the United States and knocked out power to the ...</t>
  </si>
  <si>
    <t>https://www.eldoradonews.com/news/2021/aug/30/hurricane-ida-blasts-ashore-in-louisiana-with/</t>
  </si>
  <si>
    <t>Hurricane Ida blasts ashore in Louisiana with major force | El ...</t>
  </si>
  <si>
    <t>... Contact Us. Hurricane Ida blasts ashore in Louisiana with major force. August 30, 2021 by The Associated Press · 0 Comments. × A man pulls a cart down a ...</t>
  </si>
  <si>
    <t>https://www.expressnews.com/business/energy/article/U-S-Gasoline-Prices-Jump-After-Hurricane-Ida-16422171.php</t>
  </si>
  <si>
    <t>Gasoline jumps and oil falls as Ida landfall seen sparing rigs</t>
  </si>
  <si>
    <t>By David Marino, Elizabeth Low and Anthony Di Paola, BloombergUpdated Aug 30, 2021 3:57 a.m.. U.S. gasoline futures jumped after Hurricane Ida barreled ...</t>
  </si>
  <si>
    <t>https://nypost.com/2021/09/02/hurricane-ida-remants-hit-us-open-creating-chaos/</t>
  </si>
  <si>
    <t>Hurricane Ida remants hit US Open, creating chaos - New York Post</t>
  </si>
  <si>
    <t>Remnants of Hurricane Ida hit US Open, creating some chaos. By. Associated Press. Published Sep. 2, 2021. Updated Sep. 2, 2021, 8:20 a.m. ET.</t>
  </si>
  <si>
    <t>https://www.capitalgazette.com/2021/08/29/hurricane-ida-blasts-louisiana-coast-with-winds-up-to-150-mph-one-of-most-powerful-storms-to-ever-hit-the-us/</t>
  </si>
  <si>
    <t>https://www.capitalgazette.com/2021/09/02/biden-says-hurricane-ida-western-wildfires-show-the-climate-crisis-has-arrived/</t>
  </si>
  <si>
    <t>Biden says Hurricane Ida, Western wildfires show the 'climate crisis ...</t>
  </si>
  <si>
    <t>Sep 2, 2021 ... ... Hurricane Ida and for Western states beset ... 2, 2021 in the aftermath of downpours and ... of the U.S. military from Afghanistan after a 20-year ...</t>
  </si>
  <si>
    <t>https://www.capitalgazette.com/2021/08/30/hurricane-ida-traps-louisianans-and-leaves-more-than-1-million-including-all-of-new-orleans-without-power/</t>
  </si>
  <si>
    <t>Hurricane Ida traps Louisianans and leaves more than 1 million ...</t>
  </si>
  <si>
    <t>Aug 30, 2021 ... Rescuers in boats, helicopters and high-water trucks brought hundreds of people trapped by Hurricane Ida's floodwaters to safety Monday and ...</t>
  </si>
  <si>
    <t>https://dailyleader.com/2021/08/30/i-was-expecting-it-to-be-much-worse-ida-leaves-downed-trees-power-lines-and-relief-in-its-wake/</t>
  </si>
  <si>
    <t>'I was expecting it to be much worse': Ida leaves downed trees ...</t>
  </si>
  <si>
    <t>Aug 30, 2021 ... ... 2021. By Stacy Graning. 1/3. Swipe or click to see more. Hurricane Ida ... in the yard ... One of the most powerful hurricanes to hit the U.S. ...</t>
  </si>
  <si>
    <t>https://www.sunherald.com/news/weather-news/article253863878.html</t>
  </si>
  <si>
    <t>Scenes from Hurricane Ida's damage across the Mississippi Gulf Coast</t>
  </si>
  <si>
    <t>Aug 30, 2021 ... Damage from Hurricane Ida, one of the strongest hurricanes to hit the United States ... 30, 2021 after Hurricane Ida. Hannah Ruhoff hruhoff ...</t>
  </si>
  <si>
    <t>https://www.bnd.com/news/local/article254053918.html</t>
  </si>
  <si>
    <t>Hurricane Ida relief, Illinois firefighters go to Louisiana | Belleville ...</t>
  </si>
  <si>
    <t>Sep 7, 2021 ... September 7, 2021 2:18 PM. &lt;style&gt; ... in the aftermath of hurricane Ida. O'Fallon ... states. Deputy Chief Bob Lindauer of the ...</t>
  </si>
  <si>
    <t>https://www.washingtonpost.com/climate-environment/2021/08/29/how-climate-change-helped-make-hurricane-ida-one-louisianas-worst/</t>
  </si>
  <si>
    <t>How climate change helped make Hurricane Ida one of Louisiana's ...</t>
  </si>
  <si>
    <t>Aug 30, 2021 ... ... 2021More than 4 years ago. 8 min. Make us preferred on Google ... Hurricane Ida is the latest storm to batter the United States this summer.</t>
  </si>
  <si>
    <t>https://www.cnn.com/2021/09/10/us/hurricane-ida-aftermath-louisiana-friday</t>
  </si>
  <si>
    <t>Louisiana areas hardest-hit by Hurricane Ida need a fundamental ...</t>
  </si>
  <si>
    <t>Sep 10, 2021 ... ... state's flood protection system that suffered severe destruction from Hurricane Ida's brutal landfall ... United Kingdom · Politics.</t>
  </si>
  <si>
    <t>https://www.npr.org/2021/09/13/1036665971/two-weeks-after-hurricane-ida-tens-of-thousands-in-louisiana-are-still-without-p</t>
  </si>
  <si>
    <t>Weeks After Hurricane Ida, Tens Of Thousands Of Louisianans Still ...</t>
  </si>
  <si>
    <t>Sep 13, 2021 ... September 13, 20215:02 PM ET. By ... is still recovering after Hurricane Ida ripped through the southeastern part of the state on August 29.</t>
  </si>
  <si>
    <t>https://www.cnn.com/2021/08/30/weather/hurricane-ida-climate-change-factors</t>
  </si>
  <si>
    <t>How climate change made Hurricane Ida worse | CNN</t>
  </si>
  <si>
    <t>Aug 30, 2021 ... Highway 51 was flooded on Monday by Hurricane Ida near LaPlace, Louisiana. Mickey Welsh/Montgomery Advert/USA TODAY Network. Storms are also ...</t>
  </si>
  <si>
    <t>https://www.chicagotribune.com/2021/08/29/hurricane-ida-makes-landfall/</t>
  </si>
  <si>
    <t>Hurricane Ida makes landfall - Chicago Tribune</t>
  </si>
  <si>
    <t>Aug 29, 2021 ... Terry Shelvin loads a case of water into his car along with food in Lafayette, Louisiana, as Hurricane Ida approaches on Aug. 29, 2021. Vehicles ...</t>
  </si>
  <si>
    <t>https://www.cnn.com/us/live-news/ida-updates-08-30-21</t>
  </si>
  <si>
    <t>August 30, 2021 Hurricane Ida news | CNN</t>
  </si>
  <si>
    <t>Aug 30, 2021 ... Ida has weakened to a tropical depression with life-threatening flash flooding continuing Monday. Nearly half the state of Louisiana is ...</t>
  </si>
  <si>
    <t>https://www.npr.org/2021/08/29/1032181486/hurricane-ida-gulf-coast-louisiana-new-orleans</t>
  </si>
  <si>
    <t>Hurricane Ida Brings Heavy Flooding And Fierce Winds To Louisiana</t>
  </si>
  <si>
    <t>Aug 29, 2021 ... Hurricane Ida Brings Heavy Flooding And Fierce Winds To Louisiana. Updated August 29, 202110:23 PM ET ...</t>
  </si>
  <si>
    <t>https://www.bostonherald.com/2021/08/29/wind-storm-surge-from-hurricane-ida-lash-louisiana-2/</t>
  </si>
  <si>
    <t>Wind, storm surge from Hurricane Ida lash Louisiana - Boston Herald</t>
  </si>
  <si>
    <t>https://www.nola.com/news/hurricane/hurricane-ida-brings-havoc-to-huge-swath-of-louisiana-but-levees-prevent-mass-casualties/article_a0a90bc2-09d2-11ec-a5fe-0b351e97fce1.html</t>
  </si>
  <si>
    <t>Hurricane Ida brings 'havoc' to huge swath of Louisiana, but levees ...</t>
  </si>
  <si>
    <t>Aug 30, 2021 ... A cemetery is submerged in the Lafitte area after Hurricane Ida flooded south Jefferson Parish on Monday, Aug. 30, 2021. STAFF PHOTO BY FAIMON ...</t>
  </si>
  <si>
    <t>https://www.al.com/news/2021/08/hurricane-ida-livestream-webcams-category-4-hurricane-makes-landfall-on-anniversary-of-katrina.html</t>
  </si>
  <si>
    <t>Category 4 hurricane makes landfall on anniversary of Katrina - al.com</t>
  </si>
  <si>
    <t>Aug 29, 2021 ... ... storm surge from Hurricane #Ida continues to push onshore. Parts of U.S. 90 are impassable. pic.twitter.com/rk4vSJQlZK. — Brantly Keiek ...</t>
  </si>
  <si>
    <t>https://www.al.com/hurricane/2021/09/another-tropical-depression-yes-another-could-form-in-the-gulf-soon.html</t>
  </si>
  <si>
    <t>Another tropical depression (yes, another) could form in the Gulf ...</t>
  </si>
  <si>
    <t>Sep 11, 2021 ... The U.S. Gulf Coast has also been hit by Category 4 Hurricane Ida (Louisiana) and tropical storms Claudette (Louisiana), Fred (Florida) and ...</t>
  </si>
  <si>
    <t>https://www.sunherald.com/news/weather-news/article253849273.html</t>
  </si>
  <si>
    <t>Hurricane Ida causes 'total devastation' in Jean Lafitte, LA</t>
  </si>
  <si>
    <t>Aug 30, 2021 ... Search and rescue efforts are underway in a small Louisiana city hours after Hurricane Ida battered the southeastern part of the state, ...</t>
  </si>
  <si>
    <t>https://www.nytimes.com/2021/09/02/climate/new-york-rain-floods-climate-change.html</t>
  </si>
  <si>
    <t>Overlapping Disasters Expose Harsh Climate Reality: The U.S. Is ...</t>
  </si>
  <si>
    <t>Sep 2, 2021 ... But in the case of Hurricane Ida, the main threat was rainwater flowing downhill, not storm surge pushing in from the coast. So much water ...</t>
  </si>
  <si>
    <t>https://www.houstonchronicle.com/news/houston-texas/article/Here-s-where-Houston-Texas-lost-power-during-16468177.php</t>
  </si>
  <si>
    <t>Here's where Houston, Texas lost power during Hurricane Nicholas</t>
  </si>
  <si>
    <t>Here's where Houston, Texas ... Texas lost power during Hurricane Nicholas. By Kirkland An, Staff writerUpdated Sep 20, 2021 6:32 a.m.. Workers repairing a ...</t>
  </si>
  <si>
    <t>https://www.nola.com/news/hurricane/tropical-storm-nicholas-moves-slowly-across-louisiana-up-to-20-inches-of-rain-possible/article_eab3f92c-1551-11ec-85e7-77c145db576f.html</t>
  </si>
  <si>
    <t>Tropical Storm Nicholas moves slowly across Louisiana; up to 20 ...</t>
  </si>
  <si>
    <t>Sep 14, 2021 ... 14, 2021, in Baton Rouge, La. Heavy rain from Hurricane Nicholas is hitting the area. STAFF PHOTO BY BILL FEIG. Facebook · Twitter · WhatsApp ...</t>
  </si>
  <si>
    <t>https://www.npr.org/2021/09/14/1036860928/hurricane-nicholas-makes-landfall-on-the-texas-coast</t>
  </si>
  <si>
    <t>Hurricane Nicholas Makes Landfall On The Texas Coast - NPR</t>
  </si>
  <si>
    <t>Sep 14, 2021 ... Hurricane Nicholas made landfall along the Texas coast on Tuesday, bringing the threat of up to 20 inches of rainfall to parts of the Gulf Coast.</t>
  </si>
  <si>
    <t>https://www.usatoday.com/story/news/nation/2021/09/14/hurricane-nicholas-hits-u-s-calif-recall-election-5-things-podcast/8330801002/</t>
  </si>
  <si>
    <t>Hurricane Nicholas hits U.S., Calif. recall election: 5 Things podcast</t>
  </si>
  <si>
    <t>Sep 14, 2021 ... Hurricane Nicholas makes landfall on the Texas coast, Apple's iPhone 13: 5 Things podcast. Taylor Wilson. USA TODAY. Sept. 14, 2021, 9:33 a.m. ...</t>
  </si>
  <si>
    <t>https://www.usatoday.com/story/news/nation/2021/09/14/nicholas-landfall-houston-flooding-power-outages/8330065002/</t>
  </si>
  <si>
    <t>Nicholas landfall on Texas coast, brings flash flooding, power outages</t>
  </si>
  <si>
    <t>Sep 15, 2021 ... Hurricane Nicholas slammed across the Texas coast on Tuesday ... The next names in the 2021 Atlantic hurricane season will be Odette and Peter.</t>
  </si>
  <si>
    <t>https://www.washingtonpost.com/weather/2021/09/17/gulf-coast-flooding-tropical-atlantic/</t>
  </si>
  <si>
    <t>Tropical Storm Odette forms off East Coast - The Washington Post</t>
  </si>
  <si>
    <t>Sep 17, 2021 ... ... September 17, 2021 ... Flooded streets in Galveston, Tex., on Sept. 14, after Hurricane Nicholas landed. (Mark Felix/for The Washington Post).</t>
  </si>
  <si>
    <t>https://apnews.com/article/tropical-storm-nicholas-35477d4e990ac7c6de4c7c55e33c00fd</t>
  </si>
  <si>
    <t>Nicholas, now a tropical depression, still douses Gulf Coast | AP News</t>
  </si>
  <si>
    <t>Sep 14, 2021 ... Hurricane Nicholas made landfall early in the morning along the coast. ... Hurricane Nicholas Tuesday, Sept. 14, 2021, in Galveston, Texas. (AP ...</t>
  </si>
  <si>
    <t>https://www.washingtonpost.com/politics/2021/09/23/hurricanes-may-not-discriminate-governments-utility-companies-do-our-research-finds/</t>
  </si>
  <si>
    <t>Hurricanes may not discriminate, but governments and utility ...</t>
  </si>
  <si>
    <t>Sep 23, 2021 ... Then came Hurricane Nicholas with heavy rains, further slowing down ... Disaster preparedness spending in the United States is often ...</t>
  </si>
  <si>
    <t>https://www.beaumontenterprise.com/news/article/Nicholas-upgrades-to-hurricane-ahead-of-possible-16456778.php</t>
  </si>
  <si>
    <t>Nicholas upgrades to hurricane ahead of expected landfall</t>
  </si>
  <si>
    <t>Sep 14, 2021 ... The freshly upgraded Hurricane Nicholas has dropped lower on the coast and appears to be slowing down as it nears landfall in the central Texas ...</t>
  </si>
  <si>
    <t>https://www.cnn.com/2021/09/14/weather/hurricane-nicholas-tuesday</t>
  </si>
  <si>
    <t>Nicholas is slowing to a crawl and threatening to dump up to 20 ...</t>
  </si>
  <si>
    <t>Sep 14, 2021 ... The center of the storm, which made landfall as a Category 1 hurricane early Tuesday, slowed and is expected to stall in Louisiana where it will ...</t>
  </si>
  <si>
    <t>https://www.pennlive.com/nation-world/2021/12/search-for-survivors-of-multi-state-tornado-outbreak-continues-i-pray-that-there-will-be-another-rescue.html</t>
  </si>
  <si>
    <t>Search for survivors of multi-state tornado outbreak continues: 'It'll be ...</t>
  </si>
  <si>
    <t>Dec 12, 2021 ... 12, 2021, 12:54 p.m. ... The tornado that carved the path of destruction in Kentucky touched down for more than 200 miles (320 kilometers) in the ...</t>
  </si>
  <si>
    <t>https://www.kentucky.com/news/state/kentucky/article256508126.html</t>
  </si>
  <si>
    <t>'Multiple fatalities' in Kentucky after tornado outbreak</t>
  </si>
  <si>
    <t>Dec 12, 2021 ... — U.S. Tornadoes (@USTornadoes) December 11, 2021. Strong to violent tornado has just moved through Earlington and Mortons Gap, Kentucky with ...</t>
  </si>
  <si>
    <t>https://www.washingtonpost.com/weather/2021/12/14/tornado-united-states-risk/</t>
  </si>
  <si>
    <t>Why the United States has the world's highest tornado risk</t>
  </si>
  <si>
    <t>Dec 14, 2021 ... Friday night's cataclysmic quad-state tornado outbreak reminds us of the ... southeast northward through the Mid-Atlantic. Recent trends ...</t>
  </si>
  <si>
    <t>https://www.nytimes.com/live/2021/12/11/us/tornadoes-midwest-south</t>
  </si>
  <si>
    <t>Tornadoes Leave Trail of Devastation Across Six States, With ...</t>
  </si>
  <si>
    <t>Dec 11, 2021 ... Follow our live coverage of the deadly tornado outbreak. Here's what we know: Officials said there were at least 70 deaths in Kentucky ...</t>
  </si>
  <si>
    <t>https://www.washingtonpost.com/climate-environment/2021/12/13/tornado-mayfield-kentucky-amazon/</t>
  </si>
  <si>
    <t>Tracking tornado deaths and damage by the numbers</t>
  </si>
  <si>
    <t>The record-breaking ... Jessica Hart and her son Gage Hart remove items from a home that was damaged by a tornado on December 12, 2021 in Mayfield, Kentucky ...</t>
  </si>
  <si>
    <t>https://www.washingtonpost.com/weather/2021/12/11/tornado-path-mayfield-kentucky-deaths/</t>
  </si>
  <si>
    <t>Quad-state tornado carves path of destruction - The Washington Post</t>
  </si>
  <si>
    <t>Dec 11, 2021 ... How Friday night's rare and deadly December tornado outbreak unfolded. December 11, 2021 ... United States during December. Kentucky Gov. Andy ...</t>
  </si>
  <si>
    <t>https://www.washingtonpost.com/weather/2021/12/12/december-tornadoes-quad-state-outbreak/</t>
  </si>
  <si>
    <t>The December quad-state tornado was exceptional</t>
  </si>
  <si>
    <t>Dec 12, 2021 ... The violence and longevity of the tornadic storm that crossed four states, from northeast Arkansas to western Kentucky, was unusual for ...</t>
  </si>
  <si>
    <t>https://www.cnn.com/2021/12/12/us/climate-change-tornado-disaster-risk</t>
  </si>
  <si>
    <t>Climate change: How the crisis is affecting tornadoes - CNN</t>
  </si>
  <si>
    <t>Dec 12, 2021 ... ... Dec 12, 2021, 2:39 PM ET. Updated Dec 13, 2021, 5:52 PM ET. PUBLISHED Dec 12, 2021, 2:39 PM ET. Mayfield Kentucky storm damage. Video Ad ...</t>
  </si>
  <si>
    <t>https://nwitimes.com/weather/article_cf8e2112-5f62-11ec-8bda-f3808fad784d.html</t>
  </si>
  <si>
    <t>Winter weather changing across the U.S. - NWI Times</t>
  </si>
  <si>
    <t>Dec 18, 2021 ... ... United States. Warmer temperatures are ... Dec 18, 2021 ... Photos: Clean-up, recovery efforts continue after multi-state tornado outbreak. Midwest ...</t>
  </si>
  <si>
    <t>https://www.detroitnews.com/story/business/2021/12/17/amazon-driver-texts-reveal-chaos-illinois-tornado-bore-down/8938483002/</t>
  </si>
  <si>
    <t>Amazon driver texts reveal chaos as Illinois tornado bore down</t>
  </si>
  <si>
    <t>Dec 17, 2021 ... Such training is increasingly important as large tornado outbreaks happen more frequently. ... in the state. Amazon's delivery station, completed ...</t>
  </si>
  <si>
    <t>https://www.washingtonpost.com/weather/2021/12/17/tornado-death-trends-mayfield-outbreak/</t>
  </si>
  <si>
    <t>Kentucky tornado death toll shows enduring danger</t>
  </si>
  <si>
    <t>Dec 17, 2021 ... ... tornado in U.S. history hit the Midwest nearly a century ago. While ... United States tornado deaths than last week's outbreak. Both of ...</t>
  </si>
  <si>
    <t>https://www.washingtonpost.com/weather/2021/12/16/historic-wind-storm-derecho-midwest/</t>
  </si>
  <si>
    <t>Unprecedented Midwest wind storm caps 2021's siege of extreme ...</t>
  </si>
  <si>
    <t>Dec 16, 2021 ... The wind storm came just five days after the devastating tornado outbreak in the ... The record-breaking tornadoes that swept the United States ...</t>
  </si>
  <si>
    <t>https://www.cnn.com/2021/12/22/us/top-climate-weather-stories-of-2021</t>
  </si>
  <si>
    <t>These are the top climate and weather stories of 2021 - CNN</t>
  </si>
  <si>
    <t>Dec 22, 2021 ... ... tornadoes tore through the Midwestern and Southeastern United States on December 12 and 13. ... outbreak is one of the most remarkable tornado ...</t>
  </si>
  <si>
    <t>https://www.usatoday.com/in-depth/graphics/2021/12/22/visual-look-2021-weather-by-the-numbers/6433264001/</t>
  </si>
  <si>
    <t>Weather disasters wreaked havoc in 2021. The numbers are alarming.</t>
  </si>
  <si>
    <t>Dec 22, 2021 ... 2021 was another catastrophic year for weather disasters across the United States. ... tornado outbreaks across the Midwest and South.</t>
  </si>
  <si>
    <t>https://www.washingtonpost.com/weather/2021/12/15/wind-storm-tornado-minnesota-iowa/</t>
  </si>
  <si>
    <t>Derecho, rare tornadoes strike Upper Midwest amid wind storm</t>
  </si>
  <si>
    <t>Dec 16, 2021 ... Historic wind storm slams central U.S., unleashes rare December tornadoes. Weather Service reports record numbers of hurricane-force wind gusts ...</t>
  </si>
  <si>
    <t>https://www.twincities.com/2021/12/20/dec-15-storms-across-north-central-us-classified-as-derecho/</t>
  </si>
  <si>
    <t>Dec. 15 storms that hit Minnesota classified as derecho</t>
  </si>
  <si>
    <t>Dec 20, 2021 ... (AP) — A line of severe thunderstorms and tornadoes that swept across the north-central U.S. last week was the result of a serial derecho — the ...</t>
  </si>
  <si>
    <t>https://www.bnd.com/news/local/article256635051.html</t>
  </si>
  <si>
    <t>Video timeline of the tornadoes that swept across Midwest</t>
  </si>
  <si>
    <t>Dec 15, 2021 ... Read more of the BND's stories following a tornado that killed six at an Amazon warehouse in Edwardsville on Dec. 10, 2021. Expand All ...</t>
  </si>
  <si>
    <t>https://www.mlive.com/weather/2021/12/strong-storm-recap-michigans-highest-gusts-tornadoes-and-heavy-snowfall.html</t>
  </si>
  <si>
    <t>Strong storm recap: Michigan's highest gusts, tornadoes and heavy ...</t>
  </si>
  <si>
    <t>Dec 16, 2021 ... The storm in the Midwest has produced some almost unbelievable ... storm Close look at where the tornadoes touched down December 15, 2021.</t>
  </si>
  <si>
    <t>https://www.jsonline.com/story/news/2021/12/16/power-outages-wisconsin-60-000-we-energies-customers-without-power/8922019002/</t>
  </si>
  <si>
    <t>Wisconsin wind storm damage: Power lines down, two tornadoes ...</t>
  </si>
  <si>
    <t>Dec 16, 2021 ... ... tornadoes have formed in the calendar year since recordkeeping began in the state. ... Midwest states. Across Nebraska, Iowa, Minnesota ...</t>
  </si>
  <si>
    <t>https://www.washingtonpost.com/nation/2021/12/16/power-outage-midwest-storms-tornado-derecho/</t>
  </si>
  <si>
    <t>At least 5 dead after tornadoes, storms blast through Great Plains ...</t>
  </si>
  <si>
    <t>Dec 16, 2021 ... ... Plains and Midwest. Updated December 17, 2021More than 4 years ago. Make us preferred on Google. Tornadoes and high winds hit central U.S.. 1:35 ...</t>
  </si>
  <si>
    <t>https://www.npr.org/2021/12/15/1064503324/the-midwest-tornadoes-climate-change-and-the-future-of-extreme-weather</t>
  </si>
  <si>
    <t>The Midwest Tornadoes, Climate Change, And The Future Of ... - NPR</t>
  </si>
  <si>
    <t>Dec 15, 2021 ... On Friday, deadly tornadoes tore through parts of the Midwest and the South. They touched down in Kentucky, Tennessee, Arkansas, Illinois, ...</t>
  </si>
  <si>
    <t>https://www.npr.org/2021/12/16/1064854932/wind-gusts-record-hurricane-force</t>
  </si>
  <si>
    <t>The U.S. set a new record for powerful wind gusts, with 55 in one day</t>
  </si>
  <si>
    <t>Dec 16, 2021 ... — NWS Storm Prediction Center (@NWSSPC) December 16, 2021 ... Communities launch cleanup after severe weather and tornadoes churn across Midwest.</t>
  </si>
  <si>
    <t>https://www.npr.org/2021/12/15/1064587755/extreme-winds-dust-storms-and-warm-temperatures-are-hitting-much-of-the-midwest</t>
  </si>
  <si>
    <t>Tornadoes, snow squalls, and high temps hit the Midwest in a wild ...</t>
  </si>
  <si>
    <t>Dec 15, 2021 ... Tornadoes, snow squalls, and high temps hit the Midwest in a wild winter storm. Updated December 16, 2021 ... The Wisconsin December state ...</t>
  </si>
  <si>
    <t>https://www.twincities.com/2021/12/16/at-least-5-dead-as-midwest-rocked-by-hurricane-force-winds/</t>
  </si>
  <si>
    <t>At least 5 dead as Midwest rocked by hurricane-force winds</t>
  </si>
  <si>
    <t>Dec 16, 2021 ... ... 2021, after a band of severe weather produced strong wind gusts and reports of tornadoes across much of the state Wednesday night. The storm ...</t>
  </si>
  <si>
    <t>https://www.usatoday.com/story/news/2021/12/16/flow-la-movie-plane-crash-jeff-garlin-midwest-storms-thursdays-news/8925494002/</t>
  </si>
  <si>
    <t>Flow La Movie plane crash, Jeff Garlin, Midwest storms - USA Today</t>
  </si>
  <si>
    <t>USA TODAY. Updated Dec. 16, 2021, 4:50 p.m. ET. Severe weather and tornadoes are battering the Midwest. The Jaguars have called it quits on Urban Meyer.</t>
  </si>
  <si>
    <t>https://www.usatoday.com/story/news/nation/2021/12/16/winds-power-outages-michgian-minnesota-wisconsin-illinois/8921497002/</t>
  </si>
  <si>
    <t>Midwest faces power outages after tornados, high winds, severe ...</t>
  </si>
  <si>
    <t>Dec 16, 2021 ... Historic winds battered parts of the Midwest on Thursday after severe weather ... in the state if confirmed, KARE-TV said. “To have this ...</t>
  </si>
  <si>
    <t>https://www.usatoday.com/picture-gallery/news/nation/2021/12/16/severe-windstorms-sweep-across-midwest/8921920002/</t>
  </si>
  <si>
    <t>Severe windstorms sweep across the Midwest - USA Today</t>
  </si>
  <si>
    <t>Dec 17, 2021 ... 16, 2021, after a band of severe weather produced strong wind gusts and reports of tornadoes across much of the state Wednesday night. The ...</t>
  </si>
  <si>
    <t>https://www.cjonline.com/story/news/2021/12/15/kansas-weather-high-wind-storms-hail-tornado-possible-dangerous-fire-conditions-wednesday/8906410002/</t>
  </si>
  <si>
    <t>Kansas begins to assess damage after windstorm, severe weather</t>
  </si>
  <si>
    <t>Dec. 15, 2021Updated Dec. 16, 2021, 1:38 p.m. CT ... Local counties say they are beginning to evaluate the extent of the storm damage from high winds.</t>
  </si>
  <si>
    <t>https://www.deseret.com/u-s-world/2021/7/30/22602139/whats-happening-with-wildfires-bootleg-oregon-dixie-california-tamrack-nevada/</t>
  </si>
  <si>
    <t>These 3 massive wildfires are still burning - Deseret News</t>
  </si>
  <si>
    <t>Jul 30, 2021 ... The wildfire remains the largest active blaze in the U.S. and the largest blaze in Oregon's modern history. In three weeks, the Bootleg fire has ...</t>
  </si>
  <si>
    <t>https://www.denverpost.com/2021/07/23/bootleg-fire-oregon-update/</t>
  </si>
  <si>
    <t>Western wildfires: Crews make progress on huge Oregon blaze</t>
  </si>
  <si>
    <t>Jul 23, 2021 ... Western wildfires: Crews make progress on huge Oregon blaze. The ... Trump's new conditions on DEI, immigration could cut off states' wildfire ...</t>
  </si>
  <si>
    <t>https://www.reviewjournal.com/news/nation-and-world/weather-helps-but-western-wildfires-grow-2404880/</t>
  </si>
  <si>
    <t>Weather helps, even as Western wildfires grow | Nation and World</t>
  </si>
  <si>
    <t>Jul 22, 2021 ... ... wildfire crossed into Nevada, prompting evacuations as blazes burn across the West. Weather helps, but Western wildfires grow.</t>
  </si>
  <si>
    <t>https://www.seattletimes.com/nation-world/nation/wildfire-smoke-harms-more-people-in-eastern-u-s-than-in-west-study-shows/</t>
  </si>
  <si>
    <t>Wildfire smoke harms more people in eastern U.S. than in West ...</t>
  </si>
  <si>
    <t>Oct 20, 2021 ... ... A thick haze hangs over Manhattan, New York, on July 20, 2021 ... Now, a recent study shows that smoke, from both Western wildfires ...</t>
  </si>
  <si>
    <t>https://www.npr.org/2021/07/24/1020207430/montana-wildfire-fight-draws-help-from-other-states-as-much-of-the-west-burns</t>
  </si>
  <si>
    <t>Montana Wildfire Fight Draws Help From Other States - NPR</t>
  </si>
  <si>
    <t>Jul 24, 2021 ... Wildfires Are Roaring In The West — But Not All Of Them Are Bad · The Western Wildfires Are Affecting People 3,000 Miles Away ... Back on Earth, ...</t>
  </si>
  <si>
    <t>https://www.cnn.com/2021/08/01/us/us-western-wildfires-sunday</t>
  </si>
  <si>
    <t>91 wildfires are now burning across the US, with Oregon's Bootleg ...</t>
  </si>
  <si>
    <t>Aug 1, 2021 ... The Dixie Fire burns through the night illuminating the smoke on July 31, 2021. Ty O'Neil/SOPA Images/Shutterstock.</t>
  </si>
  <si>
    <t>https://www.npr.org/2021/07/21/1018865569/the-western-wildfires-are-affecting-people-3-000-miles-away</t>
  </si>
  <si>
    <t>The Western Wildfires Are Affecting People 3000 Miles Away - NPR</t>
  </si>
  <si>
    <t>Jul 21, 2021 ... Smoke traveling from the Western wildfires is reaching all the way across the U.S., bringing vibrant red sunsets and moon glow to the East.</t>
  </si>
  <si>
    <t>https://www.washingtonpost.com/weather/2021/10/20/wildfire-smoke-deaths-eastern-us/</t>
  </si>
  <si>
    <t>Wildfire smoke harms more people in the eastern U.S. than West ...</t>
  </si>
  <si>
    <t>Oct 20, 2021 ... October 20, 2021More than 4 years ago. Make us preferred on Google ... Now, a recent study shows that smoke, from both western wildfires ...</t>
  </si>
  <si>
    <t>https://www.cnn.com/2021/07/31/weather/us-western-wildfires-saturday</t>
  </si>
  <si>
    <t>The two largest wildfires in the US have burned land nearly the size ...</t>
  </si>
  <si>
    <t>Jul 31, 2021 ... The Bootleg Fire – the nation's largest wildfire – is still raging in southern Oregon, burning 413,562 acres since igniting this month, ...</t>
  </si>
  <si>
    <t>https://www.denverpost.com/2022/01/18/us-50-billion-wildfire-fight-plan/</t>
  </si>
  <si>
    <t>U.S. plans $50B wildfire fight where forests meet suburbia</t>
  </si>
  <si>
    <t>Jan 18, 2022 ... “Our scorecard for fire should be about lives saved rather than acres that didn't burn,” he said. Dealing with western wildfires is becoming ...</t>
  </si>
  <si>
    <t>https://laist.com/news/climate-environment/dangerous-air-as-california-burns-america-breathes-toxic-smoke</t>
  </si>
  <si>
    <t>Dangerous Air: As California Burns, America Breathes Toxic Smoke</t>
  </si>
  <si>
    <t>Sep 28, 2021 ... Western wildfires pose a much broader threat to human health than to just those forced to evacuate the path of the blazes.</t>
  </si>
  <si>
    <t>https://www.cnn.com/2021/07/19/us/gallery/western-wildfires-2021</t>
  </si>
  <si>
    <t>In pictures: Wildfires raging in the West - CNN</t>
  </si>
  <si>
    <t>Jul 19, 2021 ... The nation's largest wildfire, the Dixie Fire, has been burning for months in Northern California, where thousands were forced to evacuate, ...</t>
  </si>
  <si>
    <t>https://www.cnn.com/2021/07/26/weather/us-western-wildfires-monday</t>
  </si>
  <si>
    <t>Montana issues air quality warning due to wildfire smoke - CNN</t>
  </si>
  <si>
    <t>Jul 26, 2021 ... Smoke from the Western wildfires has prompted officials in Montana ... This year, 36,467 fires have burned a total of 2,770,454 acres across the ...</t>
  </si>
  <si>
    <t>https://www.cnn.com/2021/08/27/weather/us-western-wildfires-friday</t>
  </si>
  <si>
    <t>Caldor Fire: More than 41000 people are under evacuation orders in ...</t>
  </si>
  <si>
    <t>Aug 27, 2021 ... Weather conditions in California for the next few days could be dangerous for fire activity, officials say, potentially making the state's ...</t>
  </si>
  <si>
    <t>https://www.cnn.com/2021/08/15/weather/us-western-wildfires-sunday</t>
  </si>
  <si>
    <t>Utah wildfire forces thousands of homes to evacuate as the ... - CNN</t>
  </si>
  <si>
    <t>Aug 15, 2021 ... PUBLISHED Aug 15, 2021, 6:36 AM ET. The Parley's ...</t>
  </si>
  <si>
    <t>https://www.latimes.com/california/story/2021-06-26/drought-wildfire-conditions-evolving-at-unprecedented-pace</t>
  </si>
  <si>
    <t>California's drought and wildfire dangers rising at stunning pace</t>
  </si>
  <si>
    <t>Jun 26, 2021 ... The current drought, which blankets the entire state and a broad swath of the western United States, according to the U.S. Drought Monitor, is ...</t>
  </si>
  <si>
    <t>https://www.adn.com/nation-world/2021/08/14/western-fires-threaten-thousands-of-homes-strain-resources/</t>
  </si>
  <si>
    <t>Western fires threaten thousands of homes, strain resources ...</t>
  </si>
  <si>
    <t>Aug 14, 2021 ... They were among more than 100 large wildfires burning in a dozen Western states ... 13, 2021 ... wildfires continue to break out across the U.S. ...</t>
  </si>
  <si>
    <t>https://bendbulletin.com/2022/01/07/wildfire-smoke-an-increasing-problem-in-central-oregon/</t>
  </si>
  <si>
    <t>Wildfire smoke an increasing problem in Central Oregon | The Bulletin</t>
  </si>
  <si>
    <t>Jan 7, 2022 ... Travelers are shrouded in smoke as they drive along U.S. Highway 97 through Bend in September 2021. Smoke from wildfires returned to Bend in a ...</t>
  </si>
  <si>
    <t>https://bendbulletin.com/2021/08/18/wildfire-destroyed-an-oregon-community-center-but-the-cleanup-uncovered-a-time-capsule/</t>
  </si>
  <si>
    <t>Wildfire destroyed an Oregon community center, but the cleanup ...</t>
  </si>
  <si>
    <t>Aug 18, 2021 ... Wilson, a handful of his neighbors, and about a dozen workers with the state ... of the wildfire. “It's alright, we've had ... 2021. This time, they ...</t>
  </si>
  <si>
    <t>https://www.marinij.com/2021/07/28/california-nevada-governors-tour-site-of-huge-wildfire/</t>
  </si>
  <si>
    <t>California, Nevada governors tour site of huge wildfire – Marin ...</t>
  </si>
  <si>
    <t>Jul 28, 2021 ... ... West, Tuesday, July 27, 2021, in Indiana Dunes State Park, in Indiana. Wildfires in the American West, including one burning in Oregon ...</t>
  </si>
  <si>
    <t>https://www.mendocinobeacon.com/2021/06/03/map-what-parts-of-california-are-at-highest-wildfire-risk-this-summer/</t>
  </si>
  <si>
    <t>Map: What parts of California are at highest wildfire risk this summer ...</t>
  </si>
  <si>
    <t>Jun 3, 2021 ... PUBLISHED: June 3, 2021 ... West this century, the report says, citing the U.S. Drought Monitor. ... Cameras that are part of ALERTCalifornia scan ...</t>
  </si>
  <si>
    <t>https://www.npr.org/2021/08/31/1029821831/to-stop-extreme-wildfires-california-is-learning-from-florida</t>
  </si>
  <si>
    <t>Why The South Is Decades Ahead Of The West In Wildfire Prevention</t>
  </si>
  <si>
    <t>Aug 31, 2021 ... It happened in the state leading the nation in controlled burns: Florida. As Western states contend with increasingly catastrophic wildfires ...</t>
  </si>
  <si>
    <t>https://www.nytimes.com/interactive/2021/07/21/climate/wildfire-smoke-map.html</t>
  </si>
  <si>
    <t>See How Wildfire Smoke Spread Across America</t>
  </si>
  <si>
    <t>Jul 21, 2021 ... Smoke from wildfires in the Western United States and Canada covered skies in a thick haze on Tuesday and triggered air quality alerts from ...</t>
  </si>
  <si>
    <t>https://www.washingtonpost.com/weather/2021/07/13/wildfire-smoke-western-states-canada/</t>
  </si>
  <si>
    <t>Wildfire smoke clogging skies in Western U.S., Canada</t>
  </si>
  <si>
    <t>Jul 13, 2021 ... The smoke is compromising air quality near the source of fires while it casts an eerie haze at greater distances. July 13, 2021More than 4 ...</t>
  </si>
  <si>
    <t>https://www.cnn.com/2021/07/21/weather/us-western-wildfires-wednesday</t>
  </si>
  <si>
    <t>Western wildfire smoke is contributing to New York City's worst air ...</t>
  </si>
  <si>
    <t>Jul 21, 2021 ... In the West, the fires have caused power outages, destroyed ... State Fire Marshal Mariana Ruiz-Temple said Tuesday. The Alisal Fire ...</t>
  </si>
  <si>
    <t>https://www.deseret.com/utah/2021/12/20/22846632/drought-utah-west-salt-lake-city-colorado-river-lake-powell-lake-mead-weather-water-conservation-dry/</t>
  </si>
  <si>
    <t>The pain of the West-wide drought in 2021 - Deseret News</t>
  </si>
  <si>
    <t>Dec 20, 2021 ... Spencer Cox declared a state of emergency, putting out the plea for all water users to cut back and cut back severely. Nearly all of Utah, about ...</t>
  </si>
  <si>
    <t>https://www.deseret.com/2021/8/26/22634297/how-bad-is-the-drought-wildfires-conservation-agriculture-farmers-lake-powell-lake-mead/</t>
  </si>
  <si>
    <t>Anatomy of a drought: How the West may change for decades to come</t>
  </si>
  <si>
    <t>Aug 26, 2021 ... ... state, and water managers are scrambling. Drought is gripping 17 states in 95% of the service area of the U.S. Bureau of Reclamation, and ...</t>
  </si>
  <si>
    <t>https://www.journal-advocate.com/2021/01/21/half-of-u-s-is-in-trouble-as-drought-conditions-persist-experts-say/</t>
  </si>
  <si>
    <t>Half of U.S. is in trouble as drought conditions persist, experts say ...</t>
  </si>
  <si>
    <t>Jan 21, 2021 ... ... 2021 at 9:43 AM MST. Getting your Trinity Audio player ready... Drought conditions in Colorado and across the western United States aren't ...</t>
  </si>
  <si>
    <t>https://www.latimes.com/world-nation/story/2021-06-19/western-united-states-drought</t>
  </si>
  <si>
    <t>Western U.S. drought: What you need to know - Los Angeles Times</t>
  </si>
  <si>
    <t>Jun 19, 2021 ... Almost half of the U.S. has been in a drought since the start of 2021. Compounding factors, including low rainfall and snowpack, climate ...</t>
  </si>
  <si>
    <t>https://www.latimes.com/california/story/2021-06-12/california-heat-wave-heightens-drought-and-fire-fears</t>
  </si>
  <si>
    <t>California heat wave heightens drought and fire fears - LA Times</t>
  </si>
  <si>
    <t>Jun 12, 2021 ... June 11, 2021. The West has always been dry, but recent years have been some of the worst ...</t>
  </si>
  <si>
    <t>https://www.ocregister.com/2021/08/17/water-supply-alert-issued-for-southern-california-in-response-to-drought/</t>
  </si>
  <si>
    <t>'Water supply alert' issued for Southern California in response to ...</t>
  </si>
  <si>
    <t>Aug 17, 2021 ... ... 2021 in Lake Powell, Utah. As severe drought grips parts ... Record drought in Western U.S. means elevated fire risk in Southern California ...</t>
  </si>
  <si>
    <t>https://www.mendocinobeacon.com/2021/06/23/water-shortages-why-some-californians-are-running-out-in-2021-and-others-arent/</t>
  </si>
  <si>
    <t>Water shortages: Why some Californians are running out in 2021 ...</t>
  </si>
  <si>
    <t>Jun 23, 2021 ... “The speed with which the western drought is accelerating and worsening makes it urgent that the governors of the western states declare ...</t>
  </si>
  <si>
    <t>https://www.marinij.com/2021/04/21/newsom-declares-drought-emergency-in-2-north-coast-counties/</t>
  </si>
  <si>
    <t>Newsom declares drought emergency in 2 north coast counties</t>
  </si>
  <si>
    <t>Apr 21, 2021 ... ... of the last major drought from 2012 to 2016. Newsom noted that three-quarters of the western United States are in what is called a megadrought.</t>
  </si>
  <si>
    <t>https://www.marinij.com/2021/05/19/video-see-how-drought-is-spreading-across-california-and-the-west/?noamp=mobile</t>
  </si>
  <si>
    <t>Video: See how drought is spreading across California and the West ...</t>
  </si>
  <si>
    <t>May 19, 2021 ... Maps show state's drought conditions unfolding in color animation. ... PUBLISHED: May 19, 2021 ... But now 100% of the state is in some level ...</t>
  </si>
  <si>
    <t>https://www.marinij.com/2021/07/09/marin-county-drought-tracker-july-9-2021/</t>
  </si>
  <si>
    <t>Marin County Drought Tracker: July 9, 2021</t>
  </si>
  <si>
    <t>Jul 9, 2021 ... ... of the drought stricken Nicasio Reservoir in Nicasio, Calif. ... West Marin water conservation as of July 4 ... FILE – Maine Secretary of State ...</t>
  </si>
  <si>
    <t>https://www.nytimes.com/2021/08/19/climate/western-drought-forecast-noaa.html</t>
  </si>
  <si>
    <t>Western Drought Will Last Into Fall or Longer - The New York Times</t>
  </si>
  <si>
    <t>Aug 25, 2021 ... 19, 2021Updated Aug. 25, 2021. See more of our ... The severe drought that has gripped much of the western half of the United States ...</t>
  </si>
  <si>
    <t>https://www.npr.org/2021/06/09/1003424717/the-drought-in-the-western-u-s-is-getting-bad-climate-change-is-making-it-worse</t>
  </si>
  <si>
    <t>The Drought In The Western U.S. Is Getting Bad. Climate Change Is ...</t>
  </si>
  <si>
    <t>Jun 9, 2021 ... A record dry year is creating extreme drought in the West. But even if it rains, climate change will continue to shrink the water supply for ...</t>
  </si>
  <si>
    <t>https://www.nytimes.com/interactive/2021/06/11/climate/california-western-drought-map.html</t>
  </si>
  <si>
    <t>How Severe Is the Western Drought? See For Yourself.</t>
  </si>
  <si>
    <t>Jun 11, 2021 ... ... U.S. Drought Monitor, the government's official drought-tracking service. ... western states got less precipitation than usual this winter, too.</t>
  </si>
  <si>
    <t>https://www.nytimes.com/2021/05/19/climate/drought.html</t>
  </si>
  <si>
    <t>Severe Drought, Worsened by Climate Change, Ravages the ...</t>
  </si>
  <si>
    <t>Sep 24, 2021 ... Severe drought — largely connected to climate change — is ravaging not only New Mexico but the entire Western half of the United States ...</t>
  </si>
  <si>
    <t>https://www.nytimes.com/2021/08/25/us/drought.html</t>
  </si>
  <si>
    <t>Drought Conditions Worsen in Plains and Upper Midwest</t>
  </si>
  <si>
    <t>Aug 25, 2021 ... U.S.|The Plains and Upper Midwest are growing drier as drought deepens in the West. https://www.nytimes.com/2021/08/25/us/drought.html. Share ...</t>
  </si>
  <si>
    <t>https://www.denverpost.com/2021/07/11/us-west-heat-wave-wildfires/</t>
  </si>
  <si>
    <t>Fires rage in several states as heat wave broils U.S. West</t>
  </si>
  <si>
    <t>Jul 11, 2021 ... Fires rage in several states as heat wave broils U.S. West. Share ... 2021. Pushed by heavy winds amid a heat wave, the fire came out of ...</t>
  </si>
  <si>
    <t>https://elkodaily.com/collection_c293cccf-d554-5a72-aa63-6969181dabcd.html</t>
  </si>
  <si>
    <t>Data: Charting heat, drought and wildfires across the US</t>
  </si>
  <si>
    <t>Jul 3, 2021 ... Heat wave rolls across US West; wildfires rage in several states · Californians could see mandatory water cuts amid drought · Sites &amp; Partners.</t>
  </si>
  <si>
    <t>https://www.dailynews.com/2021/06/26/dangerous-western-heat-wave-to-stretch-into-southern-california/</t>
  </si>
  <si>
    <t>Dangerous western heat wave to stretch into Southern California</t>
  </si>
  <si>
    <t>Jun 26, 2021 ... ... 2021 at 12:02 PM PDT | UPDATED: June 26, 2021 at 5:37 PM PDT ... A “dangerous and record-breaking heat wave” in the Western U.S. will ...</t>
  </si>
  <si>
    <t>https://www.nytimes.com/2021/07/09/climate/marine-heat-wave.html</t>
  </si>
  <si>
    <t>Heat Wave Killed Marine Wildlife en Masse - The New York Times</t>
  </si>
  <si>
    <t>Jul 10, 2021 ... https://www.nytimes.com/2021/07/09/climate/marine-heat-wave.html ... The combination of extraordinary heat and drought that hit the Western United ...</t>
  </si>
  <si>
    <t>https://www.washingtonpost.com/weather/2021/07/14/western-heat-wave-rockies/</t>
  </si>
  <si>
    <t>Another major heat wave is set to roast the western U.S. and Canada</t>
  </si>
  <si>
    <t>Jul 15, 2021 ... The fourth punishing heat wave in five weeks could break more records into early next week, this time focusing in the Rocky Mountains.</t>
  </si>
  <si>
    <t>https://www.washingtonpost.com/weather/2021/07/06/california-west-heat-wave/</t>
  </si>
  <si>
    <t>Another intense heat wave to roast Western U.S., southwest Canada</t>
  </si>
  <si>
    <t>Jul 6, 2021 ... Another intense heat wave to roast Western U.S., southwest Canada · A 600dm ridge (recently called a "heat dome" in the media) is beginning to ...</t>
  </si>
  <si>
    <t>https://www.washingtonpost.com/weather/2021/06/17/heat-wave-southwest-fires-drought/</t>
  </si>
  <si>
    <t>Heat wave peaking in Southwest, breaking hundreds of records</t>
  </si>
  <si>
    <t>Jun 17, 2021 ... One of the most extreme heat waves ever observed in the western United States this early in the season is near its climax. ... Scorching heat wave ...</t>
  </si>
  <si>
    <t>https://www.nytimes.com/2021/07/19/us/montana-idaho-heat-wave.html</t>
  </si>
  <si>
    <t>Heat Wave Bakes the Northern Rockies - The New York Times</t>
  </si>
  <si>
    <t>Jul 19, 2021 ... A summer of unrelenting heat in the western United States and ... It was the fourth major heat wave to afflict parts of the West since ...</t>
  </si>
  <si>
    <t>https://elkodaily.com/news/national/article_f0deae4b-a202-5403-a131-44beeea11102.html</t>
  </si>
  <si>
    <t>Global sizzling: July was hottest month on record, NOAA says</t>
  </si>
  <si>
    <t>Aug 13, 2021 ... ... of the Parana River during a drought in Rosario, Argentina. ... heat wave left forests tinder-dry and flames ... United States of America, US Virgin ...</t>
  </si>
  <si>
    <t>https://elkodaily.com/news/national/article_5eaf5ca0-467b-5874-aacd-bc00edaf9996.html</t>
  </si>
  <si>
    <t>'Nowhere to run': 5 takeaways from the UN report on climate change ...</t>
  </si>
  <si>
    <t>Aug 9, 2021 ... ... of the Parana River during a drought in Rosario, Argentina. ... heat wave left forests tinder-dry and flames ... United States of America, US Virgin ...</t>
  </si>
  <si>
    <t>https://bendbulletin.com/2021/11/23/recent-rains-help-but-central-oregon-drought-still-far-from-over/</t>
  </si>
  <si>
    <t>Recent rains help, but Central Oregon drought still far from over</t>
  </si>
  <si>
    <t>Nov 23, 2021 ... The drought is a microcosm of what is happening as climate impacts communities across the Western United States. ... heat wave but because the ...</t>
  </si>
  <si>
    <t>https://eastoregonian.com/2021/10/06/drought-year-brings-meager-wheat-harvest-in-eastern-oregon/</t>
  </si>
  <si>
    <t>Drought year brings meager wheat harvest in Eastern Oregon</t>
  </si>
  <si>
    <t>Oct 6, 2021 ... The farm produced a harvest of 60-70% of average in the wake of this summer's heat wave and drought. The U.S. Department of Agriculture in ...</t>
  </si>
  <si>
    <t>https://www.latimes.com/california/story/2021-09-10/record-heat-approaches-dust-bowl-levels-how-it-is-changing-life-in-california</t>
  </si>
  <si>
    <t>Record California heat fuels drought, wildfires, alerts - LA Times</t>
  </si>
  <si>
    <t>Sep 10, 2021 ... A record 18.4% of the contiguous United States experienced record-warm temperatures. ... A heat wave that blanketed the Pacific Northwest in June ...</t>
  </si>
  <si>
    <t>https://www.seattletimes.com/seattle-news/landmark-climate-report-promises-massive-effects-for-western-u-s-seattle/</t>
  </si>
  <si>
    <t>Shrinking glaciers, extreme heat waves, worsening droughts</t>
  </si>
  <si>
    <t>Aug 9, 2021 ... ... in the wake of a record-breaking heat wave in late June. “Heat is ... of the world, including across the Western United States. “The ...</t>
  </si>
  <si>
    <t>https://www.washingtonpost.com/weather/2022/03/31/severe-storms-east-south-tornadoes/</t>
  </si>
  <si>
    <t>Storm threat shifts to East Coast after deadly tornadoes hit the South</t>
  </si>
  <si>
    <t>Mar 31, 2022 ... The Eastern United States was under cloud cover Thursday ... Mississippi was at the epicenter of the outbreak: Tornado warnings ...</t>
  </si>
  <si>
    <t>https://transcripts.cnn.com/show/cnr?start_fileid=cnr_2022-03-31_08</t>
  </si>
  <si>
    <t>Mar 31, 2022 ... ... Tornado Outbreak Possible in Southern U.S. Today; At Least Five Dead in Shooting Near Tel Aviv; FDA Authorizes Second Booster Shot for ...</t>
  </si>
  <si>
    <t>https://www.usatoday.com/story/news/nation/2022/03/30/severe-storms-weather-south-tornado/7216789001/</t>
  </si>
  <si>
    <t>Severe storms slam Southern states as possible tornado hits Arkansas</t>
  </si>
  <si>
    <t>Mar 31, 2022 ... A wind-fueled Tennessee wildfire and a tornado that injured at least seven people in Arkansas were part of a violent day of weather across ...</t>
  </si>
  <si>
    <t>https://dailyleader.com/2022/03/31/severe-storms-pummel-south-killing-at-least-2-in-florida/</t>
  </si>
  <si>
    <t>Severe storms pummel South killing at least 2 in Florida | Daily Leader</t>
  </si>
  <si>
    <t>Mar 31, 2022 ... The worst of the weather Thursday morning appeared to be at the southern ... severe weather blew through during a tornado warning Wednesday ...</t>
  </si>
  <si>
    <t>https://www.washingtonpost.com/weather/2022/04/06/tornado-outbreak-southeast-severe/</t>
  </si>
  <si>
    <t>big storms slam Southeast Wednesday after Tuesday's tornadoes</t>
  </si>
  <si>
    <t>Apr 6, 2022 ... After a regional outbreak of tornadoes in the Southeast on Tuesday, many of the ... 2022 generated most March tornadoes on record in U.S. ...</t>
  </si>
  <si>
    <t>https://www.washingtonpost.com/weather/2022/04/05/severe-thunderstorms-tornadoes-south-southeast/</t>
  </si>
  <si>
    <t>Deadly storms tear across Southeast, unleash damaging tornadoes</t>
  </si>
  <si>
    <t>Apr 5, 2022 ... 2022 generated most March tornadoes on record in U.S.. The zones most at risk for additional storms on Wednesday and Thursday, as well as early ...</t>
  </si>
  <si>
    <t>https://www.washingtonpost.com/weather/2022/04/04/severe-thunderstorms-tornadoes-texas-south/</t>
  </si>
  <si>
    <t>Severe thunderstorm, tornado threats return to Texas, Deep South</t>
  </si>
  <si>
    <t>Apr 4, 2022 ... The risk of severe weather, focusing on Texas and Louisiana on Monday, will gradually shift into the Southeast by midweek. April 4, 2022More ...</t>
  </si>
  <si>
    <t>https://www.nytimes.com/2022/04/05/us/severe-weather-forecast-south.html</t>
  </si>
  <si>
    <t>Severe Weather in the South: Here's What to Know</t>
  </si>
  <si>
    <t>Apr 5, 2022 ... ... Southeast and tornadoes again a possibility. Birmingham, Ala., Chattanooga, Tenn., and Atlanta will be under enhanced risk of severe storms ...</t>
  </si>
  <si>
    <t>https://www.washingtonpost.com/weather/2022/04/05/march-2022-tornado-record-us/</t>
  </si>
  <si>
    <t>2022 generated most March tornadoes on record in U.S.</t>
  </si>
  <si>
    <t>Apr 5, 2022 ... But these higher numbers may reflect improved storm detection. April 5, 2022 ... tornadoes across the Southeast. Along the southern edge of the ...</t>
  </si>
  <si>
    <t>https://www.cnn.com/2022/04/06/weather/severe-weather-south-wednesday</t>
  </si>
  <si>
    <t>Severe weather slams the Southeast again after earlier storms killed ...</t>
  </si>
  <si>
    <t>Apr 6, 2022 ... The severe weather comes after parts of the South dealt with a series of storms that killed at least two people. Dozens of tornado reports were ...</t>
  </si>
  <si>
    <t>https://www.cnn.com/2022/04/07/weather/severe-weather-south-thursday</t>
  </si>
  <si>
    <t>After rounds of tornadoes across the South, storm threatens North ...</t>
  </si>
  <si>
    <t>Apr 7, 2022 ... Severe weather slams the Southeast again after earlier storms killed at least 2 ... states. “Strong to severe thunderstorms are possible on ...</t>
  </si>
  <si>
    <t>https://www.usatoday.com/story/news/nation/2022/04/11/severe-weather-plains-central-united-states-blizzard-tornadoes-fires/7276241001/</t>
  </si>
  <si>
    <t>Severe thunderstorms forecast in Oklahoma, Texas; Blizzard in Plains</t>
  </si>
  <si>
    <t>Blizzard, fires, thunderstorms and tornadoes: 18 states could see severe weather this week. Portrait of Doyle Rice Doyle Rice. USA TODAY. April 11, 2022 ...</t>
  </si>
  <si>
    <t>https://www.washingtonpost.com/weather/2022/04/13/severe-weather-tornado-outbreak/</t>
  </si>
  <si>
    <t>Major severe weather, tornadoes to peak Wednesday across central ...</t>
  </si>
  <si>
    <t>... United States and Mississippi Valley. The National Weather ... Jim Tang (@wxmann) April 13, 2022. Storms on Monday dropped softball-size hail and a few ...</t>
  </si>
  <si>
    <t>https://www.washingtonpost.com/weather/2022/04/12/blizzard-tornado-severe-fire/</t>
  </si>
  <si>
    <t>Tornadoes touch down in Iowa and Texas; blizzard is underway in ...</t>
  </si>
  <si>
    <t>Apr 12, 2022 ... Parts of the central United States have dealt with dangerous ... hail and tornadoes. A strong tornado or two are possible, given the ...</t>
  </si>
  <si>
    <t>https://www.cnn.com/2022/04/12/weather/severe-storms-forecast-iowa-texas-dakotas</t>
  </si>
  <si>
    <t>Storm dumps snow that shuts down highway for 500 miles ... - CNN</t>
  </si>
  <si>
    <t>Apr 12, 2022 ... ... states – including southern Minnesota – bracing Tuesday for the possibility of tornadoes ... of the hazard, wind, tornado, hail, pose ...</t>
  </si>
  <si>
    <t>https://www.usatoday.com/story/news/nation/2022/04/14/storms-possible-tornadoes-kentucky-indiana/7315938001/</t>
  </si>
  <si>
    <t>Storms, possible tornadoes slam Kentucky, Indiana - USA Today</t>
  </si>
  <si>
    <t>Updated April 14, 2022, 11:54 a.m. ET. Kentucky and Indiana residents were recovering Thursday ... southern and central U.S. this week, producing softball ...</t>
  </si>
  <si>
    <t>https://www.washingtonpost.com/weather/2022/05/02/severe-storms-tornadoes-central-plains/</t>
  </si>
  <si>
    <t>Plains brace for severe storms, tornadoes on multiple days this week</t>
  </si>
  <si>
    <t>May 2, 2022 ... ... severe weather across the central United States, with large hail ... of the Ohio River in western Kentucky, southern Indiana and southern Illinois ...</t>
  </si>
  <si>
    <t>https://www.washingtonpost.com/weather/2022/05/06/storms-tornadoes-southeast-midatlantic-flooding/</t>
  </si>
  <si>
    <t>Severe storms, tornadoes possible in Southeast, Mid-Atlantic today</t>
  </si>
  <si>
    <t>May 6, 2022 ... ... of the Central United States, is rolling eastward. ... Thereafter, a general uptick in severe weather over the Plains is probably in the ...</t>
  </si>
  <si>
    <t>https://www.washingtonpost.com/weather/2022/05/04/plains-tornadoes-flash-flooding-storms/</t>
  </si>
  <si>
    <t>Tornadoes and flash flooding threaten southern Plains Wednesday</t>
  </si>
  <si>
    <t>May 4, 2022 ... Amid an exceptionally active period of severe weather in the Central U.S., the zone from northern Texas to southwest Missouri faces a ...</t>
  </si>
  <si>
    <t>https://www.usatoday.com/story/news/nation/2022/05/02/severe-storms-tornadoes-southern-central-us/9615603002/</t>
  </si>
  <si>
    <t>Severe storms, tornadoes to lash southern, central US this week</t>
  </si>
  <si>
    <t>May 3, 2022 ... ... southern U.S. this week. Kansas, Oklahoma could see tornadoes, large hail ... A house destroyed by a tornado on April 29, 2022, seen on April 30.</t>
  </si>
  <si>
    <t>https://www.nytimes.com/2022/05/05/us/severe-weather-forecast-south-midwest.html</t>
  </si>
  <si>
    <t>Millions in Southeast Under Threat of Severe Weather</t>
  </si>
  <si>
    <t>May 5, 2022 ... ... of the weekend could bring damaging winds, hail and tornadoes ... Springtime storms brought tornadoes, floods and hail to states across the South ...</t>
  </si>
  <si>
    <t>https://www.washingtonpost.com/weather/2022/05/05/tornadoes-flooding-plains-oklahoma-arkansas/</t>
  </si>
  <si>
    <t>Tornadoes, flooding hit southern Plains as storm threat shifts east</t>
  </si>
  <si>
    <t>May 5, 2022 ... In Texas, meanwhile, tornadoes danced in the Red River Valley and southern Panhandle for much of the afternoon. ... hail and a few tornadoes are ...</t>
  </si>
  <si>
    <t>https://www.mprnews.org/story/2022/05/19/thursday-severe-weather-risk-cool-and-mostly-dry-this-weekend</t>
  </si>
  <si>
    <t>Thursday severe weather risk; cool and mostly dry this weekend</t>
  </si>
  <si>
    <t>May 19, 2022 ... May 19, 2022 12:02 PM. Thursday severe weather risk; cool and mostly dry this weekend. Weekend lows in the 30s for northern Minnesota. Go ...</t>
  </si>
  <si>
    <t>https://www.washingtonpost.com/weather/2022/05/12/record-heat-storms-midwest-minneapolis/</t>
  </si>
  <si>
    <t>Record heat fueling violent storms in central U.S.</t>
  </si>
  <si>
    <t>May 12, 2022 ... ... hail and a few tornadoes in the region. Tens of thousands lost power ... in the James River Valley of eastern North Dakota and South Dakota.</t>
  </si>
  <si>
    <t>https://www.jsonline.com/story/news/local/wisconsin/2022/06/12/central-southern-wisconsin-could-see-severe-storms-tornadoes-monday/7604631001/</t>
  </si>
  <si>
    <t>Central and southern Wisconsin could see severe storms Monday</t>
  </si>
  <si>
    <t>Central and southern Wisconsin could see severe storms Monday; Milwaukee placed under 'enhanced' risk; high winds, tornadoes, hail possible. Hannah Kirby Joe Taschler. Milwaukee Journal Sentinel. June 12, 2022Updated June 13, 2022, 3:04 p.m. CT. The Milwaukee ...</t>
  </si>
  <si>
    <t>https://www.washingtonpost.com/climate-environment/2022/06/08/severe-thunderstorms-midwest-east/</t>
  </si>
  <si>
    <t>Over 90 million people face severe storm risk in Lower 48 on ...</t>
  </si>
  <si>
    <t>Jun 8, 2022 ... ... United States, with chances of strong winds, hail and even a few tornadoes accompanying the heftier storm cells. The National Weather ...</t>
  </si>
  <si>
    <t>https://www.washingtonpost.com/climate-environment/2022/06/09/ohio-tornadoes-maryland-flooding-halsey/</t>
  </si>
  <si>
    <t>Severe storms trigger flooding in Maryland, tornadoes in Ohio</t>
  </si>
  <si>
    <t>Jun 9, 2022 ... Several tornadoes touched down in the Buckeye State, according to ... hail are possible. Parts of the Plains also face an elevated ...</t>
  </si>
  <si>
    <t>https://www.usatoday.com/story/news/nation/2022/06/14/heat-wave-severe-storms-impact-parts-us-tuesday/7620233001/</t>
  </si>
  <si>
    <t>Heat wave, severe storms impact parts of the US on Tuesday</t>
  </si>
  <si>
    <t>Updated June 14, 2022, 5:07 p.m. ET. Thunderstorms, strong winds and large hail could impact ... Severe weather already left its mark on parts of the U.S. ...</t>
  </si>
  <si>
    <t>https://www.washingtonpost.com/weather/2022/07/25/dc-storms-severe-md-va/</t>
  </si>
  <si>
    <t>Severe thunderstorm watch discontinued for D.C. area as storms exit</t>
  </si>
  <si>
    <t>Jul 25, 2022 ... ... 2022. These storms will continue pushing east and southeast over the ... north and east until 4:30 p.m.. Severe Thunderstorm Warning ...</t>
  </si>
  <si>
    <t>https://www.ky3.com/2022/08/12/kentucky-flooding-death-toll-rises-fema-faces-criticism-aid-response/</t>
  </si>
  <si>
    <t>Kentucky flooding death toll rises; FEMA faces criticism for aid ... - KY3</t>
  </si>
  <si>
    <t>Aug 12, 2022 ... As recovery efforts continue, state leaders are calling out the Federal Emergency Management Agency after they said a “steady stream of ...</t>
  </si>
  <si>
    <t>https://www.tuscaloosanews.com/story/news/nation/2022/07/28/eastern-kentucky-flooding-power-outages/10171776002/</t>
  </si>
  <si>
    <t>Flooding in Kentucky causes 8 deaths, widespread damage</t>
  </si>
  <si>
    <t>Jul 29, 2022 ... Andy Beshear said he expects deaths to rise into the double digits, calling it one of "the worst, most devastating flooding events" in state ...</t>
  </si>
  <si>
    <t>https://www.npr.org/2022/07/29/1114417118/because-of-climate-change-inland-flooding-is-becoming-more-common</t>
  </si>
  <si>
    <t>Because of climate change, inland flooding is becoming more ... - NPR</t>
  </si>
  <si>
    <t>Jul 29, 2022 ... The floods in Missouri and Kentucky this week were both caused by extreme rainfall ... So heavy rain has increased all over the U.S. And in the ...</t>
  </si>
  <si>
    <t>https://www.nytimes.com/2022/08/05/climate/kentucky-floods.html</t>
  </si>
  <si>
    <t>How floods become human catastrophes - The New York Times</t>
  </si>
  <si>
    <t>Aug 5, 2022 ... ... States, a climate hazard can quickly become a catastrophe for the most vulnerable. Consider the latest floods in Kentucky, Missouri and Illinois ...</t>
  </si>
  <si>
    <t>https://www.washingtonpost.com/climate-environment/2022/07/29/kentucky-stlouis-flood-climate-explainer/</t>
  </si>
  <si>
    <t>St. Louis and Kentucky floods: How climate change intensified them</t>
  </si>
  <si>
    <t>Jul 29, 2022 ... How two 1-in-1,000-year rain events hit the U.S. in two days. The same dangerous atmospheric setup — intensified by climate change — spurred the ...</t>
  </si>
  <si>
    <t>https://www.nytimes.com/2022/08/01/us/kentucky-flooding-rain.html</t>
  </si>
  <si>
    <t>Death Toll in Kentucky Rises to 37, With More Flooding Expected</t>
  </si>
  <si>
    <t>Aug 1, 2022 ... https://www.nytimes.com/2022/08/01/us/kentucky-flooding-rain.html ... Forecasters said a cold front would drift over the eastern part of the state ...</t>
  </si>
  <si>
    <t>https://www.npr.org/2022/07/30/1114697018/rescue-efforts-continue-in-kentucky-after-floods-hit-the-state</t>
  </si>
  <si>
    <t>Rescue efforts continue in Kentucky after floods hit the state - NPR</t>
  </si>
  <si>
    <t>Jul 30, 2022 ... STAN INGOLD, BYLINE: Thanks for having me. SIMON: Of course, the area's been declared a major disaster. What can you tell us about the damage ...</t>
  </si>
  <si>
    <t>https://www.npr.org/2022/07/28/1114256008/rain-flooding-appalachia</t>
  </si>
  <si>
    <t>At least 16 people are dead after torrential rains flood Appalachia</t>
  </si>
  <si>
    <t>Jul 28, 2022 ... ... of the outages in Kentucky. Beshear said portions of at least 28 state roads in Kentucky are blocked due to flooding or mudslides. Rescue ...</t>
  </si>
  <si>
    <t>https://apnews.com/article/floods-storms-science-kentucky-united-states-a31b08dff5cd84dbcab3d370dd0c3d53</t>
  </si>
  <si>
    <t>EXPLAINER: One weather system floods St. Louis and Kentucky</t>
  </si>
  <si>
    <t>Jul 29, 2022 ... ... flooded near Quicksand, Ky., Thursday, July 28, 2022. The same ... Flooding, the second deadliest weather phenomenon in the United States.</t>
  </si>
  <si>
    <t>https://www.nytimes.com/2022/09/19/us/puerto-rico-power-hurricane-fiona.html</t>
  </si>
  <si>
    <t>On Anniversary of Hurricane Maria, Storm Leaves Puerto Rico in the ...</t>
  </si>
  <si>
    <t>Sep 20, 2022 ... And so, in the wake of Hurricane Fiona, most Puerto Ricans face the ... It is not forecast to approach the East Coast of the United States.</t>
  </si>
  <si>
    <t>https://www.nytimes.com/2022/09/24/us/puerto-rico-power-outages.html</t>
  </si>
  <si>
    <t>Puerto Ricans Fear Extended Blackout After Hurricane Fiona</t>
  </si>
  <si>
    <t>Sep 24, 2022 ... Puerto Ricans Fear Extended Blackout After Hurricane Fiona. Residents, who pay some of the highest electricity rates in the United States, say ...</t>
  </si>
  <si>
    <t>https://www.nytimes.com/2022/09/27/us/hurricane-fiona-puerto-rico-blackouts.html</t>
  </si>
  <si>
    <t>Many in Puerto Rico Still Without Power 10 Days After Hurricane Fiona</t>
  </si>
  <si>
    <t>Sep 27, 2022 ... Hurricane Fiona drew parallels to Hurricane Maria, a near-category 5 ... Since 2022, 9-year-olds in the United States have made hopeful gains.</t>
  </si>
  <si>
    <t>https://www.nytimes.com/live/2022/09/19/us/hurricane-fiona-puerto-rico</t>
  </si>
  <si>
    <t>Hurricane Fiona's Destruction Mounts in the Caribbean</t>
  </si>
  <si>
    <t>Sep 19, 2022 ... Hurricane FionaHurricane Fiona's Destruction Mounts in the Caribbean ... It is not forecast to approach the East Coast of the United States.</t>
  </si>
  <si>
    <t>https://www.usatoday.com/story/news/nation/2022/09/25/puerto-ricans-leaving-island-after-hurricane-fiona/8076767001/</t>
  </si>
  <si>
    <t>Will Puerto Ricans leave to the mainland US after Hurricane Fiona?</t>
  </si>
  <si>
    <t>Sep 25, 2022 ... Puerto Rican migration to the U.S. mainland soared after Hurricane Maria. Will Hurricane Fiona and lingering economic strife bring another ...</t>
  </si>
  <si>
    <t>https://www.nytimes.com/2022/09/19/us/hurricane-maria-anniversary-puerto-rico.html</t>
  </si>
  <si>
    <t>Hurricane Maria Anniversary: Fiona Brings Back Painful Memories</t>
  </si>
  <si>
    <t>Sep 19, 2022 ... Hurricane Fiona's arrival in Puerto Rico came almost exactly five ... storms to hit the United States in quick succession in 2017. It ...</t>
  </si>
  <si>
    <t>https://www.jacksonville.com/story/news/columns/mark-woods/2022/09/30/relief-after-hurricane-ian-passes-jacksonville-florida-mark-woods/8130373001/</t>
  </si>
  <si>
    <t>Relief after Hurricane Ian passes Jacksonville | Mark Woods</t>
  </si>
  <si>
    <t>Hurricane Ian Live Updates: Beaches reopen to residents; trash collection set to resume ... Northern states, from Maine to Minnesota, have blizzards. Texas ...</t>
  </si>
  <si>
    <t>https://dailyprogress.com/news/national/article_7df6672f-9dab-5e80-8264-47470f7c49fd.html</t>
  </si>
  <si>
    <t>Recovery from Hurricane Ian continues; Russia smuggling ...</t>
  </si>
  <si>
    <t>Oct 3, 2022; 0. 3 min to read. Prefer us on Google ... Hurricane Ian leaves path of destruction, NASA ... United States. 0 Comments. Be the first to know.</t>
  </si>
  <si>
    <t>https://dailyprogress.com/news/video_abae7172-3d41-59b2-ab88-bee3bba631ff.html</t>
  </si>
  <si>
    <t>Hurricane Ian's wind, rain start in Charleston - The Daily Progress</t>
  </si>
  <si>
    <t>Sep 30, 2022 ... A revived Hurricane Ian set its sights on South Carolina's coast Friday and the historic city of Charleston, with forecasters predicting a ...</t>
  </si>
  <si>
    <t>https://dailyprogress.com/collection_51be0b92-6a2b-5381-a6e0-177653d062c4.html</t>
  </si>
  <si>
    <t>Photos: Island life endangered as hurricanes get stronger, deadlier</t>
  </si>
  <si>
    <t>Oct 1, 2022 ... Oct 1, 2022 Updated Apr 7, 2023; 0 ... Hurricane Ian, according to video from CNN ... United States of America, US Virgin Islands ...</t>
  </si>
  <si>
    <t>https://www.miamiherald.com/news/weather/hurricane/article266626756.html</t>
  </si>
  <si>
    <t>Deadliest Florida hurricanes from 1919 to Hurricane Ian 2022</t>
  </si>
  <si>
    <t>Sep 30, 2022 ... Hurricane Ian made landfall on the coast of South West Florida as a ... Donna was responsible for 50 deaths in the United States with ...</t>
  </si>
  <si>
    <t>https://www.miamiherald.com/news/weather/hurricane/article266541401.html</t>
  </si>
  <si>
    <t>Photos from the day after Hurricane Ian struck Florida - Miami Herald</t>
  </si>
  <si>
    <t>Sep 29, 2022 ... An aerial view of the damaged homes from Hurricane Ian seen in the vicinity of Fort Myers on Thursday, September 29, 2022.</t>
  </si>
  <si>
    <t>https://www.miamiherald.com/news/weather/hurricane/article266480921.html</t>
  </si>
  <si>
    <t>Floridians still feeling strong winds as Hurricane Ian weakens</t>
  </si>
  <si>
    <t>Sep 29, 2022 ... United States · Cuba · Haiti · Venezuela ... Ken Graham, director of the National Weather Service, called Hurricane Ian a “historic event.</t>
  </si>
  <si>
    <t>https://www.miamiherald.com/news/weather/hurricane/article266661121.html</t>
  </si>
  <si>
    <t>See photos of the destruction caused by Hurricane Ian on Fort Myers ...</t>
  </si>
  <si>
    <t>Scene at the Sunnyland Court Mobile Home one day after Hurricane Ian hit Florida's west coast as a Category 4 storm, on Thursday September 29, 2022.</t>
  </si>
  <si>
    <t>https://www.nytimes.com/2022/10/03/climate/hurricane-ian-rebuilding.html</t>
  </si>
  <si>
    <t>Three Ways to Build Back Smarter After Hurricane Ian</t>
  </si>
  <si>
    <t>Oct 3, 2022 ... https://www.nytimes.com/2022/10/03/climate/hurricane-ian-rebuilding.html ... United States can expect more severe storms like it as the planet ...</t>
  </si>
  <si>
    <t>https://www.npr.org/2022/10/06/1127083845/hurricane-ian-florida-property-insurance</t>
  </si>
  <si>
    <t>Hurricane Ian may make Florida's property insurance market ... - NPR</t>
  </si>
  <si>
    <t>Oct 6, 2022 ... ... in the wake of Hurricane Ian in Fort Myers Beach, Florida on October 3, 2022. Joe Raedle/Getty Images hide caption. toggle caption. Joe Raedle ...</t>
  </si>
  <si>
    <t>https://www.npr.org/2022/10/01/1126380022/florida-south-carolina-hurricane-ian-death-toll-recovery</t>
  </si>
  <si>
    <t>Hurricane Ian: At least dozens are dead and recovery efforts ... - NPR</t>
  </si>
  <si>
    <t>Oct 1, 2022 ... ... of the strongest to make landfall in the United States. ... In the wake of Hurricane Ian's destruction, Floridians are picking up the pieces.</t>
  </si>
  <si>
    <t>https://www.washingtonpost.com/climate-environment/2022/10/04/hurricane-ian-statistics-deaths-winds-surge/</t>
  </si>
  <si>
    <t>What made Hurricane Ian so intense: By the numbers</t>
  </si>
  <si>
    <t>Oct 4, 2022 ... What made Hurricane Ian so intense: By the numbers. Ian tied for the fifth-strongest hurricane to make landfall in the United States, causing ...</t>
  </si>
  <si>
    <t>https://www.nytimes.com/interactive/2022/09/29/climate/hurricane-ian-florida-intensity.html</t>
  </si>
  <si>
    <t>How Hurricane Ian Became So Powerful - The New York Times</t>
  </si>
  <si>
    <t>Sep 30, 2022 ... ... Hurricane Ian to become one of the most powerful storms to strike the United States in the past decade. Sea surface temperatures were ...</t>
  </si>
  <si>
    <t>https://www.post-gazette.com/news/weather-news/2022/09/29/jim-cantore-hurricane-ian-storm-florida-weather-channel/stories/202209290116</t>
  </si>
  <si>
    <t>Meteorologist Jim Cantore hit by flying tree branch during Hurricane ...</t>
  </si>
  <si>
    <t>Sep 29, 2022 ... ... in the aftermath of Hurricane Ian, Thursday. Tanisha Thomas. Hurricane ... of the most powerful storms to menace the United States in decades.</t>
  </si>
  <si>
    <t>https://www.miamiherald.com/news/weather/hurricane/article266557931.html</t>
  </si>
  <si>
    <t>What does Sanibel Island look like after Hurricane Ian? See for ...</t>
  </si>
  <si>
    <t>Sep 29, 2022 ... A U.S. Coast Guard aircrew hoists people from flooded areas near Sanibel, Florida, in the wake of Hurricane Ian, Sept ...</t>
  </si>
  <si>
    <t>https://www.miamiherald.com/news/weather/hurricane/article266621691.html</t>
  </si>
  <si>
    <t>Hurricane Ian: Miami Herald stories throughout Florida</t>
  </si>
  <si>
    <t>Sep 30, 2022 ... Read more Hurricane Ian Stories from the Gulf Coast. This table will continue be updated as the Herald publishes more stories in the coming ...</t>
  </si>
  <si>
    <t>https://www.cnn.com/us/live-news/hurricane-ian-florida-updates-09-28-22</t>
  </si>
  <si>
    <t>September 28, 2022 Hurricane Ian updates - CNN</t>
  </si>
  <si>
    <t>Sep 28, 2022 ... Hurricane Ian, a powerful Category 4 storm, has made landfall in Southwest Florida. Follow here for the latest.</t>
  </si>
  <si>
    <t>https://www.usatoday.com/picture-gallery/news/2022/09/29/aerials-show-damage-hurricane-ian-florida/8126128001/</t>
  </si>
  <si>
    <t>Aerials show damage from Hurricane Ian in Florida - USA Today</t>
  </si>
  <si>
    <t>Aerial images of Florida reveal widespread damage from Hurricane Ian. USA TODAY. Sept. 29, 2022Updated Oct. 5, 2022, 8:38 a.m. ET. In this aerial view, ...</t>
  </si>
  <si>
    <t>https://www.npr.org/2022/09/28/1125567621/hurricane-ian-category-5-storms-2022-florida</t>
  </si>
  <si>
    <t>Category 5 hurricanes are rare in the U.S. There have only ... - NPR</t>
  </si>
  <si>
    <t>Sep 28, 2022 ... Hurricane Ian: Few Category 5 hurricanes have made landfall in continental U.S. ... Updated September 28, 20223:37 PM ET Originally ...</t>
  </si>
  <si>
    <t>https://www.npr.org/2022/09/30/1126204141/sanibel-causeway-hurricane-ian</t>
  </si>
  <si>
    <t>Hurricane Ian destroys parts of the Sanibel Causeway ... - NPR</t>
  </si>
  <si>
    <t>Sep 30, 2022 ... Damage from Hurricane Ian cuts Sanibel Island off from Florida's mainland. September 30, 20223:13 PM ET.</t>
  </si>
  <si>
    <t>https://www.miamiherald.com/news/weather/hurricane/article266742891.html</t>
  </si>
  <si>
    <t>Another hurricane after Ian? What's next in 2022 Atlantic season</t>
  </si>
  <si>
    <t>Oct 6, 2022 ... Hurricane Ian has left its mark on Florida. Thousands of Floridians ... People in other parts of the state are also still reeling from the storm ...</t>
  </si>
  <si>
    <t>https://www.miamiherald.com/news/weather/hurricane/article267368712.html</t>
  </si>
  <si>
    <t>USGS teams measure storm surge heights from Hurricane Ian</t>
  </si>
  <si>
    <t>Oct 21, 2022 ... That's valuable information for Fountain, a hydrographer with the U.S. Geological Survey tasked with figuring out where Hurricane Ian's storm ...</t>
  </si>
  <si>
    <t>https://www.miamiherald.com/news/weather/hurricane/article266670246.html</t>
  </si>
  <si>
    <t>Hurricane Ian blasted a tight knit Pine Island community | Miami Herald</t>
  </si>
  <si>
    <t>Oct 3, 2022 ... 30, 2022, in St. James City, Florida. Hurricane Ian made landfall on the coast of Southwest Florida as a Category 4 storm Wednesday ...</t>
  </si>
  <si>
    <t>https://www.thestate.com/news/weather/hurricane/article266495156.html</t>
  </si>
  <si>
    <t>Latest Hurricane Ian forecast for SC: Rain, wind, flooding | The State</t>
  </si>
  <si>
    <t>Sep 28, 2022 ... Hurricane Ian is expected to bring tropical storm winds and potential flash floods to the South Carolina Midlands.</t>
  </si>
  <si>
    <t>https://www.al.com/hurricane/2022/09/hurricane-ian-one-of-strongest-storms-to-hit-us-experts-say.html</t>
  </si>
  <si>
    <t>Hurricane Ian one of the strongest storms to hit US: Here are the others</t>
  </si>
  <si>
    <t>Sep 29, 2022 ... 29, 2022, 9:26 a.m.. Hurricane Ian Slams Into West Coast Of Florida FORT MYERS FLORIDA - SEPTEMBER 29: Frankie Romulus (L) and Kendrick ...</t>
  </si>
  <si>
    <t>https://www.washingtonpost.com/climate-environment/2022/09/29/ian-hurricane-rapid-intensification-climate/</t>
  </si>
  <si>
    <t>How climate change is rapidly fueling super hurricanes</t>
  </si>
  <si>
    <t>Sep 29, 2022 ... ... in the continental United States, all which ... As Hurricane Ian barreled toward Florida this week, it did what six other storms ...</t>
  </si>
  <si>
    <t>https://www.yorkdispatch.com/story/news/local/2022/11/10/forecasted-rainfall-amounts-from-nicoles-remnants-diminished-slightly/69636253007/</t>
  </si>
  <si>
    <t>How will Hurricane Nicole affect York County? Here's the latest</t>
  </si>
  <si>
    <t>Nov 10, 2022 ... Expected rainfall amounts forecasted from the remnants of Hurricane Nicole for York County have been diminished slightly ... United States, with ...</t>
  </si>
  <si>
    <t>https://www.fayobserver.com/story/news/2022/11/10/fayetteville-nc-weather-tropical-storm-nicoles-impact-forecast/69636482007/</t>
  </si>
  <si>
    <t>Fayetteville, NC weather: Tropical Storm Nicole's impact, forecast</t>
  </si>
  <si>
    <t>Nov 10, 2022 ... Hurricane Nicole came ashore along the Florida Atlantic coast early this morning. It was the first November hurricane to hit the mainland ...</t>
  </si>
  <si>
    <t>https://www.jacksonville.com/story/weather/hurricane/2022/11/10/hurricane-tropical-storm-nicole-jacksonville-thursday-what-you-need-know/8316771001/</t>
  </si>
  <si>
    <t>Tropical Storm Nicole live updates: Roads flooding during high tide</t>
  </si>
  <si>
    <t>10, 2022, 7:10 p.m. ET. The Florida Times-Union has made this article ... Augustine neighborhood underwater again from Hurricane Nicole. Georgina Perez ...</t>
  </si>
  <si>
    <t>https://www.jacksonville.com/story/weather/hurricane/2022/11/10/tropical-storm-nicole-path-see-spaghetti-models-storm-tracker-florida/8322405001/</t>
  </si>
  <si>
    <t>Tropical Storm Nicole path: See spaghetti models, storm tracker ...</t>
  </si>
  <si>
    <t>... of the southeastern United States coast. WeatherTiger: WeatherTiger ... Track Hurricane Nicole with spaghetti models. This auto-updated graphic shows ...</t>
  </si>
  <si>
    <t>https://dailyprogress.com/news/hurricane-nicole-surge-impacts-martin-county/video_81cddd64-05c9-5c94-9dc0-514ba06f1b15.html</t>
  </si>
  <si>
    <t>Hurricane Nicole surge impacts Martin County - The Daily Progress</t>
  </si>
  <si>
    <t>Hurricane Nicole surge impacts Martin ... Nicole is expected to dump lots of rain over a large area of the southeastern United States, with up to six inches ...</t>
  </si>
  <si>
    <t>https://www.miamiherald.com/news/weather/hurricane/article268541377.html</t>
  </si>
  <si>
    <t>Nicole erodes beaches, damages buildings in Florida - Miami Herald</t>
  </si>
  <si>
    <t>Nov 10, 2022 ... United States · Cuba · Haiti · Venezuela · Americas. Sports. Sports ... Hurricane Nicole made its first landfall in the northeastern Bahamas ...</t>
  </si>
  <si>
    <t>https://www.palmbeachdailynews.com/story/entertainment/2022/11/10/tiffany-trump-wedding-mar-lago-michael-boulos-florida-nicole/8316811001/</t>
  </si>
  <si>
    <t>Days after Hurricane Nicole, Tiffany Trump set to marry at Mar-a-Lago</t>
  </si>
  <si>
    <t>Nov 12, 2022 ... 12, 2022 ... — there were protocol errors, including using the position of "The President of the United States" on stationery without the ...</t>
  </si>
  <si>
    <t>https://www.miamiherald.com/news/weather/hurricane/article268562187.html</t>
  </si>
  <si>
    <t>Hurricane Nicole leaves minor damage in Broward, Miami-Dade</t>
  </si>
  <si>
    <t>Nov 10, 2022 ... Hurricane Nicole wrecked two Broward piers and made a mess at the Hollywood Broadwalk ... United States · Cuba · Haiti · Venezuela · Americas.</t>
  </si>
  <si>
    <t>https://journalnow.com/life-entertainment/home-and-garden/real-estate/article_582183e5-c957-5d63-a2c7-4cf09e68997c.html</t>
  </si>
  <si>
    <t>Still Reeling From Ian, Florida Faces Costs of Hurricane Nicole</t>
  </si>
  <si>
    <t>Nov 10, 2022 ... Hurricane Nicole hit the east coast of Florida early Thursday morning ... Nov 10, 2022 Updated Nov 10, 2022 ... United States of America, US Virgin ...</t>
  </si>
  <si>
    <t>https://www.al.com/news/2022/11/tropical-storm-nicole-alabama-school-closings-early-dismissals.html</t>
  </si>
  <si>
    <t>Tropical Storm Nicole: Alabama school closings, early dismissals ...</t>
  </si>
  <si>
    <t>Nov 10, 2022 ... 10, 2022, 9:46 a.m.. Tropical Storm Nicole 2022 ... Hurricane Nicole, Wednesday, Nov. 9, 2022 ... US Postal Service notice: Plenty of ...</t>
  </si>
  <si>
    <t>https://www.nytimes.com/2022/11/10/us/nicole-hurricane-florida.html</t>
  </si>
  <si>
    <t>Hurricane Nicole Causes Four Deaths, Forces Evacuation of ...</t>
  </si>
  <si>
    <t>Nov 10, 2022 ... U.S.|Hurricane Nicole Causes Four Deaths, Forces Evacuation of Unsteady Buildings. https://www.nytimes.com/2022/11/10/us/nicole-hurricane ...</t>
  </si>
  <si>
    <t>https://www.cnn.com/2022/11/10/weather/gallery/hurricane-nicole</t>
  </si>
  <si>
    <t>Hurricane Nicole hits Florida | CNN</t>
  </si>
  <si>
    <t>Nov 11, 2022 ... Hurricane Nicole on Thursday became the first hurricane in 40 years to hit the United States in the month of November ... 2022. Link Copied ...</t>
  </si>
  <si>
    <t>https://www.usatoday.com/story/news/nation/2022/11/10/blizzard-warning-tropical-storm-nicole/8323202001/</t>
  </si>
  <si>
    <t>Midwest blizzard warning comes as tropical storm Nicole hits US</t>
  </si>
  <si>
    <t>Nov 10, 2022 ... ... 2022-23 season's first winter storm blew through the region. ... Hurricane Nicole caused flooding Thursday in Fort Pierce, Fla. As ...</t>
  </si>
  <si>
    <t>https://www.cnn.com/2022/11/11/us/hurricane-nicole-florida-friday</t>
  </si>
  <si>
    <t>Hurricane Nicole: Florida picks up after storm kills at least 5 and ...</t>
  </si>
  <si>
    <t>Nov 11, 2022 ... Homes are partially toppled Thursday onto Daytona Beach, Florida, after Hurricane Nicole made landfall. Joe Raedle/Getty Images. Trip Valigorsky ...</t>
  </si>
  <si>
    <t>https://www.npr.org/2022/11/10/1135703897/hurricane-nicole-florida-georgia-south-carolina</t>
  </si>
  <si>
    <t>Nicole weakens to a tropical storm after reaching Florida's east coast</t>
  </si>
  <si>
    <t>Nov 10, 2022 ... ... Hurricane Nicole, Wednesday, Nov. 9, 2022, in Jensen Beach, Fla ... Tickets for the opening match of the United States at the World Cup have still ...</t>
  </si>
  <si>
    <t>https://www.washingtonpost.com/climate-environment/2022/11/10/tropical-storm-nicole-florida-eastcoast/</t>
  </si>
  <si>
    <t>After socking Florida, Nicole to bring heavy rain, tornado risk to ...</t>
  </si>
  <si>
    <t>Nov 10, 2022 ... Hurricane Nicole made landfall on Florida's east coast on Nov. 10 ... It's also the first to hit anywhere in the United States in November since ...</t>
  </si>
  <si>
    <t>https://www.miamiherald.com/news/weather/hurricane/article269080307.html</t>
  </si>
  <si>
    <t>NHC cone under scrutiny after Hurricane Ian, may see changes</t>
  </si>
  <si>
    <t>Nov 30, 2022 ... ... storms, starting with Category 1 Hurricane Nicole in ... Hurricane Nicole formed in the Atlantic and pointed toward Florida's east coast.</t>
  </si>
  <si>
    <t>https://www.news-journalonline.com/story/weather/hurricane/2022/11/12/desantis-calls-florida-dep-use-20-m-help-beaches-after-nicole-flagler-beach-volusia-county/10680783002/</t>
  </si>
  <si>
    <t>DeSantis calls on Florida DEP to use $20M to help beaches after ...</t>
  </si>
  <si>
    <t>Nov 12, 2022 ... DeSantis directs state to use $20M to for emergency sand placement after Tropical Storm Nicole ... Hurricane Nicole,” DeSantis said in the release ...</t>
  </si>
  <si>
    <t>https://apnews.com/article/hurricanes-storms-daytona-beach-vero-tropical-d78eb29841dbf76d57d195d17c274573</t>
  </si>
  <si>
    <t>Rains from Nicole douse eastern US from Georgia to Canada</t>
  </si>
  <si>
    <t>Nov 11, 2022 ... Tropical Storm Nicole is now a depression dumping heavy rain in ... of the rocket and spacecraft after the passage of Hurricane Nicole.</t>
  </si>
  <si>
    <t>https://www.denverpost.com/2022/06/13/western-wildfires-force-evacuations-in-arizona-california-2/</t>
  </si>
  <si>
    <t>Western wildfires force evacuations in Arizona, California</t>
  </si>
  <si>
    <t>Jun 13, 2022 ... Western wildfires force evacuations in Arizona, California. Share ... Wildfires broke out early this spring in multiple states in the Western U.S. ...</t>
  </si>
  <si>
    <t>https://www.deseret.com/utah/2022/9/9/23344580/heat-wave-ending-wildfire-smoke-from-idaho/</t>
  </si>
  <si>
    <t>Heat wave sizzles out but is replaced with out-of-state wildfire smoke</t>
  </si>
  <si>
    <t>Sep 9, 2022 ... Smoke from various western wildfires has reached northern Utah and southwest Wyoming, and will stick with us through at least Sunday #utwx ...</t>
  </si>
  <si>
    <t>https://laist.com/news/climate-environment/western-wildfires-are-making-far-away-storms-more-dangerous</t>
  </si>
  <si>
    <t>Western Wildfires Are Making Far Away Storms More Dangerous</t>
  </si>
  <si>
    <t>Oct 21, 2022 ... Scientists are finding that Western wildfires can have far-reaching impacts. If they're burning while Central U.S. thunderstorms are forming ...</t>
  </si>
  <si>
    <t>https://www.nytimes.com/interactive/2022/09/09/climate/growing-wildfire-risk-homes.html</t>
  </si>
  <si>
    <t>As Wildfires Grow, Millions of Homes Are Being Built in Harm's Way</t>
  </si>
  <si>
    <t>Sep 9, 2022 ... Across the Western United States, wildfires are growing ... Western wildfires in the 2010s, compared with fewer than 31,000 in the 1990s.</t>
  </si>
  <si>
    <t>https://www.washingtonpost.com/health/2022/11/13/wildfire-smoke-health-risks/</t>
  </si>
  <si>
    <t>Toxic wildfire smoke raises health risks across the country</t>
  </si>
  <si>
    <t>Nov 13, 2022 ... ... Western wildfires that are in the news,” she said. “But wildfires impact the health of the U.S.”. The next orange sunset people enjoy should ...</t>
  </si>
  <si>
    <t>https://www.npr.org/2022/10/21/1130372102/western-wildfires-are-making-far-away-storms-more-dangerous</t>
  </si>
  <si>
    <t>Western wildfires are making far away storms more dangerous - NPR</t>
  </si>
  <si>
    <t>https://www.washingtonpost.com/climate-environment/2022/08/29/western-california-heatwave-fires-forecast/</t>
  </si>
  <si>
    <t>'Very dangerous' heat may reignite fire season in western U.S.</t>
  </si>
  <si>
    <t>Aug 29, 2022 ... A quiet late summer for western wildfires may be about to come to an abrupt end. ... “With wildfire behavior increasing across the state ...</t>
  </si>
  <si>
    <t>https://apnews.com/article/wildfires-fires-los-angeles-evacuations-c4718a1ed63df1847f857a68a410536e</t>
  </si>
  <si>
    <t>Western wildfires force evacuations in Arizona, California - AP News</t>
  </si>
  <si>
    <t>Jun 13, 2022 ... Western wildfires force evacuations in Arizona, California ... FLAGSTAFF, Ariz. (AP) — The Western U.S. on Monday marked another day of hot, dry ...</t>
  </si>
  <si>
    <t>https://www.staradvertiser.com/2022/07/31/breaking-news/heat-and-wind-threatens-to-whip-up-growing-western-wildfires/</t>
  </si>
  <si>
    <t>Western flames spread, California sees its largest 2022 fire</t>
  </si>
  <si>
    <t>Jul 31, 2022 ... A third fire, which was on the southwest end of the McKinney blaze, prompted evacuation orders for around 500 homes Sunday, said Courtney ...</t>
  </si>
  <si>
    <t>https://apnews.com/article/wildfires-fires-arizona-california-evacuations-73f70adcb8fcb432af2fbad6658c30ea</t>
  </si>
  <si>
    <t>Northern Arizona watches winds as Western wildfires blaze - AP News</t>
  </si>
  <si>
    <t>Jun 14, 2022 ... Northern Arizona watches winds as Western wildfires blaze. Northern ... The fire has forced the evacuation of several hundred homes.</t>
  </si>
  <si>
    <t>https://www.carsonnow.org/07/10/2022/severe-wildfire-seasons-threaten-northern-nevadas-outdoor-recreation-culture</t>
  </si>
  <si>
    <t>Severe wildfire seasons threaten Northern Nevada's outdoor ...</t>
  </si>
  <si>
    <t>Jul 10, 2022 ... Sunday, July 10, 2022 ... Russell Kuhlman, the executive director of the wildfire ... of the outdoor culture of the western United States.</t>
  </si>
  <si>
    <t>https://www.hcn.org/articles/wildfire-can-a-major-wildfire-and-drought-package-make-it-through-congress/</t>
  </si>
  <si>
    <t>Can a major wildfire and drought package get through Congress?</t>
  </si>
  <si>
    <t>Aug 8, 2022 ... The Western U.S. saw wildfire season kick into high gear last week. ... states to establish incentives that help homes and businesses ...</t>
  </si>
  <si>
    <t>https://www.lamarledger.com/2022/05/17/high-park-ute-pass-manitou-springs-cripple-creek-wildfires/</t>
  </si>
  <si>
    <t>High Park fire update: Wildfire near Cripple Creek has burned about ...</t>
  </si>
  <si>
    <t>May 17, 2022 ... Firefighters in Manitou Springs doused a fire on Monday of U.S. Highway 24. The fire, near the Cave of the Winds, started at about 6:30 p.m. and ...</t>
  </si>
  <si>
    <t>https://www.lamarledger.com/2022/05/24/durango-wildfire-perins-park/</t>
  </si>
  <si>
    <t>Wildfire erupts west of Durango, burning 71 acres in the Perins Peak ...</t>
  </si>
  <si>
    <t>May 24, 2022 ... PUBLISHED: May 24, 2022 at 6:43 PM MDT ... A wildfire is burning in the ... United States' Lindsey Vonn's crash is seen on a giant screen at the ...</t>
  </si>
  <si>
    <t>https://www.npr.org/2022/05/20/1099625787/new-mexico-wildfire-sparks-backlash-against-controlled-burns-thats-bad-for-the-w</t>
  </si>
  <si>
    <t>New Mexico wildfire sparks backlash against controlled burns ... - NPR</t>
  </si>
  <si>
    <t>May 20, 2022 ... That's bad for the West. May 20, 20225:00 AM ET ... wildfire seasons that repeatedly strike the Western United States," Miller says.</t>
  </si>
  <si>
    <t>https://www.npr.org/2022/08/27/1119428879/why-suppressing-wildfires-may-be-making-the-western-fire-crisis-worse</t>
  </si>
  <si>
    <t>Why suppressing wildfires may be making the Western fire crisis worse</t>
  </si>
  <si>
    <t>Aug 27, 2022 ... The U.S. is spending record money suppressing wildfires that are only getting more deadly and severe with climate change.</t>
  </si>
  <si>
    <t>https://www.nytimes.com/2022/08/01/climate/wildfire-risk-california-west.html</t>
  </si>
  <si>
    <t>Why Does the American West Have So Many Wildfires?</t>
  </si>
  <si>
    <t>Aug 3, 2022 ... Yet wildfires in the western United States have grown so extreme ... 2, 2022, Section A, Page 16 of the New York edition with the ...</t>
  </si>
  <si>
    <t>https://alaskabeacon.com/2022/07/29/u-s-house-passes-major-wildfire-and-drought-package/</t>
  </si>
  <si>
    <t>U.S. House passes major wildfire and drought package | Alaska ...</t>
  </si>
  <si>
    <t>... -fire recovery funding and ... By: Jacob Fischler - July 29, 2022 4:30 ... in the West. The measure includes 49 standalone bills from both Democrats and ...</t>
  </si>
  <si>
    <t>https://www.washingtonpost.com/weather/2022/04/12/fire-drought-california-midwest-plains/</t>
  </si>
  <si>
    <t>Wildfire risk heightens this spring in western half of U.S. from drought</t>
  </si>
  <si>
    <t>Apr 13, 2022 ... ... fire activity in June 2022. (National Interagency Fire Center). On the West Coast, the risk for larger fires is forecast to increase in April ...</t>
  </si>
  <si>
    <t>https://www.chron.com/weather/article/Wild-winter-storm-envelops-US-snarling-Christmas-17676027.php</t>
  </si>
  <si>
    <t>Winter storm batters US power, snarling Christmas travel - Chron</t>
  </si>
  <si>
    <t>Dec 24, 2022 ... 24, 2022 in Buffalo, N.Y. A battering winter storm has knocked out power to 1.7 million homes and businesses across the United States on ...</t>
  </si>
  <si>
    <t>https://www.pennlive.com/weather/2022/12/winter-storm-covers-much-of-us-disrupting-christmas-plans.html</t>
  </si>
  <si>
    <t>Winter storm covers much of U.S., disrupting Christmas plans</t>
  </si>
  <si>
    <t>Dec 24, 2022 ... (AP) — A wild winter storm continued to envelop much of the United ... 23, 2022, in the East Boston neighborhood of Boston. (AP Photo ...</t>
  </si>
  <si>
    <t>https://www.al.com/news/2022/12/winter-storm-brings-blizzards-power-outages-snarled-christmas-travel-across-us.html</t>
  </si>
  <si>
    <t>Winter storm brings blizzards, power outages, snarled Christmas ...</t>
  </si>
  <si>
    <t>Dec 24, 2022 ... A wild winter storm continued to envelop much of the United States ... of the central and eastern U.S. this holiday weekend,” the weather ...</t>
  </si>
  <si>
    <t>https://www.usatoday.com/story/news/nation/2022/12/21/winter-storm-warning-forecast-blizzard-frigid-temps/10937260002/</t>
  </si>
  <si>
    <t>Winter storm warnings for millions as US braces for snow, blizzards</t>
  </si>
  <si>
    <t>Dec 22, 2022 ... Most of US to be 'dangerously cold' as holiday week winter storm spawns blizzard, whiteout conditions ... eastern United States to mark the winter ...</t>
  </si>
  <si>
    <t>https://www.washingtonpost.com/weather/2022/12/23/winter-storm-snow-forecast-live-updates/</t>
  </si>
  <si>
    <t>Over 1 million without power as winter storm swells to a bomb cyclone</t>
  </si>
  <si>
    <t>Dec 23, 2022 ... TORONTO — The same winter storm bearing down on swaths of the United States ... of the eastern United States. Wind gusts of at least 40 mph ...</t>
  </si>
  <si>
    <t>https://www.nytimes.com/2022/12/21/us/winter-storm-snow-blizzard-forecast.html</t>
  </si>
  <si>
    <t>As Winter Storm Forecasts Grow Ominous, Millions Brace for the Worst</t>
  </si>
  <si>
    <t>Dec 21, 2022 ... Follow our live updates of the winter storm and holiday travel delays. ... of the United States this week — just ahead of the Christmas holiday.</t>
  </si>
  <si>
    <t>https://www.washingtonpost.com/weather/2022/12/22/winter-storm-forecast-midwest-great-lakes-live-updates/</t>
  </si>
  <si>
    <t>Snowiest part of winter storm still to come as temperatures plunge</t>
  </si>
  <si>
    <t>Dec 22, 2022 ... The position of the cold front at 6 a.m. Eastern time. (NOAA/NWS) ... Only days after the last major winter storm left the United States ...</t>
  </si>
  <si>
    <t>https://www.washingtonpost.com/weather/2022/12/24/winter-storm-blizzard-eastern-us/</t>
  </si>
  <si>
    <t>Winter storm ravages Buffalo; much of the U.S. in freezing conditions</t>
  </si>
  <si>
    <t>Winter storm ravages Buffalo; much of the U.S. in freezing conditions. Updated December 24, 2022More than 3 years ago. 8 min. Make us preferred on Google.</t>
  </si>
  <si>
    <t>https://www.washingtonpost.com/weather/2022/12/22/worst-blizzards-us-history/</t>
  </si>
  <si>
    <t>Powerful and deadly: The most severe blizzards in U.S. history</t>
  </si>
  <si>
    <t>Dec 22, 2022 ... ... cold wave. The 1993 blizzard was responsible for an immense footprint of heavy snow. (NOAA). Jan. 25-27, 1978: The Cleveland Superbomb. One of ...</t>
  </si>
  <si>
    <t>https://www.npr.org/2022/12/26/1145518196/us-massive-winter-storm-deaths-weather</t>
  </si>
  <si>
    <t>Winter storm update: U.S. death toll rises to 50, with Buffalo ... - NPR</t>
  </si>
  <si>
    <t>Dec 26, 2022 ... Updated December 26, 20222:46 PM ET Originally published December ... A massive winter storm that's killed about 50 people across the U.S. ...</t>
  </si>
  <si>
    <t>https://www.npr.org/2022/12/22/1144970060/winter-storm-holiday-travel</t>
  </si>
  <si>
    <t>A massive U.S. winter storm makes holiday travel dangerous - NPR</t>
  </si>
  <si>
    <t>Dec 22, 2022 ... A massive winter storm is sweeping across the U.S., making holiday travel dangerous. Updated December 22, 202210:06 PM ET Originally ...</t>
  </si>
  <si>
    <t>https://bismarcktribune.com/news/agnews/article_d567ec48-6688-11ed-be2c-5be1004ff351.html</t>
  </si>
  <si>
    <t>Blizzard cuts into drought in central North Dakota; lake-effect snow ...</t>
  </si>
  <si>
    <t>Nov 17, 2022 ... ... U.S. Drought Monitor map ... Nov 17, 2022; 0. 111622-nws-shovelers.jpg ... United States of America, US Virgin Islands ...</t>
  </si>
  <si>
    <t>https://bismarcktribune.com/news/state-and-regional/article_c304eb4e-f7ef-11ec-98f6-5747c907dc90.html</t>
  </si>
  <si>
    <t>2021 drought has big impact on North Dakota pheasants; wet spring ...</t>
  </si>
  <si>
    <t>Jul 11, 2022 ... Jul 11, 2022; 0. rooster. A pheasant struts ... ELCA Western North Dakota Synod choosing next bishop ... United States of America, US Virgin Islands ...</t>
  </si>
  <si>
    <t>https://bismarcktribune.com/community/mandannews/news/article_ceee2f22-eb2b-11ec-85fb-07fee1000b80.html</t>
  </si>
  <si>
    <t>Rancher relief fund accepting applications; drought now nearly ...</t>
  </si>
  <si>
    <t>Jun 17, 2022 ... Jun 17, 2022 ... ICE detains Afghan man who escaped to West Fargo after fighting alongside US forces ... United States of America, US Virgin Islands ...</t>
  </si>
  <si>
    <t>https://www.mprnews.org/story/2022/09/07/drought-revives-ideas-to-shift-water-from-mississippi-to-help-west</t>
  </si>
  <si>
    <t>Drought revives ideas to shift water from Mississippi to help West</t>
  </si>
  <si>
    <t>Sep 7, 2022 ... Proposals to send water from the Midwest to the southwestern U.S. — where an ongoing drought and population growth have created a looming ...</t>
  </si>
  <si>
    <t>https://globegazette.com/weather/megadrought-in-us-sets-another-record/article_b25f9bd2-707c-5962-ab4d-51bd5e379b7e.html</t>
  </si>
  <si>
    <t>'Megadrought' in US sets another record - Globe Gazette</t>
  </si>
  <si>
    <t>Jan 13, 2022 ... Jan 13, 2022 ... Almost all of the U.S. drought is located west of the ... Western states, which scientists warn is a consequence of the climate ...</t>
  </si>
  <si>
    <t>https://www.grandforksherald.com/news/north-dakota/fall-rain-winter-snowfall-sets-up-region-for-normal-spring</t>
  </si>
  <si>
    <t>Fall rain, winter snowfall sets up region for normal spring - Grand ...</t>
  </si>
  <si>
    <t>Mar 21, 2022 ... ... drought, according to the U.S. drought monitor. ... state between $2 ... “Currently, western North Dakota is experiencing extreme drought ...</t>
  </si>
  <si>
    <t>https://www.deseret.com/utah/2022/8/1/23186668/lake-powell-debate-drain-western-drought-hydropower-utah-arizona-colorado-river-lake-mead/</t>
  </si>
  <si>
    <t>Can Lake Powell be drained? Different solutions to Western drought</t>
  </si>
  <si>
    <t>Aug 1, 2022 ... Operating guidelines for the Colorado River by the U.S. Bureau of Reclamation are due in August, which will inform management of the river in ...</t>
  </si>
  <si>
    <t>https://www.deseret.com/utah/2022/2/14/22933560/how-bad-western-drought-new-study-says-worst-1200-years-utah-great-salt-lake-lake-powell/</t>
  </si>
  <si>
    <t>How bad is the Western drought? New study says worst in 1200 years</t>
  </si>
  <si>
    <t>Feb 14, 2022 ... A study says the Utah and the rest of the western United States, as well as northern Mexico, is going through the worst drought 1200 years ...</t>
  </si>
  <si>
    <t>https://www.hcn.org/articles/south-drought-yes-the-drought-really-is-that-bad/</t>
  </si>
  <si>
    <t>Yes, the drought really is that bad - High Country News</t>
  </si>
  <si>
    <t>The Western U.S. is experiencing its worst drought since 800 A.D.. by Theo Whitcomb May 16, 2022 January 24, 2024. Print (Opens in new window) Print ...</t>
  </si>
  <si>
    <t>https://www.latimes.com/environment/story/2022-02-14/western-megadrought-driest-in-1200-years</t>
  </si>
  <si>
    <t>Southwestern megadrought is driest period in over 1200 years</t>
  </si>
  <si>
    <t>Feb 14, 2022 ... 14, 2022 8 AM PT. 113. Share via ... The drought in the western United States is putting California's reservoirs at dangerously low levels.</t>
  </si>
  <si>
    <t>https://www.latimes.com/world-nation/story/2022-08-15/severe-drought-hits-northeast-farmers</t>
  </si>
  <si>
    <t>Northeastern farmers face new challenges with severe drought</t>
  </si>
  <si>
    <t>Aug 15, 2022 ... Drought isn't just a Western U.S. problem. A severe shortage has hit the Northeast, too. Farmer stands beneath wind sock. Hay farmer Milan Adams ...</t>
  </si>
  <si>
    <t>https://www.latimes.com/environment/story/2022-06-30/aridification-kills-civilizations-is-california-next</t>
  </si>
  <si>
    <t>Extreme heat, drought will permanently scar California and its social ...</t>
  </si>
  <si>
    <t>Jun 30, 2022 ... Unprecedented dryness across the western United States is meeting with increasingly warm temperatures to create climate conditions so ...</t>
  </si>
  <si>
    <t>https://alaskabeacon.com/2022/05/19/hydropowers-future-is-clouded-by-droughts-floods-and-climate-change/</t>
  </si>
  <si>
    <t>Hydropower's future is clouded by droughts, floods and climate ...</t>
  </si>
  <si>
    <t>May 19, 2022 ... As severe drought grips parts of the Western United States, a below ... 2022. In the Northeast, a different kind of climate change ...</t>
  </si>
  <si>
    <t>By: Jacob Fischler - July 29, 2022 4:30 pm ... and drought in the West. (Photo by David McNew/Getty Images) ... wildfire in the state's recorded history.</t>
  </si>
  <si>
    <t>https://www.marinij.com/2022/12/21/editorial-californias-water-future-mirrors-housing-disaster/?utm_source=ocn&amp;utm_medium=website&amp;amp</t>
  </si>
  <si>
    <t>Editorial: California's water future mirrors housing disaster – Marin ...</t>
  </si>
  <si>
    <t>Yes, after three years of drought ... But heavy snowfall a year ago led to a series of dry months that only exacerbated the drought. ... in the United States west ...</t>
  </si>
  <si>
    <t>https://www.detroitnews.com/story/news/environment/2022/03/18/drought-stricken-california-imposes-new-round-water-cuts/7095194001/</t>
  </si>
  <si>
    <t>Drought-stricken California imposes new round of water cuts</t>
  </si>
  <si>
    <t>Mar 18, 2022 ... ... of the National Oceanic and Atmospheric Administration. Melted snow traditionally provides about a third of the state's water supply. A ...</t>
  </si>
  <si>
    <t>https://www.npr.org/2022/02/14/1080302434/study-finds-western-megadrought-is-the-worst-in-1-200-years</t>
  </si>
  <si>
    <t>Study finds Western megadrought is the worst in 1200 years - NPR</t>
  </si>
  <si>
    <t>Feb 14, 2022 ... Raging wildfires. It's no secret that the Western U.S. is in a severe drought. New research published Monday shows just how extreme the ...</t>
  </si>
  <si>
    <t>https://www.nytimes.com/2022/02/14/climate/western-drought-megadrought.html</t>
  </si>
  <si>
    <t>How Bad Is the Western Drought? Worst in 12 Centuries, Study Finds.</t>
  </si>
  <si>
    <t>Feb 14, 2022 ... Not everywhere is becoming increasingly arid, she said. “But in the Western U.S. it is for sure. And that's primarily because of the warming of ...</t>
  </si>
  <si>
    <t>https://www.washingtonpost.com/climate-environment/2022/06/16/drought-west-california-mountains/</t>
  </si>
  <si>
    <t>These maps illustrate the seriousness of the western drought</t>
  </si>
  <si>
    <t>Jun 16, 2022 ... The U.S. Bureau of Reclamation has declared water shortages and reduced operations on the lakes for 2022. Some researchers say the lakes may ...</t>
  </si>
  <si>
    <t>https://www.nytimes.com/2022/02/17/climate/noaa-weather-western-drought.html</t>
  </si>
  <si>
    <t>Expecting the Western Drought to End Soon? Not Likely ...</t>
  </si>
  <si>
    <t>Feb 17, 2022 ... In the United States La Niña usually, though not always, results in warmer conditions across the southern part of the country. Dr. Collins said ...</t>
  </si>
  <si>
    <t>https://www.npr.org/2022/01/07/1067716380/western-megadrought-climate-lake-powell-glen-canyon-reservoir</t>
  </si>
  <si>
    <t>The Western megadrought is revealing America's 'lost national park'</t>
  </si>
  <si>
    <t>Jan 7, 2022 ... the Western U.S. is experiencing one of its driest periods in a thousand years — a two-decade megadrought that scientists say is being amplified ...</t>
  </si>
  <si>
    <t>https://www.myjournalcourier.com/news/article/Dangerous-oppressive-heat-to-dominate-17236828.php</t>
  </si>
  <si>
    <t>Dangerous, oppressive heat to dominate Jacksonville area with heat ...</t>
  </si>
  <si>
    <t>Jun 14, 2022 ... The heat wave will be most obnoxious today ... states. He said extreme heat ... Western Kentucky University in Bowling Green, Kentucky.</t>
  </si>
  <si>
    <t>https://bismarcktribune.com/news/national/article_99ba4378-9b2b-5fb2-90f0-821e81305436.html</t>
  </si>
  <si>
    <t>West dealing with heat wave; Indiana will tax loan forgiveness | Hot ...</t>
  </si>
  <si>
    <t>Sep 7, 2022 ... Sep 7, 2022; Sep 7, 2022 Updated Sep 7, 2022 ... A prolonged and unusual March heat wave is gripping cities across the West. ... United States of ...</t>
  </si>
  <si>
    <t>https://bismarcktribune.com/news/national/article_0c5f3968-91b7-5b62-9518-15495404011c.html</t>
  </si>
  <si>
    <t>The future of digital Weather with the team at WeatherBrains | Across ...</t>
  </si>
  <si>
    <t>Sep 6, 2022 ... Record snow drought in Western US ... West dealing with heat wave; Indiana will tax loan forgiveness | Hot off the Wire podcast ... United States of ...</t>
  </si>
  <si>
    <t>https://www.chron.com/weather/article/texas-heat-wave-grid-17237079.php</t>
  </si>
  <si>
    <t>Texas breaks power demand record during June heat wave - Chron</t>
  </si>
  <si>
    <t>Jun 12, 2022 ... ... of the state over 100 degrees. On Sunday ... In May, ERCOT asked Texans to conserve power in May during a heat wave that coincided with some power ...</t>
  </si>
  <si>
    <t>https://bendbulletin.com/2022/03/02/heat-and-ongoing-drought-hurt-health-of-oregon-forests/</t>
  </si>
  <si>
    <t>Heat and ongoing drought hurt health of Oregon forests | The Bulletin</t>
  </si>
  <si>
    <t>Mar 2, 2022 ... ... State of the State. ... After the heat wave, researchers and ... According to Jessica Halofsky, director of the U.S. Forest Service's Western ...</t>
  </si>
  <si>
    <t>https://www.sfchronicle.com/bayarea/article/cruel-summer-california-drought-fires-17233419.php</t>
  </si>
  <si>
    <t>The cruelest summer yet? California is facing drought, heat ...</t>
  </si>
  <si>
    <t>Jun 16, 2022 ... Map of continental United States showing the drought outlook for June to August 2022. ... “If a record-shattering heat wave were to occur in the ...</t>
  </si>
  <si>
    <t>https://www.sfchronicle.com/weather/article/It-is-going-to-get-dangerously-hot-17410577.php</t>
  </si>
  <si>
    <t>Bay Area forecast: Excessive heat warning issued due to hot temps</t>
  </si>
  <si>
    <t>Sep 1, 2022 ... ... western United States. National Weather Service. An excessive ... of the heat wave hits. Weather News. An extreme heat wave has arrived ...</t>
  </si>
  <si>
    <t>https://www.sfchronicle.com/bayarea/article/current-heat-wave-may-go-down-as-the-worst-in-17422827.php</t>
  </si>
  <si>
    <t>Northern California heat wave may go down as worst in history</t>
  </si>
  <si>
    <t>Sep 7, 2022 ... California heat wave may go down as the worst in state history. Children play in the water at Crissy Field as temperatures rise in San Francisco ...</t>
  </si>
  <si>
    <t>https://www.cnn.com/2023/02/04/weather/winter-storm-northeast-new-england-saturday/index.html.</t>
  </si>
  <si>
    <t>Winter storm: National windchill record set in New Hampshire | CNN</t>
  </si>
  <si>
    <t>Feb 4, 2023 ... A life-threatening cold spell began to ease its grip on the northeastern United States on Saturday, but only after a new national windchill ...</t>
  </si>
  <si>
    <t>https://www.cnn.com/2023/03/02/weather/winter-storms-us-thursday</t>
  </si>
  <si>
    <t>Tornadoes strike Texas and Louisiana as storms pummel the South</t>
  </si>
  <si>
    <t>Mar 2, 2023 ... A wide range of extreme weather is stretching across the US as storms threaten heavy snow in the Southwest and a severe weather system is ...</t>
  </si>
  <si>
    <t>https://www.sfchronicle.com/california/article/california-flooding-satellite-17857029.php</t>
  </si>
  <si>
    <t>Satellite imagery shows California flooding impacts</t>
  </si>
  <si>
    <t>Mar 25, 2023 ... Make us a Preferred Source to get more of our news when you search. ... As storms moved across the state, towns throughout the Central Valley, ...</t>
  </si>
  <si>
    <t>https://www.cnn.com/2022/12/31/us/california-flooding-bay-area-evacuation-warning-highway</t>
  </si>
  <si>
    <t>Flooding prompts closure of major Bay Area highway and ... - CNN</t>
  </si>
  <si>
    <t>Dec 31, 2022 ... At one point, US Highway 101 – one of California's most famous routes – was closed in both directions in South San Francisco as “water is not ...</t>
  </si>
  <si>
    <t>https://www.npr.org/2023/01/11/1148333208/storms-keep-pummeling-california-causing-widespread-flooding-and-evacuations</t>
  </si>
  <si>
    <t>Storms keep pummeling California, causing widespread flooding ...</t>
  </si>
  <si>
    <t>Jan 11, 2023 ... In Southern California, flooding shut down a major highway in Ventura County, and more rain is expected. Torrential storms across the state ...</t>
  </si>
  <si>
    <t>https://www.usatoday.com/story/news/investigations/2023/01/17/california-flooding-just-latest-natural-disaster-where-worst/11032443002/</t>
  </si>
  <si>
    <t>California flooding just latest natural disaster: Where is it worst?</t>
  </si>
  <si>
    <t>Jan 17, 2023 ... Michigan (26) and Wisconsin (one) were the two states east of the Rockies with counties that had no disasters. ... 2022, the third most on record ...</t>
  </si>
  <si>
    <t>https://www.npr.org/2023/01/02/1146565599/california-floods-atmospheric-river</t>
  </si>
  <si>
    <t>California floods: A third atmospheric river storm is set to add ... - NPR</t>
  </si>
  <si>
    <t>Jan 2, 2023 ... ... floods and mudslides: the situation could get worse before it gets better. Parts of the state remained under flash flood warnings Monday ...</t>
  </si>
  <si>
    <t>https://www.nytimes.com/2022/12/31/us/california-weather-rain-flooding-landslides.html</t>
  </si>
  <si>
    <t>Heavy Rain in California Causes Flooding but Offers Respite From ...</t>
  </si>
  <si>
    <t>Dec 31, 2022 ... The Cosumnes River in Northern California exceeded flood stage and was expected to crest at 15.5 feet by Saturday night. Parts of the state have ...</t>
  </si>
  <si>
    <t>https://www.eldoradonews.com/news/2023/mar/26/theres-nothing-left-mississippi-tornadoes-kill-23/</t>
  </si>
  <si>
    <t>'There's nothing left': Mississippi tornadoes kill 23 | El Dorado News</t>
  </si>
  <si>
    <t>March 26, 2023 ... severe weather produced ... This was a supercell, the nasty type of storm that brews the deadliest tornado and most damaging hail in the ...</t>
  </si>
  <si>
    <t>https://www.capitalgazette.com/2023/03/25/mississippi-tornadoes-kill-23-injure-dozens-overnight/</t>
  </si>
  <si>
    <t>Mississippi tornadoes kill 23, injure dozens overnight – Capital ...</t>
  </si>
  <si>
    <t>Mar 25, 2023 ... ... severe weather was expected across several states. The Storm Prediction Center warned the greatest threat of tornadoes would come in ...</t>
  </si>
  <si>
    <t>https://dailyleader.com/2023/03/25/mississippi-tornadoes-kill-23-injure-dozens-overnight/</t>
  </si>
  <si>
    <t>Mississippi tornadoes kill 23, injure dozens overnight | Daily Leader</t>
  </si>
  <si>
    <t>Mar 25, 2023 ... ... of the Deep South ... The damage in Rolling Fork was so widespread that several storm chasers — who follow severe weather ... United States, said ...</t>
  </si>
  <si>
    <t>https://www.baltimoresun.com/2023/03/25/mississippi-tornadoes-kill-23-injure-dozens-overnight/</t>
  </si>
  <si>
    <t>Mississippi tornadoes kill 23, injure dozens overnight – Baltimore Sun</t>
  </si>
  <si>
    <t>https://www.cnn.com/weather/live-news/mississippi-tornado-03-25-23/index.html.</t>
  </si>
  <si>
    <t>March 25, 2023: Deadly tornado and severe storms sweep South</t>
  </si>
  <si>
    <t>Mar 25, 2023 ... And while “Tornado Alley” states in the Great Plains still lead in the total number of tornadoes, more are appearing in the Southeast, in ...</t>
  </si>
  <si>
    <t>https://www.cnn.com/2023/03/25/weather/us-severe-storms-saturday</t>
  </si>
  <si>
    <t>At least 26 dead after tornado-spawning storms roll through ... - CNN</t>
  </si>
  <si>
    <t>Mar 25, 2023 ... ... U.S. March 25, 2023 in this screengrab obtained from a video. ... More than 20 million are at risk of severe storms across much of the South and ...</t>
  </si>
  <si>
    <t>https://www.usatoday.com/story/news/nation/2023/03/27/tornadoes-storms-weather-southeast-live-updates/11548486002/</t>
  </si>
  <si>
    <t>Severe weather live updates: Southeast braces for more tornadoes</t>
  </si>
  <si>
    <t>USA TODAY. Updated March 27, 2023, 2:44 p.m. ET. A wide swath of the Southeast braced for another round of potentially deadly tornadoes and severe storms ...</t>
  </si>
  <si>
    <t>https://www.cnn.com/2023/03/26/weather/us-severe-storms-sunday</t>
  </si>
  <si>
    <t>30 million Southerners are at risk of dangerous weather Sunday - CNN</t>
  </si>
  <si>
    <t>Mar 26, 2023 ... ... of the Deep South/Southeast States. A few strong tornadoes and very large hail may occur with the most intense storms, particularly from ...</t>
  </si>
  <si>
    <t>https://www.washingtonpost.com/weather/2023/03/26/tornadoes-hail-storms-mississippi-georgia-south/</t>
  </si>
  <si>
    <t>Strong tornadoes, damaging hail could hit Mississippi and the South ...</t>
  </si>
  <si>
    <t>Mar 26, 2023 ... ... in the afternoon, the risk of strong tornadoes will grow. Thunderstorms will propagate west to east along a stalled front, riding along it ...</t>
  </si>
  <si>
    <t>https://www.nwaonline.com/news/2023/mar/31/study-tornado-spawning-storms-may-get-worse-move/</t>
  </si>
  <si>
    <t>Study: Tornado-spawning storms may get worse, move east due to ...</t>
  </si>
  <si>
    <t>Mar 31, 2023 ... ... United States and that those storms will move eastward from their current range. ... tornado, March 27, 2023, in Rolling Fork, Miss. A new ...</t>
  </si>
  <si>
    <t>https://www.usatoday.com/story/news/weather/2023/03/31/weather-storms-tornadoes-friday-forecast/11564697002/</t>
  </si>
  <si>
    <t>Tornado outbreak batters Arkansas; several states in South, Midwest ...</t>
  </si>
  <si>
    <t>Apr 1, 2023 ... Sanders tweeted: "Significant damage has occurred in Central Arkansas....Praying for all those who were and remain in the path of this storm.</t>
  </si>
  <si>
    <t>https://www.washingtonpost.com/weather/2023/03/31/tornado-outbreak-central-states-storms/</t>
  </si>
  <si>
    <t>Little Rock hit by 'destructive' tornado causing damage to homes, cars</t>
  </si>
  <si>
    <t>Apr 1, 2023 ... At least 3 dead as tornadoes sweep through midwestern, southern states. Tornado ... outbreak of severe storms moved across the central United ...</t>
  </si>
  <si>
    <t>https://www.usatoday.com/story/news/weather/2023/04/01/tornadoes-severe-weather-storm-updates/11579198002/</t>
  </si>
  <si>
    <t>Deadly tornado outbreak updates: 21 deaths; power outage updates</t>
  </si>
  <si>
    <t>Apr 1, 2023 ... Midwest, South reel from tornado outbreak: At least 21 people dead; US power outages spike to 1 million · Seven dead in Tennessee's McNairy ...</t>
  </si>
  <si>
    <t>https://transcripts.cnn.com/show/cnr/?start_fileid=cnr_2023-04-03_17</t>
  </si>
  <si>
    <t>Apr 3, 2023 ... April 01, 2023. • Tornado Outbreak Batters South And Midwest U.S.; Trump Expected To Surrender Tuesday And Face Arraignment; Trump Loyalists ...</t>
  </si>
  <si>
    <t>https://transcripts.cnn.com/show/es/date/2023-04-03/segment/01</t>
  </si>
  <si>
    <t>Apr 3, 2023 ... ... in the United States has died. So, very much ... in the eastern ... And the death toll is sadly rising after a severe tornado outbreak devastates ...</t>
  </si>
  <si>
    <t>https://www.nytimes.com/2023/04/02/us/weather-storms-tornadoes-damage.html</t>
  </si>
  <si>
    <t>Storm and Tornado Damage in the Midwest, South and East</t>
  </si>
  <si>
    <t>Apr 2, 2023 ... What We Know About the Weekend Storm Damage in the Midwest, South and East. The severe weather system spawned numerous tornadoes that killed ...</t>
  </si>
  <si>
    <t>https://globegazette.com/news/national/article_ade1282f-de7c-51d5-8666-833c7129137d.html</t>
  </si>
  <si>
    <t>Missouri tornado kills 5; Pope leads Holy Thursday service; RFK Jr ...</t>
  </si>
  <si>
    <t>Apr 6, 2023 ... ... Severe weather hits the Northeast as well as Alaska. Diane Keaton, Oscar-winning star of 'Annie Hall' and 'The Godfather,' dies at 79 ...</t>
  </si>
  <si>
    <t>https://www.washingtonpost.com/weather/2023/04/04/storms-tornado-outbreak-iowa-arkansas/</t>
  </si>
  <si>
    <t>Storms erupting in central states as overnight tornado risk looms</t>
  </si>
  <si>
    <t>Apr 4, 2023 ... ... severe weather in five days in the region. The zone roughly from ... of the Tennessee and Ohio valleys and eastern Great Lakes on Wednesday.</t>
  </si>
  <si>
    <t>https://apnews.com/article/storms-tornadoes-severe-weather-south-midwest-b6f9db8292e112fa78a9e9ccf462909d/1000?jw_start={seek_to_second_number}</t>
  </si>
  <si>
    <t>Severe storms including hail, tornadoes hit Midwest, South | AP News</t>
  </si>
  <si>
    <t>Apr 4, 2023 ... Forecasters are warning of more severe weather and fire danger in the days ahead across much of the same region hit by storms last week.</t>
  </si>
  <si>
    <t>https://www.capitalgazette.com/2023/04/04/more-severe-storms-including-tornadoes-in-the-forecast-for-midwest-and-south/</t>
  </si>
  <si>
    <t>More severe storms — including tornadoes — in the forecast for ...</t>
  </si>
  <si>
    <t>Apr 4, 2023 ... Severe storms could produce strong tornadoes and large hail Wednesday across eastern Illinois and lower Michigan and in the Ohio Valley ...</t>
  </si>
  <si>
    <t>https://www.cnn.com/2023/04/04/weather/us-severe-storms-tornado-threat-tuesday</t>
  </si>
  <si>
    <t>Tornadoes and baseball-sized hail hit Midwest as millions remain ...</t>
  </si>
  <si>
    <t>Apr 4, 2023 ... A storm system on Tuesday evening was bringing severe weather including tornadoes, large hail and strong winds to states from the South to the Upper Midwest.</t>
  </si>
  <si>
    <t>https://www.miamiherald.com/news/local/environment/climate-change/article274318110.html</t>
  </si>
  <si>
    <t>Fort Lauderdale flood has climate change fingertips on it</t>
  </si>
  <si>
    <t>Apr 16, 2023 ... Broward was the first Florida county to analyze climate impact on extreme rain events, and anticipates much heavier rains in the coming ...</t>
  </si>
  <si>
    <t>https://www.miamiherald.com/news/local/environment/article274290960.html</t>
  </si>
  <si>
    <t>South Florida historic flooding recovery: insurance claims</t>
  </si>
  <si>
    <t>Apr 14, 2023 ... Vehicles on flooded West Perimeter Road in Fort Lauderdale on Thursday, April 13, 2023. David Santiago dsantiago@miamiherald.com. AAA and State ...</t>
  </si>
  <si>
    <t>https://www.miamiherald.com/news/local/environment/climate-change/article274551386.html</t>
  </si>
  <si>
    <t>South Florida's ports and airports face flood risks | Miami Herald</t>
  </si>
  <si>
    <t>Apr 21, 2023 ... United States · Cuba · Haiti · Venezuela ... Besides rain, the Fort Lauderdale airport is also at risk of tidal flooding from sea level rise.</t>
  </si>
  <si>
    <t>https://www.miamiherald.com/news/local/environment/climate-change/article275058126.html</t>
  </si>
  <si>
    <t>FEMA's new flood insurance rates to soar in Florida, see how much</t>
  </si>
  <si>
    <t>May 4, 2023 ... Leon rides his bike down a flooded street in the Edgewood neighborhood on Thursday, April 13, 2023, in Fort Lauderdale, Fla. A torrential ...</t>
  </si>
  <si>
    <t>https://www.miamiherald.com/news/traffic/article274270895.html</t>
  </si>
  <si>
    <t>Traffic: downtown Fort Lauderdale, airport area flooded streets</t>
  </si>
  <si>
    <t>Apr 13, 2023 ... Kinney Tunnel is closed along U.S. 1 under the New River. ▫ The Broward County Courthouse, 201 SE Sixth St., and State Attorney's Offices will ...</t>
  </si>
  <si>
    <t>https://www.usatoday.com/story/news/nation/2023/04/13/fort-lauderdale-florida-floods-storm-photo-video/11656664002/</t>
  </si>
  <si>
    <t>Fort Lauderdale, Florida storm photos: FLL airport, streets flooded</t>
  </si>
  <si>
    <t>Apr 14, 2023 ... Flooding lingers at Fort Lauderdale-Hollywood International Airport on Thursday, April 13, 2023. Contributing: John Bacon, USA TODAY. Camille ...</t>
  </si>
  <si>
    <t>https://www.cnn.com/2023/04/14/weather/fort-lauderdale-florida-flood-friday</t>
  </si>
  <si>
    <t>Fort Lauderdale begins long recovery as floodwaters recede | CNN</t>
  </si>
  <si>
    <t>Apr 14, 2023 ... A woman looks on as she stands outside of a flooded home after heavy rain in Fort Lauderdale, Florida on April 13, 2023. Chandan Khanna/AFP/ ...</t>
  </si>
  <si>
    <t>https://www.npr.org/2023/04/22/1171472232/desantis-florida-federal-disaster-flooding</t>
  </si>
  <si>
    <t>DeSantis seeks federal aid for Fort Lauderdale flood victims - NPR</t>
  </si>
  <si>
    <t>Apr 22, 2023 ... DeSantis seeks federal aid for Fort Lauderdale flood victims. April 22, 20232:10 PM ET ... Tickets for the opening match of the United States at ...</t>
  </si>
  <si>
    <t>https://www.miamiherald.com/news/weather-news/article274250345.html</t>
  </si>
  <si>
    <t>South Florida has seen three days of intense rain and flooding ...</t>
  </si>
  <si>
    <t>Apr 13, 2023 ... ... flooded street in his Edgewood neighborhood on Thursday, April 13, 2023, in Fort Lauderdale, Fla. A torrential downpour severely flooded ...</t>
  </si>
  <si>
    <t>https://apnews.com/article/fort-lauderdale-florida-flooding-airport-376ac512b70ffe1f961d10165cca8cbd</t>
  </si>
  <si>
    <t>Florida floods: Businesses, residents begin cleaning up mess</t>
  </si>
  <si>
    <t>Apr 14, 2023 ... ... April 14, 2023, in Fort Lauderdale, Fla. The airport was able to open one of two runways after heavy rain flooded the runways. South Florida ...</t>
  </si>
  <si>
    <t>https://www.usatoday.com/story/news/nation/2023/04/15/fort-lauderdale-recovery-flooding-florida/11672702002/</t>
  </si>
  <si>
    <t>Fort Lauderdale flooding updates: Floodwater warnings; no deaths</t>
  </si>
  <si>
    <t>USA TODAY. Updated April 15, 2023, 5:24 p.m. ET. Parts of Fort Lauderdale in southeast Florida are still facing dangers from high waters on Saturday after ...</t>
  </si>
  <si>
    <t>https://www.npr.org/2023/04/15/1170275754/fed-up-with-floods-florida-homeowner-moves-to-higher-ground</t>
  </si>
  <si>
    <t>Fed up with floods, Florida homeowner moves to higher ground - NPR</t>
  </si>
  <si>
    <t>Apr 15, 2023 ... This week saw devastating flash floods sweep across parts of South Florida. Fort Lauderdale was hit especially hard with more than 2 feet of ...</t>
  </si>
  <si>
    <t>https://www.cnn.com/2023/04/15/weather/severe-storms-southeast-midwest-hail-saturday</t>
  </si>
  <si>
    <t>Areas hit hard in recent weeks from tornadoes could face severe ...</t>
  </si>
  <si>
    <t>Apr 15, 2023 ... ... of the states that are expected to see potential hail storms this weekend. ... of the Ohio Valley and southern Great Lakes.” Another ...</t>
  </si>
  <si>
    <t>https://nwitimes.com/weather/weather-update-region-damaging-hail-wind-lightning/article_2a092d52-df10-11ed-8d9a-2fd0c2aaa457.html</t>
  </si>
  <si>
    <t>Severe thunderstorm warning issued for Northwest Indiana</t>
  </si>
  <si>
    <t>Apr 19, 2023 ... Apr 19, 2023 ... There are roughly 100,000 thunderstorms every year in the United States, and 1 in 10 is considered severe. ... severe weather in ...</t>
  </si>
  <si>
    <t>https://www.cnn.com/2023/04/19/weather/oklahoma-tornado-central-us-storms/index.html&amp;quot;</t>
  </si>
  <si>
    <t>Oklahoma tornadoes: More severe storms could erupt today as ...</t>
  </si>
  <si>
    <t>Apr 20, 2023 ... Meteorologist breaks down severe weather threat in US · See dramatic aerials of severe weather damage in Texas · 'Incredible': Photographer ...</t>
  </si>
  <si>
    <t>https://www.denverpost.com/2023/04/20/the-damage-is-unbelievable-tornadoes-kill-3-in-oklahoma/</t>
  </si>
  <si>
    <t>'The damage is unbelievable:' Tornadoes kill 3 in Oklahoma</t>
  </si>
  <si>
    <t>Apr 20, 2023 ... ... 2023. Strong storms, including tornadoes, winds and hail moved through parts of the Central U.S. on Wednesday, causing fatalities and ...</t>
  </si>
  <si>
    <t>https://www.nytimes.com/2023/04/20/us/tornado-deaths-cole-oklahoma.html?eafs_enabled=false</t>
  </si>
  <si>
    <t>At Least 3 Dead as Tornadoes Strike Oklahoma - The New York Times</t>
  </si>
  <si>
    <t>Apr 20, 2023 ... Tornadoes in the Midwest ... The Weather Service said separately that baseball-size hail had fallen in Grady County, southwest of the metropolitan ...</t>
  </si>
  <si>
    <t>https://www.nytimes.com/2023/04/27/us/texas-storms-hail-south.html</t>
  </si>
  <si>
    <t>'Baseball Size' Hail Falls in Texas as Storms Whip Across South</t>
  </si>
  <si>
    <t>Apr 27, 2023 ... April 27, 2023. See more of our ... In recent months, a number of severe storms have barreled across the southeastern United States.</t>
  </si>
  <si>
    <t>https://www.washingtonpost.com/weather/2023/04/26/severe-us-weather-flooding-hail/</t>
  </si>
  <si>
    <t>Contrasting weather pattern fueling hot West, cool East, storms in ...</t>
  </si>
  <si>
    <t>... thunderstorms with large hail threaten Texas and Florida. April 26, 2023More than 3 years ago. 5 min. Make us preferred on Google. The American GFS ...</t>
  </si>
  <si>
    <t>https://www.nytimes.com/2023/04/27/us/tornado-storm-weather-florida.html</t>
  </si>
  <si>
    <t>Hail and High Winds Hit Texas as Storm System Heads for Florida</t>
  </si>
  <si>
    <t>Apr 29, 2023 ... Published April 27, 2023Updated April 29, 2023. See more of our ... in the central and southern United States. At least three tornadoes ...</t>
  </si>
  <si>
    <t>https://www.cnn.com/2023/04/26/weather/severe-storms-flooding-wednesday</t>
  </si>
  <si>
    <t>Large hail drops on parts of Texas and Florida as South remains at ...</t>
  </si>
  <si>
    <t>Apr 26, 2023 ... There were more than 60 hail reports across the South on Wednesday ... Damaging winds, large hail, and tornadoes will be possible. pic ...</t>
  </si>
  <si>
    <t>https://www.cnn.com/2023/04/28/weather/severe-storms-hail-tornadoes-friday</t>
  </si>
  <si>
    <t>Severe storms to strike the South again as millions in Texas could ...</t>
  </si>
  <si>
    <t>Apr 28, 2023 ... The state could see baseball-size hail and wind gusts reaching hurricane speeds of 74 mph or higher. A few tornadoes are also possible into the ...</t>
  </si>
  <si>
    <t>https://www.denverpost.com/2023/05/10/colorado-weather-wednesday-photos-large-hail-tornado-warnings/</t>
  </si>
  <si>
    <t>PHOTOS: Coloradans react to large hail storm Wednesday</t>
  </si>
  <si>
    <t>May 10, 2023 ... Tornado warnings were issued for a wide section of the Front Range Wednesday afternoon. Denver and northeast Colorado are under a tornado watch ...</t>
  </si>
  <si>
    <t>https://www.usatoday.com/story/news/nation/2023/05/14/pacific-northwest-heat-wave-laguna-heights-tornado-cleanup/70216228007/</t>
  </si>
  <si>
    <t>Pacific Northwest braces for record heat, severe weather in Texas</t>
  </si>
  <si>
    <t>USA TODAY. Updated May 14, 2023, 10:10 p.m. ET. Following an outbreak of tornadoes across parts of the United States, severe weather and a tornado left a ...</t>
  </si>
  <si>
    <t>https://www.washingtonpost.com/weather/2023/05/15/severe-weather-thunderstorms-tornado-outbreak-outlook/</t>
  </si>
  <si>
    <t>After a days-long tornado outbreak, severe weather flatlines across ...</t>
  </si>
  <si>
    <t>May 15, 2023 ... — Murphy Roberts (@MurphyRobertsWx) May 14, 2023. Several of the tornadoes ... eastern [contiguous United States],” the center wrote. “This [cool ...</t>
  </si>
  <si>
    <t>https://www.usatoday.com/story/news/weather/2023/05/22/weather-updates-monday-texas-forecast/70241441007/</t>
  </si>
  <si>
    <t>Thunderstorms across Texas, Montana, Florida: Monday weather ...</t>
  </si>
  <si>
    <t>May 22, 2023 ... Severe weather, thunderstorms in multiple states. The Storm Prediction Center indicates a “slight risk” for severe weather across Montana as ...</t>
  </si>
  <si>
    <t>https://www.washingtonpost.com/weather/2023/06/14/southeast-severe-storms-derecho-tornadoes/</t>
  </si>
  <si>
    <t>Violent storms with large hail and tornadoes erupt in Southeast</t>
  </si>
  <si>
    <t>Jun 14, 2023 ... ... gusts over 80 mph. They spawned several tornadoes in southeast Alabama and southern Georgia, and one in northeast Texas. June 14 tornado reports.</t>
  </si>
  <si>
    <t>https://www.al.com/news/2023/06/more-storms-possible-monday-in-south-alabama.html</t>
  </si>
  <si>
    <t>Alabama severe weather: More storms possible Tuesday - al.com</t>
  </si>
  <si>
    <t>Jun 19, 2023 ... 9:30 p.m. update: The severe weather threat has ended for Alabama on Monday. More storms will be possible for the southern part of the state ...</t>
  </si>
  <si>
    <t>https://www.capitalgazette.com/2023/06/16/tornado-devastates-texas-panhandle-town-killing-3-and-injuring-dozens/</t>
  </si>
  <si>
    <t>Tornado devastates Texas Panhandle town, killing 3 and injuring ...</t>
  </si>
  <si>
    <t>Jun 16, 2023 ... ... Southern states. The National Weather ... 2023 at 8:38 ... The storm system also brought hail and possible tornados to northwestern Ohio.</t>
  </si>
  <si>
    <t>https://dailyprogress.com/news/nation-world/article_167231db-bb8a-51fe-9bd4-87b137f829bd.html</t>
  </si>
  <si>
    <t>Deadly tornado strikes Texas Panhandle; historic start at U.S. Open ...</t>
  </si>
  <si>
    <t>Jun 20, 2023 ... Watch Ukrainian police save a woman buried alive under rubble after a Russian missile strike, why 2023 has become the second deadliest year on ...</t>
  </si>
  <si>
    <t>https://www.cnn.com/2023/06/18/weather/severe-storm-threat-southern-us-sunday</t>
  </si>
  <si>
    <t>About 43 million people across the South are at risk as severe ...</t>
  </si>
  <si>
    <t>Jun 18, 2023 ... About 43 million people across the southern United States are at ... Large hail, damaging winds and tornadoes are possible in ...</t>
  </si>
  <si>
    <t>https://www.washingtonpost.com/weather/2023/06/15/texas-oklahoma-derecho-hail-extreme-heat/</t>
  </si>
  <si>
    <t>Severe storms, extreme heat expected in Texas, Oklahoma ...</t>
  </si>
  <si>
    <t>Jun 15, 2023 ... ... tornadoes, large hail and damaging straight-line winds. The ongoing ... Nearly 50,000 customers were without power in the two states according to ...</t>
  </si>
  <si>
    <t>https://transcripts.cnn.com/show/cnr/date/2023-06-15/segment/21</t>
  </si>
  <si>
    <t>Jun 15, 2023 ... ... us in the United States and all around the world. ... in the southern ... The main threat today is large hail, damaging winds and even tornados in ...</t>
  </si>
  <si>
    <t>https://www.baltimoresun.com/2023/06/16/tornado-devastates-texas-panhandle-town-killing-3-and-injuring-dozens/</t>
  </si>
  <si>
    <t>Jun 16, 2023 ... PUBLISHED: June 16, 2023 ... Elsewhere in Texas and other Southern states ... The storm system also brought hail and possible tornados to ...</t>
  </si>
  <si>
    <t>https://edition.cnn.com/2023/06/22/weather/red-rocks-hail-louis-tomlinson-concert</t>
  </si>
  <si>
    <t>Colorado: Red Rocks Amphitheater hail storm injures nearly 100 ...</t>
  </si>
  <si>
    <t>Jun 22, 2023 ... United Kingdom · US Politics · Elections 2026 · Trump · Facts First · CNN ... 2023, 8:44 AM ET. Updated Jun 22, 2023, 8:50 PM ET. PUBLISHED Jun 22 ...</t>
  </si>
  <si>
    <t>https://www.denverpost.com/2023/06/22/colorado-weather-denver-hail-photos/</t>
  </si>
  <si>
    <t>PHOTOS: Coloradans see large hail as thunderstorm hits Thursday</t>
  </si>
  <si>
    <t>Jun 22, 2023 ... Charles Lens captured images of the storm that created a tornado in Highlands Ranch on June 22, 2023. Northeast Colorado is under a tornado ...</t>
  </si>
  <si>
    <t>https://nwitimes.com/news/nation-world/weather/article_492c58e9-dca3-58fd-ac4c-8c76b82803d1.html</t>
  </si>
  <si>
    <t>Tornado warning in Chicago, power outages, severe weather</t>
  </si>
  <si>
    <t>... severe weather for the city. There were no immediate reports of injuries ... Drought in the contiguous United States reached record levels for this time of year, ...</t>
  </si>
  <si>
    <t>https://bismarcktribune.com/news/nation-world/weather/article_ceec6aea-5143-531a-8630-c6dc3340c9ff.html</t>
  </si>
  <si>
    <t>Jul 12, 2023 ... ... severe weather for the city. There were no immediate reports of injuries ... Jul 12, 2023 Updated Oct 17, 2023 ... United States of America, US ...</t>
  </si>
  <si>
    <t>https://www.detroitnews.com/story/weather/2023/07/14/severe-thunderstorms-to-sweep-through-se-michigan-potential-1-inch-hail/70413147007/</t>
  </si>
  <si>
    <t>Severe thunderstorms bring hail, possible tornado to SE Michigan</t>
  </si>
  <si>
    <t>Updated July 14, 2023, 10:48 p.m. ET. Rain, thunder, hail and what may have been a ... In Rochester, an early evening storm downed a tree on University ...</t>
  </si>
  <si>
    <t>https://www.chicagotribune.com/2023/07/16/a-flash-flood-on-a-pennsylvania-road-claims-at-least-4-lives/</t>
  </si>
  <si>
    <t>A flash flood on a Pennsylvania road claims at least 4 lives</t>
  </si>
  <si>
    <t>Jul 16, 2023 ... ... in the town of Smethport, in north-central Pennsylvania. That storm also holds the U.S. record for the most rain in 60 minutes, six hours ...</t>
  </si>
  <si>
    <t>https://www.cnn.com/2023/07/11/us/northeast-storms-flooding-excessive-rainfall-tuesday</t>
  </si>
  <si>
    <t>Catastrophic flooding swamped Vermont's capital as intense storms ...</t>
  </si>
  <si>
    <t>Jul 11, 2023 ... In the northern part of the state, a state of emergency was declared for the town of Long Lake due to severe flooding that destroyed roads ...</t>
  </si>
  <si>
    <t>https://www.npr.org/2023/07/11/1187012088/floods-vermont-new-york-new-england</t>
  </si>
  <si>
    <t>Heavy rains produce major floods across the Northeast - NPR</t>
  </si>
  <si>
    <t>Jul 11, 2023 ... Heavy rains produce major floods in Vermont, New York and other parts of the Northeast · Pedestrians walk along Main Street in Highland Falls, ...</t>
  </si>
  <si>
    <t>https://www.washingtonpost.com/weather/2023/07/27/northeast-severe-storms-flooding-tornadoes/</t>
  </si>
  <si>
    <t>Severe storms with high winds and flooding forecast to blast Northeast</t>
  </si>
  <si>
    <t>Jul 27, 2023 ... ... of the busiest highway corridors of the United States. The elevated ... north-central Massachusetts, southeast Vermont and southern New Hampshire.</t>
  </si>
  <si>
    <t>https://www.usatoday.com/story/news/weather/2023/07/11/tuesday-weather-forecast-july-10-vermont-rainfall-to-clear/70400426007/</t>
  </si>
  <si>
    <t>Heavy rain, flash flooding expected to clear New England. Texas ...</t>
  </si>
  <si>
    <t>Jul 11, 2023 ... ... northern Vermont to northeast New York, the NWS reports, bringing a risk of either flash flooding or main-stem river flooding early in the day.</t>
  </si>
  <si>
    <t>https://www.usatoday.com/story/news/nation/2023/07/12/vermont-flooding-updates-northeast-braces-more-storms/70404895007/</t>
  </si>
  <si>
    <t>Vermont flooding updates: Battered Northeast braces for more storms</t>
  </si>
  <si>
    <t>Jul 12, 2023 ... MONTPELIER, Vt. − Vermont residents across the state are toiling Wednesday amid a monumental cleanup after historic rains fueled devastating ...</t>
  </si>
  <si>
    <t>https://www.usatoday.com/story/news/nation/2023/07/19/heat-wave-live-updates-phoenix-texas-records/70429692007/</t>
  </si>
  <si>
    <t>Live updates: Heat wave grips Phoenix, Tornado in North Carolina</t>
  </si>
  <si>
    <t>Jul 19, 2023 ... Oppressive temperatures will keep spreading across the south-central and southeast U.S. ... in the South or West, severe weather was the story ...</t>
  </si>
  <si>
    <t>https://www.washingtonpost.com/weather/2023/08/04/severe-weather-storms-midwest-northeast/</t>
  </si>
  <si>
    <t>Severe storms to sweep from Midwest to East Coast Saturday to ...</t>
  </si>
  <si>
    <t>Aug 4, 2023 ... Storms with damaging winds, hail and even an isolated tornado could affect Kansas City, Mo., Chicago, Nashville and Washington.</t>
  </si>
  <si>
    <t>https://www.washingtonpost.com/weather/2023/08/02/july-severe-thunderstorms-weather-us/</t>
  </si>
  <si>
    <t>The U.S. just saw its busiest July for severe thunderstorms on record</t>
  </si>
  <si>
    <t>Aug 2, 2023 ... They also can produce hail, flooding and occasional tornadoes. The northern and central Plains, the Great Lakes and the Northeast found ...</t>
  </si>
  <si>
    <t>https://www.latimes.com/world-nation/story/2023-08-28/la-na-hawaii-maui-tourism</t>
  </si>
  <si>
    <t>After Hawaii wildfire, Maui courts tourists — with caveats - LA Times</t>
  </si>
  <si>
    <t>Aug 28, 2023 ... Inside the airport — the island's primary entry point for visitors from the continental United States — most everyone from the Hawaiian-shirt ...</t>
  </si>
  <si>
    <t>https://www.ap.org/news-highlights/best-of-the-week/2023/ap-breaks-engagement-records-coverage-maui-wildfire/</t>
  </si>
  <si>
    <t>Speedy, smart coverage on Hawaii's wildfire breaks AP engagement ...</t>
  </si>
  <si>
    <t>Aug 18, 2023 ... Speedy, smart coverage on Hawaii's wildfire ... For aggressive reporting under extreme conditions on the deadliest wildfire in the U.S. ... 18, 2023.</t>
  </si>
  <si>
    <t>https://bendbulletin.com/2023/08/22/disasters-like-hilary-are-a-magnet-for-fraudsters-look-out-for-these-scams/</t>
  </si>
  <si>
    <t>Disasters like Hilary are a magnet for fraudsters. Look out for these ...</t>
  </si>
  <si>
    <t>Aug 22, 2023 ... ... wildfire-wracked communities. Unfortunately ... Hawaii wildfires aware of rumors and scams ... If it's the president of the United States ...</t>
  </si>
  <si>
    <t>https://www.sfchronicle.com/travel/article/hawaii-fire-maui-lahaina-18289213.php</t>
  </si>
  <si>
    <t>Maui fires: List of Lahaina hotels, businesses damaged by blazes</t>
  </si>
  <si>
    <t>Aug 10, 2023 ... ... in the state with its own farm, was destroyed in the wildfires. The ... Maui fire donations: How to help victims of wildfire disaster in Hawaii.</t>
  </si>
  <si>
    <t>https://www.npr.org/2023/08/15/1193710165/maui-wildfires-deadliest-us-history</t>
  </si>
  <si>
    <t>Maui joins the list of deadliest wildfires in recorded U.S. history - NPR</t>
  </si>
  <si>
    <t>Aug 15, 2023 ... Maui's wildfires are among the deadliest on record in the U.S. Here are some others. Updated August 15, 2023 ... Hawaii officials confirmed 101 ...</t>
  </si>
  <si>
    <t>https://www.nytimes.com/2023/08/09/us/hurricane-dora-hawaii-wildfires.html</t>
  </si>
  <si>
    <t>Maui Town Is Devastated by Deadliest Wildfire to Strike Hawaii</t>
  </si>
  <si>
    <t>Aug 10, 2023 ... They were rescued by the U.S. Coast Guard, Maui County officials said. Others escaped by car, driving past flames in the shadow of the West Maui ...</t>
  </si>
  <si>
    <t>https://www.nytimes.com/2023/08/13/us/hawaii-wildfire-factors.html</t>
  </si>
  <si>
    <t>How Invasive Plants Caused the Maui Fires to Rage</t>
  </si>
  <si>
    <t>Aug 15, 2023 ... ... wildfires of all the communities in the county. ... Hawaii also competes for federal wildfire grants with more than a dozen other Western states ...</t>
  </si>
  <si>
    <t>https://www.washingtonpost.com/climate-environment/2023/08/13/maui-wildfire-started-spread/</t>
  </si>
  <si>
    <t>How the Maui wildfire devastated Lahaina, hour by hour</t>
  </si>
  <si>
    <t>Aug 13, 2023 ... August 13, 2023More than 2 years ago. 12 min. (Video ... The Hawaii wildfires are the United States' deadliest in more than 100 years.</t>
  </si>
  <si>
    <t>https://www.washingtonpost.com/weather/2023/08/12/hawaii-fires-climate-change-maui/</t>
  </si>
  <si>
    <t>Maui fires not just due to climate change but a 'compound disaster</t>
  </si>
  <si>
    <t>Aug 12, 2023 ... The Hawaii wildfires are the United States' deadliest in more than 100 years. Here's how the wildfires devastated Lahaina. Maps: See where ...</t>
  </si>
  <si>
    <t>https://nypost.com/2023/08/05/august-storm-to-trigger-severe-weather-across-midwest-and-northeast/</t>
  </si>
  <si>
    <t>August storm to trigger severe weather across Midwest and Northeast</t>
  </si>
  <si>
    <t>Aug 5, 2023 ... ... 2023. Updated Aug. 5, 2023, 10:26 p.m. ET. Comments. August storm to ... severe weather in the Northeast on Tuesday. Read More. Filed under.</t>
  </si>
  <si>
    <t>https://www.mprnews.org/story/2023/08/11/severe-storms-sweep-across-minnesota-drop-large-hail-in-twin-cities</t>
  </si>
  <si>
    <t>Severe storms sweep across Minnesota, drop large hail in Twin Cities</t>
  </si>
  <si>
    <t>Aug 11, 2023 ... The heavy rain fell in areas of the state that have been stuck in drought conditions for months. A wind gust of 68 mph was reported in St. Paul ...</t>
  </si>
  <si>
    <t>https://dailyprogress.com/news/local/weather/article_448c298e-9e47-5b92-81f1-eb629da9744d.html</t>
  </si>
  <si>
    <t>Franklin, Idalia, Jose and the 2023 Atlantic Hurricane Names</t>
  </si>
  <si>
    <t>Aug 31, 2023 ... ... in the Atlantic, here are the 2023 ... However, Jose poses no threat to the United States, either directly or indirectly. ... Hurricane Idalia made ...</t>
  </si>
  <si>
    <t>https://dailyprogress.com/news/local/weather/hurricane-lee-update-september-thursday-september-7/article_bdc07583-a84b-5df1-a297-1f23d8524358.html</t>
  </si>
  <si>
    <t>Hurricane Lee should bring indirect impacts to US East Coast</t>
  </si>
  <si>
    <t>Sep 7, 2023 Updated Sep 7, 2023; 0. ×. Video Player is loading. ... Hurricane Idalia made landfall in ... United States of America, US Virgin ...</t>
  </si>
  <si>
    <t>https://dailyprogress.com/news/nation-world/article_9a0b101e-71ff-58a8-aa9d-04bed4809b1f.html</t>
  </si>
  <si>
    <t>Hurricane Idalia, Steve Scalise, Ryder Cup updates | podcast</t>
  </si>
  <si>
    <t>Aug 30, 2023 ... Florida prepares for Hurricane Idalia; Rep. ... Aug 30, 2023; 0. 2 min to read. Facebook ... United States of America, US Virgin Islands ...</t>
  </si>
  <si>
    <t>https://dailyprogress.com/news/local/weather/article_f5794020-4891-59e2-bf22-ce6b9ef7a7d8.html</t>
  </si>
  <si>
    <t>Hurricane Lee's large, likely strike eastern Canada Saturday</t>
  </si>
  <si>
    <t>Sep 15, 2023 ... Here are all of the 2023 ... Hurricane Idalia initially formed Aug. 24 ... United States coast before calling it Ophelia the afternoon of Sept.</t>
  </si>
  <si>
    <t>https://dailyprogress.com/news/local/weather/article_9d1a1744-4ccb-57db-a6ce-61be4a3d2fc4.html</t>
  </si>
  <si>
    <t>Hurricane Lee forecast for E. New England or Nova Scotia</t>
  </si>
  <si>
    <t>Sep 12, 2023 ... Here are all of the 2023 ... Hurricane Idalia initially formed Aug. 24 ... United States coast before calling it Ophelia the afternoon of Sept.</t>
  </si>
  <si>
    <t>https://www.news-journalonline.com/story/weather/hurricane/2023/08/31/national-hurricane-center-two-week-forecast-for-florida-jose-idalia-franklin-peak-period/70727772007/</t>
  </si>
  <si>
    <t>Hurricane forecast for Florida: Jose, Idalia, Franklin. What's next?</t>
  </si>
  <si>
    <t>Aug 31, 2023 ... ... Hurricane Idalia and its aftermath from journalists across the USA TODAY network ... 2023 disaster preparedness sales tax holiday. The ...</t>
  </si>
  <si>
    <t>https://www.miamiherald.com/news/weather/hurricane/article278746949.html</t>
  </si>
  <si>
    <t>Hurricane Idalia leaves Florida as damage assessment begins</t>
  </si>
  <si>
    <t>Aug 30, 2023 ... ... Hurricane Idalia in Tarpon Springs, Florida on August 30, 2023. GREG LOVETT/THE PALM BEACH POST GREG LOVETT/THE PALM BEACH POST / USA TODAY ...</t>
  </si>
  <si>
    <t>https://www.miamiherald.com/news/weather/hurricane/article278718434.html</t>
  </si>
  <si>
    <t>Updated forecasts of Hurricane Franklin, another two systems</t>
  </si>
  <si>
    <t>Aug 29, 2023 ... While Hurricane Idalia moves through the Gulf of Mexico and toward ... of the United States. These conditions are expected to continue ...</t>
  </si>
  <si>
    <t>https://www.miamiherald.com/news/weather/hurricane/article278789189.html</t>
  </si>
  <si>
    <t>Florida's Big Bend sees major power loss after Hurricane Idalia</t>
  </si>
  <si>
    <t>Aug 30, 2023 ... Hurricane Idalia left entire swaths of North Florida without power, with more than 100,000 customers reporting outages in the state's Big ...</t>
  </si>
  <si>
    <t>https://www.miamiherald.com/news/local/community/florida-keys/article278722699.html</t>
  </si>
  <si>
    <t>How is Hurricane Idalia affecting weather in the ... - Miami Herald</t>
  </si>
  <si>
    <t>Aug 29, 2023 ... How is Hurricane Idalia affecting weather in the Florida Keys? What's happening now. By David Goodhue. Updated August 29, 2023 1:22 PM.</t>
  </si>
  <si>
    <t>https://www.thestate.com/news/weather-news/article278810119.html</t>
  </si>
  <si>
    <t>Thousands left in the dark after Idalia moves beyond South Carolina</t>
  </si>
  <si>
    <t>Aug 31, 2023 ... ... Hurricane Idalia's storm surge and strong winds on the late afternoon of Aug. 30, 2023. By Karl Puckett. The remnants of Hurricane Idalia ...</t>
  </si>
  <si>
    <t>https://www.npr.org/2023/09/07/1197943623/hurricane-idalia-flamingos-ohio-florida-texas-carolina</t>
  </si>
  <si>
    <t>Hurricane Idalia flung flamingos as far north as Pennsylvania - NPR</t>
  </si>
  <si>
    <t>Sep 7, 2023 ... Not in the Yucatan anymore: Hurricane Idalia flung flamingos across the eastern U.S.. Updated September 7, 202312:56 PM ET Originally ...</t>
  </si>
  <si>
    <t>https://www.npr.org/2023/08/31/1196934789/idalia-extends-destruction-along-u-s-coastline</t>
  </si>
  <si>
    <t>Idalia extends its destruction along the southeastern U.S. coastline</t>
  </si>
  <si>
    <t>Aug 31, 2023 ... Hurricane Idalia made landfall near Keaton Beach, Fla., on Wednesday as a Category 3 storm before it was downgraded to a tropical storm.</t>
  </si>
  <si>
    <t>https://www.usatoday.com/story/news/weather/2023/08/30/hurricane-idalia-path-tracker-live-florida/70709303007/</t>
  </si>
  <si>
    <t>Hurricane Idalia path tracker: Map shows storm landing in Florida</t>
  </si>
  <si>
    <t>USA TODAY. Updated Aug. 30, 2023, 8:02 a.m. ET. Hurricane Idalia eased to a Category 3 storm Wednesday as it landed in Florida with sustained winds near 125 ...</t>
  </si>
  <si>
    <t>https://www.washingtonpost.com/nation/2023/09/13/flamingos-us-spotted-hurricane-idalia/</t>
  </si>
  <si>
    <t>Hurricane Idalia may have diverted flamingos to unusual U.S. states</t>
  </si>
  <si>
    <t>Flamingos have been spotted across the U.S. Hurricane Idalia may be why. September 13, 2023More than 2 years ago. 4 min. Make us preferred on Google.</t>
  </si>
  <si>
    <t>https://www.washingtonpost.com/weather/2023/08/30/hurricane-idalia-loop-forecast/</t>
  </si>
  <si>
    <t>Could Idalia make a loop and revisit the Southeast next week?</t>
  </si>
  <si>
    <t>Aug 30, 2023 ... ... United States next week; however, the number of simulations has ... Live updates: Hurricane Idalia races northward after Florida landfall.</t>
  </si>
  <si>
    <t>https://www.miamiherald.com/news/weather/hurricane/article278796459.html</t>
  </si>
  <si>
    <t>Photos: Hurricane Idalia hits Florida | Wednesday, Aug. 30, 2023</t>
  </si>
  <si>
    <t>Aug 30, 2023 ... United States · Cuba · Haiti · Venezuela · Americas. Sports. Sports ... Photos: Hurricane Idalia hits Florida | Wednesday, Aug. 30, 2023. 1 ...</t>
  </si>
  <si>
    <t>https://www.miamiherald.com/news/business/article279383049.html</t>
  </si>
  <si>
    <t>Miami area boasts Florida's lowest jobless rate in August</t>
  </si>
  <si>
    <t>Sep 15, 2023 ... United States · Cuba · Haiti ... The figures reflect conditions in mid-August, before the Category 3 Hurricane Idalia made landfall Aug.</t>
  </si>
  <si>
    <t>https://www.al.com/hurricane/2023/08/hurricane-idalia-will-it-affect-alabama.html</t>
  </si>
  <si>
    <t>Hurricane Idalia: Will it affect Alabama? - al.com</t>
  </si>
  <si>
    <t>Aug 29, 2023 ... | Published: Aug. 29, 2023, 8:02 p.m.. Hurricane Idalia track 7 p.m. Idalia became a hurricane earlier Tuesday and had 110 ...</t>
  </si>
  <si>
    <t>https://www.cnn.com/2023/08/31/business/hurricane-idalia-price-tag</t>
  </si>
  <si>
    <t>Hurricane Idalia's price tag could cost $20 billion in damage ...</t>
  </si>
  <si>
    <t>Aug 31, 2023 ... ... Hurricane Idalia passed offshore on August 30, 2023 in Hudson, Florida. ... in the United States, according to the National Hurricane Center.</t>
  </si>
  <si>
    <t>https://apnews.com/article/florida-hurricane-idalia-2136985ceea53f5deb600c43aeea1138</t>
  </si>
  <si>
    <t>Hurricane Idalia hits Florida with 125 mph winds, flooding streets ...</t>
  </si>
  <si>
    <t>Aug 30, 2023 ... ... Aug. 30, 2023, left behind by Hurricane Idalia. (AP Photo/Daniel Kozin). Read More. Sailboat owners Shawn Murphy, right, and his wife Sandy ...</t>
  </si>
  <si>
    <t>https://www.washingtonpost.com/weather/2023/08/29/idalia-rapid-intensification-hurricanes-climate/</t>
  </si>
  <si>
    <t>Hurricane Idalia's rapid intensification is becoming the norm for gulf ...</t>
  </si>
  <si>
    <t>Aug 30, 2023 ... Make us preferred on Google. Satellite view of Hurricane Idalia on Tuesday morning. (NOAA). By Dan Stillman. Hurricane Idalia, fueled by ...</t>
  </si>
  <si>
    <t>https://www.jacksonville.com/story/weather/hurricane/2023/08/30/hurricane-idalia-live-updates-for-jacksonville-northeast-florida-wednesday/70716074007/</t>
  </si>
  <si>
    <t>Hurricane Idalia live updates for Jacksonville, Northeast Florida</t>
  </si>
  <si>
    <t>... of the utility's 18,320 customers in Columbia County. 1 p.m. Hurricane Idalia update: Storm at 80 mph over Georgia. More than five hours after landfall ...</t>
  </si>
  <si>
    <t>https://www.islandpacket.com/news/weather/hurricane/article278792729.html</t>
  </si>
  <si>
    <t>Live updates: Hurricane Idalia power outages</t>
  </si>
  <si>
    <t>Aug 31, 2023 ... Tropical Storm Idalia has moved past South Carolina and back into the Atlantic, but several thousand in the state remain without power as of ...</t>
  </si>
  <si>
    <t>https://www.miamiherald.com/news/weather/hurricane/article279223344.html</t>
  </si>
  <si>
    <t>Hurricane Idalia's death toll increases to four in Florida | Miami Herald</t>
  </si>
  <si>
    <t>Sep 13, 2023 ... United States · Cuba · Haiti · Venezuela · Americas ... A man who crashed during Hurricane Idalia is now Florida's fourth storm-related death.</t>
  </si>
  <si>
    <t>https://www.ocala.com/story/weather/hurricane/2023/08/30/what-you-need-to-know-about-hurricane-idalia-in-ocalamarion/70713188007/</t>
  </si>
  <si>
    <t>What you need to know about Hurricane Idalia in Ocala/Marion</t>
  </si>
  <si>
    <t>Aug 30, 2023 ... Helping out elsewhere in Florida. Marion County fared well during Hurricane Idalia, but not all parts of the state were as fortunate. "The ...</t>
  </si>
  <si>
    <t>https://www.miamiherald.com/news/weather/hurricane/article278727934.html</t>
  </si>
  <si>
    <t>Hurricane Idalia: When will Florida feel the worst of it? | Miami Herald</t>
  </si>
  <si>
    <t>Aug 30, 2023 ... ... USA TODAY NETWORK. Florida is feeling Hurricane Idalia's gusty winds and rain as the storm treks closer to the state. The National Hurricane ...</t>
  </si>
  <si>
    <t>https://www.al.com/hurricane/2023/08/tropical-storm-idalia-moves-away-from-us.html</t>
  </si>
  <si>
    <t>Tropical Storm Idalia moves away from US - al.com</t>
  </si>
  <si>
    <t>31, 2023, 11:49 a.m.; | Published: Aug. 31, 2023, 10:17 ... One of those storms is the former Hurricane Idalia, which made landfall on Florida's Gulf Coast ...</t>
  </si>
  <si>
    <t>https://www.thestate.com/news/weather-news/article278814874.html</t>
  </si>
  <si>
    <t>What kind of damage did Idalia cause in SC? Take a look - The State</t>
  </si>
  <si>
    <t>Aug 31, 2023 ... ... Hurricane Idalia was downgraded to a tropical storm after hitting the gulf coast of Florida on Wednesday but brought heavy rains, coastal ...</t>
  </si>
  <si>
    <t>https://www.npr.org/2023/08/31/1196953443/hurricane-idalia-damage-florida</t>
  </si>
  <si>
    <t>Hurricane Idalia updates: Florida assesses damage - NPR</t>
  </si>
  <si>
    <t>Aug 31, 2023 ... ... Hurricane Idalia crossed the state on Wednesday. Sean Rayford/Getty ... The path of the storm may have helped spare the state some damage.</t>
  </si>
  <si>
    <t>https://www.usatoday.com/story/news/nation/2023/07/02/midwest-drought-impact-on-food-prices-farmers/70357197007/</t>
  </si>
  <si>
    <t>Midwest drought amid West's water crisis - USA Today</t>
  </si>
  <si>
    <t>Jul 3, 2023 ... Farmer Jose Esquivel prepares to feed his livestock on June 14, 2023 in Quemado,. What is happening with the Midwestern drought? Many states are ...</t>
  </si>
  <si>
    <t>https://dailyprogress.com/news/nation-world/weather/californias-death-valley-sizzles-as-brutal-heat-wave-continues/article_ed3b4645-b504-50fa-b740-5d8859be283e.html</t>
  </si>
  <si>
    <t>California's Death Valley sizzles as brutal heat wave continues</t>
  </si>
  <si>
    <t>Jul 16, 2023 ... Jul 16, 2023 ... in the Southwest looks set to become the longest heat wave on record. Parts of the Southern U.S., Midwest ... United States of ...</t>
  </si>
  <si>
    <t>https://www.npr.org/2023/07/15/1187979027/heat-wave-southwest-california-phoenix-las-vegas</t>
  </si>
  <si>
    <t>A punishing heat wave hits the West and Southwest U.S. - NPR</t>
  </si>
  <si>
    <t>Jul 15, 2023 ... A heat wave ramped up across the Western United States over the ... Central and Southern states continue to endure dangerously high temperatures.</t>
  </si>
  <si>
    <t>https://www.washingtonpost.com/weather/2023/08/17/heat-wave-texas-excessive-heat-warning/</t>
  </si>
  <si>
    <t>Heat wave coming to central U.S., with excessive heat warning in ...</t>
  </si>
  <si>
    <t>Aug 17, 2023 ... Brutal heat wave developing over central U.S., with excessive heat watches in Midwest ... Dueling heat waves — across Texas and the South, and in ...</t>
  </si>
  <si>
    <t>https://www.usatoday.com/story/news/weather/2023/07/25/heat-wave-coming-for-midwest-northeast/70463287007/</t>
  </si>
  <si>
    <t>Heat wave on the way for Midwest, Northeast this week - USA Today</t>
  </si>
  <si>
    <t>Jul 25, 2023 ... 'Hottest weather of the summer': Heat wave takes aim at Midwest, Northeast ... After punishing the western and southern U.S. with record ...</t>
  </si>
  <si>
    <t>https://www.washingtonpost.com/weather/2023/07/12/heat-wave-forecast-arizona-texas-southwest/</t>
  </si>
  <si>
    <t>Unforgiving heat wave forecast in swaths of U.S. in the coming days</t>
  </si>
  <si>
    <t>Jul 12, 2023 ... Unforgiving heat wave forecast in swaths of U.S. in the coming days ... Outside the South, parts of the southern Plains and Midwest are ...</t>
  </si>
  <si>
    <t>https://www.washingtonpost.com/weather/2023/09/02/heat-wave-midwest-plains-midatlantic/</t>
  </si>
  <si>
    <t>Major heat wave to bake Plains, Midwest, Mid-Atlantic and Northeast</t>
  </si>
  <si>
    <t>Sep 2, 2023 ... September heat wave to invade central U.S. before scorching the Mid-Atlantic ... Having already overstayed its welcome across much of the southern ...</t>
  </si>
  <si>
    <t>https://www.expressnews.com/news/article/texas-san-antonio-heat-dome-power-record-deaths-18175310.php</t>
  </si>
  <si>
    <t>Texas heat wave: 8 stories that show its brutal impact</t>
  </si>
  <si>
    <t>Jun 28, 2023 ... The flow in the river just down stream from the state ... The heat wave not only is putting extra ... June 28, 2023 |Updated June 28, 2023 1:45 p.m..</t>
  </si>
  <si>
    <t>https://www.capitalgazette.com/2023/08/25/climate-change-may-force-more-farmers-and-ranchers-to-consider-irrigation/</t>
  </si>
  <si>
    <t>Climate change may force more farmers and ranchers to consider ...</t>
  </si>
  <si>
    <t>Aug 25, 2023 ... PUBLISHED: August 25, 2023 ... But now — with an extended drought and another U.S. heat wave ... In much of the Midwest, including the corn- and ...</t>
  </si>
  <si>
    <t>https://www.capitalgazette.com/2023/08/28/workers-exposed-to-extreme-heat-have-no-consistent-protection-in-the-us/</t>
  </si>
  <si>
    <t>Workers exposed to extreme heat have no consistent protection in ...</t>
  </si>
  <si>
    <t>Aug 28, 2023 ... A historic heat wave that began blasting the Southwest and other parts of the ... drought, flood and wildfires. ... Most of the hottest U.S. states ...</t>
  </si>
  <si>
    <t>https://martinsvillebulletin.com/news/article_42b75a62-ee98-11ed-95e9-639666a3d8bd.html</t>
  </si>
  <si>
    <t>Boundary in dispute: 35-year Patrick resident says he's just been ...</t>
  </si>
  <si>
    <t>May 9, 2023 ... May 9, 2023; May 9, 2023; 0. 1 of 2. Rick Ward ... drought. ROSWELL ... States in the Midwest started to bake Monday in the dangerous heat wave ...</t>
  </si>
  <si>
    <t>https://www.washingtonpost.com/climate-solutions/2023/07/21/arizona-heat-wildlife-water-supply/</t>
  </si>
  <si>
    <t>Arizona officials replenish wildlife water supplies during heat wave</t>
  </si>
  <si>
    <t>Jul 21, 2023 ... How Arizona is quenching animals' thirst during historic heat wave. July 21, 2023 ... Extreme heat kills more people in the United States ...</t>
  </si>
  <si>
    <t>https://www.washingtonpost.com/weather/2023/05/10/canada-northern-hemisphere-fire-heat-drought/</t>
  </si>
  <si>
    <t>Parts of U.S. and Canada brace for potentially historic heat wave</t>
  </si>
  <si>
    <t>May 10, 2023 ... An extreme early-season heat wave is on the way to western Canada and parts of the U.S. It's one of a number of places worldwide facing ...</t>
  </si>
  <si>
    <t>https://www.nytimes.com/live/2023/06/29/us/heat-wave-weather-forecast</t>
  </si>
  <si>
    <t>Heat Wave Stretches Across U.S. South on Thursday</t>
  </si>
  <si>
    <t>Jun 29, 2023 ... Climate change has made the ongoing heat wave in the Southern United States ... drought in the region. According to the authorities, the ...</t>
  </si>
  <si>
    <t>https://www.washingtonpost.com/weather/2023/08/28/record-heat-gulf-coast-water-temperatures/</t>
  </si>
  <si>
    <t>Gulf Coast temperatures surge to highest levels ever observed</t>
  </si>
  <si>
    <t>Aug 28, 2023 ... Extreme heat kills more people in the United States than any other weather hazard. When there's a heat wave, there are precautions you can take.</t>
  </si>
  <si>
    <t>https://www.washingtonpost.com/weather/2023/07/22/california-water-supply-lakes-reservoirs/</t>
  </si>
  <si>
    <t>How California's weather catastrophe turned into a miracle</t>
  </si>
  <si>
    <t>Jul 22, 2023 ... ... heat wave could create yet another water crisis for the state. Water ... Now, moderate drought covers about 6 percent of the state.</t>
  </si>
  <si>
    <t>https://www.npr.org/2023/12/20/1220558995/east-coast-storm-causes-major-flooding-across-the-northeast</t>
  </si>
  <si>
    <t>East Coast storm causes major flooding across the Northeast - NPR</t>
  </si>
  <si>
    <t>Dec 20, 2023 ... Emergencies were declared in some states. And in Maine, where more than 400,000 people, more than a third of the state, were without electricity ...</t>
  </si>
  <si>
    <t>https://www.washingtonpost.com/weather/2023/12/21/east-coast-storm-atmospheric-river/</t>
  </si>
  <si>
    <t>Atmospheric river intensified deadly East Coast storm, flooding</t>
  </si>
  <si>
    <t>Dec 21, 2023 ... Every state from Florida to Maine saw at least 4 inches of rain. Here's what was behind the storm. December 21, 2023More than 2 years ago.</t>
  </si>
  <si>
    <t>https://www.washingtonpost.com/weather/2023/12/18/east-coast-storm-winds-flooding-outages/</t>
  </si>
  <si>
    <t>Record-setting storm wallops East Coast with flooding, high winds</t>
  </si>
  <si>
    <t>Dec 18, 2023 ... Over 800000 customers were without power in the Northeast on Monday afternoon, while major coastal flooding pushed water levels up to 4 feet ...</t>
  </si>
  <si>
    <t>https://www.washingtonpost.com/weather/2024/01/07/storm-flooding-blizzard-tornadoes/</t>
  </si>
  <si>
    <t>Central, eastern United States face blizzard, severe storms, flooding</t>
  </si>
  <si>
    <t>Jan 7, 2024 ... After a relatively quiet end to 2023, the atmosphere is cranking out storms in hyperdrive mode. A high-impact storm system is about to slam ...</t>
  </si>
  <si>
    <t>https://www.washingtonpost.com/weather/2023/12/16/coastal-storm-east-coast-flooding-winds/</t>
  </si>
  <si>
    <t>Major storm with heavy rain, coastal flooding, high winds lashing ...</t>
  </si>
  <si>
    <t>Dec 17, 2023 ... However, this year there is little cold air in the eastern United States, so mostly rain will fall until some snow wraps around on the ...</t>
  </si>
  <si>
    <t>https://www.nytimes.com/2023/12/19/us/new-england-power-outages-storm.html</t>
  </si>
  <si>
    <t>Power Outages and Flooding Afflict New England After Storm</t>
  </si>
  <si>
    <t>Dec 19, 2023 ... Government forecasters expect more precipitation than usual for the eastern United States from December through February, with warmer ...</t>
  </si>
  <si>
    <t>https://apnews.com/article/severe-weather-northeast-64d2276c10ce2e7633ecb6df64f45d33</t>
  </si>
  <si>
    <t>Floods hit the Northeast as a storm hits the East Coast - AP News</t>
  </si>
  <si>
    <t>Dec 18, 2023 ... PORTLAND, Maine (AP) — A storm barreled into the Northeastern U.S. on Monday, flooding roads and downing trees, knocking out power to ...</t>
  </si>
  <si>
    <t>https://www.npr.org/2024/01/10/1223949931/winter-storm-northeast-south-flooding-power-outages</t>
  </si>
  <si>
    <t>The Northeast and South are recovering after a huge, deadly winter ...</t>
  </si>
  <si>
    <t>Jan 10, 2024 ... ... tornadoes snarled traffic and knocked out power up and down the East Coast ... tornadoes were reported in the state. One tornado in ...</t>
  </si>
  <si>
    <t>https://www.washingtonpost.com/weather/2024/01/11/storm-blizzard-tornadoes-flooding-wind/</t>
  </si>
  <si>
    <t>Forecast by city for winter storm expected to bring blizzards, tornadoes</t>
  </si>
  <si>
    <t>Jan 12, 2024 ... ... tornadoes in the South ... Two major storms have hit the central and eastern United States this week, and a third is rampaging east.</t>
  </si>
  <si>
    <t>https://www.washingtonpost.com/weather/2024/01/09/florida-tornado-damage-southeast-storms/</t>
  </si>
  <si>
    <t>Tornadoes devastate parts of Gulf Coast as storms sweep U.S.</t>
  </si>
  <si>
    <t>Jan 9, 2024 ... Three people were killed in Southern storms, authorities say, and a fourth death was under investigation. Updated January 9, 2024More than 2 ...</t>
  </si>
  <si>
    <t>https://www.nytimes.com/live/2024/01/09/us/weather-forecast-storm-snow-rain</t>
  </si>
  <si>
    <t>Tornadoes, Blizzards, Floods: Severe Storms Hit Vast Sections of U.S.</t>
  </si>
  <si>
    <t>Jan 9, 2024 ... At least four weather-related deaths had been reported across the South. Published Jan. 9, 2024Updated May 24, 2025.</t>
  </si>
  <si>
    <t>https://www.washingtonpost.com/weather/2024/01/10/blizzard-severe-storms-wind-flooding-numbers/</t>
  </si>
  <si>
    <t>Parts of U.S. assess damage from flooding, tornadoes, power outages</t>
  </si>
  <si>
    <t>Jan 10, 2024 ... Updated January 10, 2024More than 2 years ago. 7 min. Make us ... Along a swath from East Texas across the South and then up the East Coast ...</t>
  </si>
  <si>
    <t>https://www.washingtonpost.com/weather/2024/01/10/blizzard-tornado-storm-snow/</t>
  </si>
  <si>
    <t>A third storm will sweep across the U.S. with a blizzard and tornadoes</t>
  </si>
  <si>
    <t>Jan 10, 2024 ... Another winter storm could threaten the East Coast by the ... severe weather over portions of Texas, Arkansas and Louisiana for Thursday.</t>
  </si>
  <si>
    <t>https://www.cnn.com/2024/01/12/weather/winter-weather-alerts-blizzard-floods</t>
  </si>
  <si>
    <t>Blizzard warning: Life-threatening snow storm will slam Iowa ... - CNN</t>
  </si>
  <si>
    <t>Jan 12, 2024 ... 'Life-threatening' blizzard will slam Iowa as record-low temps or tornado-spawning storms could hit the South and East Coast ... Severe weather 17 ...</t>
  </si>
  <si>
    <t>https://www.usatoday.com/story/news/weather/2024/01/10/florida-tornadoes-damage-photos/72172938007/</t>
  </si>
  <si>
    <t>Florida tornadoes: Photos show damage in Panama City, Marianna ...</t>
  </si>
  <si>
    <t>Jan 10, 2024 ... Marianna, the "City of Southern Charm," is located just south of the Alabama border. ... More storm damage around the state. Further west on the ...</t>
  </si>
  <si>
    <t>https://www.nytimes.com/2024/01/09/us/tornado-storms-georgia-florida.html</t>
  </si>
  <si>
    <t>4 Killed as Storms and Likely Tornadoes Tear Through ...</t>
  </si>
  <si>
    <t>Jan 10, 2024 ... The Weather Service also planned to examine storm damage in ... us, which aggregates data from utilities across the United States. In ...</t>
  </si>
  <si>
    <t>https://www.usatoday.com/story/news/weather/2024/01/09/winter-storm-snow-rain-floods-tornado-live-updates/72157053007/</t>
  </si>
  <si>
    <t>Winter storm live updates: Tornadoes and snow hits across the U.S.</t>
  </si>
  <si>
    <t>Jan 10, 2024 ... Storm damage seen in Panama City Beach, Florida, on Jan. 9, 2024. A half hour later, the National Weather Service in Tallahassee reported a ...</t>
  </si>
  <si>
    <t>https://www.latimes.com/world-nation/story/2024-01-17/pacific-northwest-ice-freezing-rain-other-us-regions-cold</t>
  </si>
  <si>
    <t>Power line falls on car during Oregon ice storm, killing 3 and hurting ...</t>
  </si>
  <si>
    <t>Jan 17, 2024 ... ... winter storm that hit the region over the weekend. The warning area ... The storm hit the northwest corner of the U.S. as much of the ...</t>
  </si>
  <si>
    <t>https://www.usatoday.com/story/news/weather/2024/01/18/winter-storm-weather-forecast-deep-freeze/72262336007/</t>
  </si>
  <si>
    <t>Deep freeze to return to eastern US following deadly winter storms</t>
  </si>
  <si>
    <t>Jan 18, 2024 ... ... winter storm began unleashing freezing temperatures and snow across the Midwest and eastern U.S.. ... in the Pacific Northwest will bring ...</t>
  </si>
  <si>
    <t>https://apnews.com/article/us-winter-weather-snow-freezing-low-temperatures-e4b2f623ff13112ae241b05f3584503e</t>
  </si>
  <si>
    <t>Power line falls on car during Oregon ice storm, killing 3 and injuring ...</t>
  </si>
  <si>
    <t>Jan 18, 2024 ... A winter storm brought frigid tempers and frozen precipitation when it moved into the state Monday night. (Barbara Gauntt/The Clarion-Ledger ...</t>
  </si>
  <si>
    <t>https://apnews.com/article/us-winter-weather-snow-freezing-low-temperatures-026778c69b3f7ac4086c2109754ff781</t>
  </si>
  <si>
    <t>Winter storms: 2 weeks of cold kill dozens. Is a thaw coming?</t>
  </si>
  <si>
    <t>Jan 19, 2024 ... A winter storm and bitter cold is headed through the U.S.. Keep up to ... state government and general news in the Pacific Northwest more broadly.</t>
  </si>
  <si>
    <t>https://www.usatoday.com/story/news/nation/2024/01/16/winter-storm-weather-forecast-freezing-temperatures-live-updates/72239693007/</t>
  </si>
  <si>
    <t>Parts of Oregon powerless amid ice storm: Live updates - USA Today</t>
  </si>
  <si>
    <t>Jan 16, 2024 ... The Pacific Northwest in general was bracing for freezing rain and ... cold wave at most locations,'' the Weather Prediction Center says.</t>
  </si>
  <si>
    <t>https://www.nj.com/weather/2024/01/nj-weather-latest-storm-forecast-calls-for-4-to-6-inches-of-snow-in-parts-of-state-friday.html</t>
  </si>
  <si>
    <t>N.J. weather: Latest storm forecast calls for 4 to 6 inches of snow in ...</t>
  </si>
  <si>
    <t>Jan 18, 2024 ... 17, 2024, 3:48 p.m.. NJ snow forecast for late-week winter storm A late-week winter storm ... state Wednesday morning and have remained in the ...</t>
  </si>
  <si>
    <t>https://www.usatoday.com/story/news/weather/2024/02/10/rain-thunderstorms-floods-us-south-weather-forecast/72545601007/</t>
  </si>
  <si>
    <t>Flooding possible in Texas as thunderstorms spread across US South</t>
  </si>
  <si>
    <t>Feb 10, 2024 ... ... hail," Longley told USA TODAY on Friday. "An isolated tornado or two cannot be completely ruled out." In Texas, the areas expected to see ...</t>
  </si>
  <si>
    <t>https://www.eldoradonews.com/news/2024/mar/07/chance-of-severe-weather-returns-to-much-of/</t>
  </si>
  <si>
    <t>Chance of severe weather returns to much of Arkansas on Thursday ...</t>
  </si>
  <si>
    <t>Mar 7, 2024 ... Most of southern and eastern Arkansas is at a slight risk for severe weather, while the rest of the state is at a marginal risk for severe ...</t>
  </si>
  <si>
    <t>https://www.usatoday.com/story/news/nation/2024/02/28/midwest-weather-forecast-wind-hail-tornado-warnings/72771272007/</t>
  </si>
  <si>
    <t>Wind advisory, hail in forecast for Midwest after tornado warnings</t>
  </si>
  <si>
    <t>Feb 29, 2024 ... Severe weather is also possible along the western slopes of the ... in the southeast part of the state. After investigating on Wednesday ...</t>
  </si>
  <si>
    <t>https://nypost.com/2024/02/27/us-news/54-million-people-at-severe-weather-risk-as-tornadoes-large-hail-threaten-cities-across-us/</t>
  </si>
  <si>
    <t>54 million people at severe weather risk as tornadoes, large hail ...</t>
  </si>
  <si>
    <t>Feb 27, 2024 ... ... tornadoes, large hail threaten cities across US ... Map of the United States showing hail threat areas from eastern Missouri to Ohio and southern ...</t>
  </si>
  <si>
    <t>https://www.washingtonpost.com/weather/2024/03/24/weather-radar-gaps-safety-nws/</t>
  </si>
  <si>
    <t>Radar gaps threaten millions as severe weather season ramps up in ...</t>
  </si>
  <si>
    <t>Mar 24, 2024 ... ... of the contiguous United States. An additional 16 radars are ... of the summer, has one of the nation's highest chances of severe weather.</t>
  </si>
  <si>
    <t>https://nwitimes.com/news/state-regional/business/article_ac4a8e7a-e7b4-11ee-9dfb-7fdeca3abd0d.html</t>
  </si>
  <si>
    <t>Two State Fair featured farmers hail from Northwest Indiana</t>
  </si>
  <si>
    <t>Mar 21, 2024 ... 'Art and Nature of Fun' is theme of 2024 Indiana State Fair ... United States of America, US Virgin Islands ... French Southern Territories ...</t>
  </si>
  <si>
    <t>https://www.usatoday.com/story/news/weather/2024/04/03/severe-weather-wednesday-forecast/73186411007/</t>
  </si>
  <si>
    <t>Severe storms rip across United States with tornadoes, power outages</t>
  </si>
  <si>
    <t>Apr 4, 2024 ... ... of the 1974 tornado 'Super Outbreak' that wreaked havoc in 13 states ... eastern United States were bracing for possible severe weather on ...</t>
  </si>
  <si>
    <t>https://www.washingtonpost.com/weather/2024/04/02/tornado-severe-storms-outbreak-updates/</t>
  </si>
  <si>
    <t>Storm outbreak forecast from Gulf Coast to Ohio Valley, 'intense ...</t>
  </si>
  <si>
    <t>Apr 2, 2024 ... ... of the central United States on April 1 and April 2. (Video: John ... tornado in southeast Nicholas and northeast Fayette counties until 5 p.m. ...</t>
  </si>
  <si>
    <t>https://www.usatoday.com/story/news/nation/2024/04/01/severe-thunderstorms-tornado-hail-forecast-monday/73164237007/</t>
  </si>
  <si>
    <t>Severe thunderstorms threaten central, eastern US with tornadoes ...</t>
  </si>
  <si>
    <t>April 1, 2024Updated April 2, 2024, 12:49 a.m. ET. Powerful storms across the country threatened parts of the central and eastern United States with severe ...</t>
  </si>
  <si>
    <t>https://www.washingtonpost.com/weather/2024/04/03/severe-storms-east-coast-tornado/</t>
  </si>
  <si>
    <t>Severe weather shifts to East Coast after storms hit Ohio Valley, South</t>
  </si>
  <si>
    <t>Damaging winds and a few tornadoes are possible Wednesday from the Mid-Atlantic to Florida. April 3, 2024More than 2 years ago. 5 min. Make us preferred on ...</t>
  </si>
  <si>
    <t>https://bismarcktribune.com/news/nation-world/article_fbb2e8a6-2dbc-5f2c-9aeb-4273d0ee109b.html</t>
  </si>
  <si>
    <t>Severe weather roars through several states; Tesla sales fall; 'SCTV ...</t>
  </si>
  <si>
    <t>Apr 3, 2024 ... Severe weather roars through several states ... Apr 3, 2024; 0. Facebook · Twitter · Bluesky ... United States of America, US Virgin Islands ...</t>
  </si>
  <si>
    <t>https://www.usatoday.com/story/news/weather/2024/04/11/deadly-storm-system-flooding-tornadoes-eastern-us/73282857007/</t>
  </si>
  <si>
    <t>Deadly storm system brings more flood, tornado concerns to eastern ...</t>
  </si>
  <si>
    <t>USA TODAY. April 11, 2024Updated April 12, 2024, 2:21 a.m. ET. Most of the eastern U.S. faced threats of severe weather Thursday evening as a deadly storm ...</t>
  </si>
  <si>
    <t>https://www.washingtonpost.com/weather/2024/04/12/severe-storms-south-pennsylvania-flooding-tornadoes/</t>
  </si>
  <si>
    <t>Powerful storm causes damage from Texas to Pennsylvania</t>
  </si>
  <si>
    <t>Apr 12, 2024 ... ... South and parts of the Ohio Valley. ... While the worst of this week's storm is over, a significant outbreak of severe weather could threaten the ...</t>
  </si>
  <si>
    <t>https://www.washingtonpost.com/weather/2024/04/11/severe-storms-south-ohio-valley/</t>
  </si>
  <si>
    <t>Heavy storms sweeping Ohio Valley, Mid-Atlantic after blasting South</t>
  </si>
  <si>
    <t>Apr 11, 2024 ... ... tornadoes and flooding to southern states. (Video: John Farrell/The ... hail and flooding. The Weather Service Storm Prediction Center ...</t>
  </si>
  <si>
    <t>https://www.cnn.com/2024/04/15/weather/severe-storms-plains-midwest-climate</t>
  </si>
  <si>
    <t>Severe storms expected to unload large hail and tornadoes in ... - CNN</t>
  </si>
  <si>
    <t>Apr 15, 2024 ... In the central US, hail nearly the size of baseballs could pummel portions of Texas and areas from Kansas to southern South Dakota. Storms in ...</t>
  </si>
  <si>
    <t>https://www.mprnews.org/story/2024/04/26/friday-and-sunday-storms-rolling-through-minnesota</t>
  </si>
  <si>
    <t>Friday and Sunday storms rolling through Minnesota | MPR News</t>
  </si>
  <si>
    <t>Apr 26, 2024 ... Nebraska tornado outbreak. We've been lucky that the severe risk has ... Highs most of next week will be in the 60s across southern Minnesota with ...</t>
  </si>
  <si>
    <t>https://www.washingtonpost.com/weather/2024/04/27/tornado-outbreak-texas-oklahoma-missouri-storms/</t>
  </si>
  <si>
    <t>Severe storms, tornadoes to continue overnight across central states</t>
  </si>
  <si>
    <t>Apr 27, 2024 ... ... in the central states, and Sunday will ... On Saturday night, tornado watches stretched from parts of northern Texas through southern ...</t>
  </si>
  <si>
    <t>https://www.cnn.com/2024/04/28/weather/plains-midwest-storms-tornadoes-climate-sunday</t>
  </si>
  <si>
    <t>Oklahoma tornado outbreak: At least 4 killed as threat of severe ...</t>
  </si>
  <si>
    <t>Apr 28, 2024 ... The Storm Prediction Center upped the severe storm threat for Sunday to a level 3 of 5 from eastern Texas to southern Missouri, including ...</t>
  </si>
  <si>
    <t>https://www.washingtonpost.com/weather/2024/04/29/tornado-outbreak-plains-oklahoma-nebraska-iowa/</t>
  </si>
  <si>
    <t>Four remarkable things about the Plains tornado outbreak</t>
  </si>
  <si>
    <t>Apr 29, 2024 ... ... states from Texas through Kansas and Nebraska. But your greatest risk of encountering a tornado is actually in the South — which is why some ...</t>
  </si>
  <si>
    <t>https://transcripts.cnn.com/show/cnr?start_fileid=cnr_2024-04-29_20</t>
  </si>
  <si>
    <t>April 29, 2024. • U.S. Secretary of State in Saudi ... Oklahoma Tornado Outbreak Kills Four; Russia ... April 28, 2024. • Nebraska Residents Devastated By ...</t>
  </si>
  <si>
    <t>https://www.detroitnews.com/story/weather/2024/04/28/tornadoes-kill-oklahoma-state-of-emergency-counties/73492208007/</t>
  </si>
  <si>
    <t>Tornadoes kill 4 in Oklahoma; emergency declared in 12 counties</t>
  </si>
  <si>
    <t>Updated April 28, 2024, 4:08 p.m. ET. Sulphur, Okla. — Tornadoes that ... Later in the day, he planned to tour the southern Oklahoma city of Sulphur, where ...</t>
  </si>
  <si>
    <t>https://www.mprnews.org/story/2024/04/30/tornado-watch-for-iowa-severe-weather-likely-across-southern-minnesota-tuesday-evening</t>
  </si>
  <si>
    <t>Severe weather likely across southern Minnesota Tuesday night</t>
  </si>
  <si>
    <t>Apr 30, 2024 ... We're still on track for likely severe weather across southern ... NWS Storm Prediction Center (@NWSSPC) April 30, 2024. The National ...</t>
  </si>
  <si>
    <t>https://martinsvillebulletin.com/news/nation-world/weather/article_489bcb4e-ad6f-54d4-b3a4-9b179b5b7006.html</t>
  </si>
  <si>
    <t>Why the United States leads the world in tornadoes</t>
  </si>
  <si>
    <t>May 4, 2024 ... May 4, 2024 Updated Oct 31, 2024; 0. ×. Video ... Local Weather. Get the daily forecast and severe weather alerts in your inbox! ... Meet Himdam, ...</t>
  </si>
  <si>
    <t>https://www.npr.org/2024/05/09/1250135938/deadly-tornadoes-southeast-storms</t>
  </si>
  <si>
    <t>Tornadoes tear through the southeastern U.S. as storms leave 3 dead</t>
  </si>
  <si>
    <t>May 9, 2024 ... The storms continue an outbreak of torrential rain and tornadoes that has cut across the country this week, from the Plains to the Midwest and now the ...</t>
  </si>
  <si>
    <t>https://www.cnn.com/2024/05/09/weather/storms-tennessee-wednesday-severe-weather-thursday</t>
  </si>
  <si>
    <t>Southeast is lashed by more severe weather after deadly storms and ...</t>
  </si>
  <si>
    <t>May 9, 2024 ... ... in the South and East were at risk of severe thunderstorms and tornadoes.</t>
  </si>
  <si>
    <t>https://www.usatoday.com/story/news/nation/2024/05/09/tennessee-north-carolina-tornadoes-video-photos/73625143007/</t>
  </si>
  <si>
    <t>Severe weather, tornadoes hit Tennessee, Carolinas - USA Today</t>
  </si>
  <si>
    <t>May 9, 2024 ... At least three people were killed overnight as storms ripped through central and eastern United States, bringing torrential rain, ...</t>
  </si>
  <si>
    <t>https://dothaneagle.com/news/local/weather/article_323318c0-11e0-559a-b523-6d8d8f5a2d1d.html</t>
  </si>
  <si>
    <t>Severe weather threat returns to southern Alabama Monday</t>
  </si>
  <si>
    <t>May 13, 2024 ... Severe weather threat returns to southern Alabama Monday. ... May 13, 2024 Updated May 13, 2024 ... United States of America, US Virgin Islands ...</t>
  </si>
  <si>
    <t>https://www.usatoday.com/story/news/weather/2024/05/15/severe-weather-forecast-storms-florida/73697096007/</t>
  </si>
  <si>
    <t>Severe storms, tornadoes threaten central, eastern US on Wednesday</t>
  </si>
  <si>
    <t>May 15, 2024 ... ... 2024. An area spanning the Carolinas and southern Virginia was also under severe weather advisories. Storms are forecast to develop and ...</t>
  </si>
  <si>
    <t>https://www.washingtonpost.com/weather/2024/05/13/severe-storms-texas-southeast-tornadoes-hail/</t>
  </si>
  <si>
    <t>Severe storms and flooding to affect southern United States this week</t>
  </si>
  <si>
    <t>May 13, 2024 ... A broad risk of damaging winds, destructive hail and a few tornadoes spans the Gulf Coast from Texas to Florida, and could be accompanied by flooding as well.</t>
  </si>
  <si>
    <t>https://transcripts.cnn.com/show/ctmo?start_fileid=ctmo_2024-05-16_01</t>
  </si>
  <si>
    <t>... Severe Weather; Threats Of Flooding And Tornadoes ... United States Adults Have Taken Popular Weight Loss Drugs. ... 2024 U.S. General Election; On ...</t>
  </si>
  <si>
    <t>https://www.npr.org/2024/05/26/g-s1-1067/tornado-damages-homes-as-texas-and-oklahoma-residents-told-to-seek-shelter</t>
  </si>
  <si>
    <t>At least 5 dead in Texas after severe weather hits Texas and ... - NPR</t>
  </si>
  <si>
    <t>May 26, 2024 ... And other storms brought flooding and wind damage elsewhere in the state. The storm system causing the severe weather was expected to move ...</t>
  </si>
  <si>
    <t>https://www.washingtonpost.com/weather/2024/05/29/texas-hail-dvd-size-record-nwws/</t>
  </si>
  <si>
    <t>Giant hail as large as DVDs bombards Texas - The Washington Post</t>
  </si>
  <si>
    <t>May 29, 2024 ... ... hail thresholds of all severe thunderstorm warnings issued in the United States since 2010. ... storm, which produced massive DVD-size hail ...</t>
  </si>
  <si>
    <t>https://transcripts.cnn.com/show/cnc/date/2024-05-29/segment/03</t>
  </si>
  <si>
    <t>May 29, 2024 ... According to our Storm Prediction Center, Texas has seen at least one storm report of hail, damaging wind gusts, or tornadoes. The reports ...</t>
  </si>
  <si>
    <t>https://www.washingtonpost.com/weather/2024/05/27/tornado-kentucky-texas-storms-weather-news/</t>
  </si>
  <si>
    <t>Weekend storms kill 22 as severe weather heads toward East Coast</t>
  </si>
  <si>
    <t>May 27, 2024 ... Severe weather battered areas from the southern Plains to the Mid-Atlantic, while tornadoes proved deadly in Texas, Arkansas, Oklahoma and ...</t>
  </si>
  <si>
    <t>https://www.usatoday.com/story/news/nation/2024/05/27/19-dead-tornadoes-memorial-day-storms-texas-arkansas-oklahoma/73868079007/</t>
  </si>
  <si>
    <t>than 20 dead after Memorial Day weekend storms batter multiple US ...</t>
  </si>
  <si>
    <t>May 28, 2024 ... Texas, Oklahoma, Arkansas and Kentucky were hit with a wave of tornadoes and severe weather that left at least 22 people dead on Memorial ...</t>
  </si>
  <si>
    <t>https://www.usatoday.com/story/news/weather/2024/05/28/tuesday-weather-forecast-thunderstorms-wind-hail/73874728007/</t>
  </si>
  <si>
    <t>Texas braces for more severe weather after deadly weekend of storms</t>
  </si>
  <si>
    <t>May 29, 2024 ... Severe weather batters Texas again after storms kill 22 over holiday weekend: Updates. Christopher Cann Minnah Arshad. USA TODAY. Updated May ...</t>
  </si>
  <si>
    <t>https://transcripts.cnn.com/show/cnc/date/2024-05-27/segment/01</t>
  </si>
  <si>
    <t>May 27, 2024 ... Aired May 27, 2024 ... And then we recycle that severe weather threat tomorrow into the state of Texas ... Well, still ahead for us, severe weather ...</t>
  </si>
  <si>
    <t>https://www.cnn.com/weather/live-news/oklahoma-texas-arkansas-tornado-storms-05-27-24-intl-hnk</t>
  </si>
  <si>
    <t>Live updates: Texas, Arkansas, Oklahoma, Kentucky face tornadoes ...</t>
  </si>
  <si>
    <t>May 27, 2024 ... ... Texas, Oklahoma, Arkansas and Kentucky after tornadoes and severe weather struck the central United States.</t>
  </si>
  <si>
    <t>https://www.denverpost.com/2024/06/14/colorado-weather-friday-storm-severe-weather-rain-hail-tornado-flooding/</t>
  </si>
  <si>
    <t>Colorado weather: Thunderstorm watch warns of potential for large ...</t>
  </si>
  <si>
    <t>Jun 14, 2024 ... ... in the eastern plains have a higher chance of being hit ... Colorado weather: Tornado warning for Eastern Plains, apple-sized hail reported ...</t>
  </si>
  <si>
    <t>https://www.npr.org/2024/06/25/1198913028/assange-deal-jack-smith-midwest-flooding-06-25-2024</t>
  </si>
  <si>
    <t>Julian Assange Plea Deal, Jack Smith Case, Upper Midwest Flooding</t>
  </si>
  <si>
    <t>Jun 25, 2024 ... Julian Assange Plea Deal, Jack Smith Case, Upper Midwest Flooding. June 25, 20247:12 AM ET ... What can cities and states do? Up First from ...</t>
  </si>
  <si>
    <t>https://www.mprnews.org/story/2024/06/27/what-is-a-flood-stage-and-why-does-measuring-rivers-matter-an-expert-explains</t>
  </si>
  <si>
    <t>What is a flood stage? And why does measuring rivers matter? An ...</t>
  </si>
  <si>
    <t>Jun 27, 2024 ... It falls to the United States Geological Survey field crews to ... James Fallon, data chief for the Minnesota portion of the Upper Midwest ...</t>
  </si>
  <si>
    <t>https://www.cnn.com/2024/06/23/weather/flooding-upper-midwest-heat-wave-mid-atlantic</t>
  </si>
  <si>
    <t>'Catastrophic flooding' in Upper Midwest prompts evacuations and ...</t>
  </si>
  <si>
    <t>Jun 23, 2024 ... Millions of people across the US are still trudging through a record-setting heat wave that is shifting to the mid-Atlantic, ...</t>
  </si>
  <si>
    <t>https://www.nytimes.com/2024/06/23/us/iowa-south-dakota-floods.html</t>
  </si>
  <si>
    <t>1 Dead After Floods Prompt Rescues in Iowa and South Dakota</t>
  </si>
  <si>
    <t>Jun 24, 2024 ... Parts of the Upper Midwest remained under flood warnings on Sunday after days of heavy rain caused major flooding, leaving at least one ...</t>
  </si>
  <si>
    <t>https://www.nytimes.com/2024/06/25/us/minnesota-dam-flooding.html</t>
  </si>
  <si>
    <t>How the Midwest Floods Nearly Took Out a Century-Old Dam</t>
  </si>
  <si>
    <t>Jun 25, 2024 ... https://www.nytimes.com/2024/06/25/us/minnesota-dam-flooding.html ... floods overwhelmed the Upper Midwest. At one point, a support ...</t>
  </si>
  <si>
    <t>https://www.washingtonpost.com/weather/2024/06/24/midwest-floods-heavy-rain-heat/</t>
  </si>
  <si>
    <t>Midwest flooding intensifies as heat continues - The Washington Post</t>
  </si>
  <si>
    <t>Jun 24, 2024 ... Temperatures across the Upper Midwest were forecast to peak in the ... in the state. After surveying the toll by air on Saturday, Reynolds ...</t>
  </si>
  <si>
    <t>https://www.denverpost.com/2024/06/27/colorado-weather-thunderstorms-hail-rain-east-plains/</t>
  </si>
  <si>
    <t>Colorado weather: Thunderstorm watch forecasts tornadoes, apple ...</t>
  </si>
  <si>
    <t>Jun 27, 2024 ... Severe thunderstorms are forecast for the northeast corner of the state until 9 p.m., including Cheyenne, Phillips, Kit Carson, Sedgwick ...</t>
  </si>
  <si>
    <t>https://www.detroitnews.com/story/news/local/michigan/2024/06/24/tornado-strikes-gladwin-co-national-weather-service/74190288007/</t>
  </si>
  <si>
    <t>Tornado strikes Gladwin Co., National Weather Service says</t>
  </si>
  <si>
    <t>Jun 24, 2024 ... ... northeast of Gladwin with estimated peak winds of 90 mph ... Six wreaked havoc in the state in 2012, 12 in 2013, 13 in 2014, 14 ...</t>
  </si>
  <si>
    <t>https://transcripts.cnn.com/show/cnc/date/2024-06-26/segment/06</t>
  </si>
  <si>
    <t>Aired June 26, 2024 - 09:30 ET. THIS IS A RUSH TRANSCRIPT. ... So you have got some areas across the northeast, ... the potential for hail, damaging winds and even tornadoes today.</t>
  </si>
  <si>
    <t>https://www.denverpost.com/2024/06/18/new-mexico-wildfire-claims-second-life-while-rain-offers-hope-of-relief/</t>
  </si>
  <si>
    <t>New Mexico wildfire claims second life, while rain offers hope of relief</t>
  </si>
  <si>
    <t>Jun 18, 2024 ... ... in the village of Ruidoso, N.M., Tuesday, June 18, 2024. (Chancey ... Lujan Grisham said the two southern New Mexico wildfires together ...</t>
  </si>
  <si>
    <t>https://www.nytimes.com/2024/06/19/us/new-mexico-wildfires.html</t>
  </si>
  <si>
    <t>2 Are Killed in 'Devastating' New Mexico Wildfires</t>
  </si>
  <si>
    <t>Jun 20, 2024 ... https://www.nytimes.com/2024/06/19/us/new-mexico-wildfires.html ... See where wildfires are currently burning throughout the continental United ...</t>
  </si>
  <si>
    <t>https://www.nytimes.com/2024/07/01/climate/new-mexico-fire-floods.html</t>
  </si>
  <si>
    <t>Flash Flooding After New Mexico Wildfires Highlights Climate Risks</t>
  </si>
  <si>
    <t>Jul 1, 2024 ... Flash Flooding After New Mexico Wildfires Highlights Climate Risks. Flooding in Ruidoso, N.M., over the weekend showed how wildfire damage ...</t>
  </si>
  <si>
    <t>https://apnews.com/article/new-mexico-wildfire-ruidoso-evacuation-86ee7230cc09ed7922a8f3a3815c7e7c</t>
  </si>
  <si>
    <t>New Mexico wildfires: Governor declares emergency, at least 1 dead</t>
  </si>
  <si>
    <t>Jun 18, 2024 ... A helicopter flies over a wildfire in Ruidoso, N.M., Tuesday, June 18, 2024. ... wildfire in the state's recorded history. That year, a separate ...</t>
  </si>
  <si>
    <t>https://www.nytimes.com/2024/06/18/us/ruidoso-wildfire-new-mexico.html</t>
  </si>
  <si>
    <t>New Mexico Wildfires Force Village of Ruidoso to Evacuate</t>
  </si>
  <si>
    <t>Jun 18, 2024 ... June 18, 2024. See more of our coverage in your search results ... The Red Cross, which opened four shelter facilities in the state to ...</t>
  </si>
  <si>
    <t>https://apnews.com/article/new-mexico-wildfires-evacuation-ruidoso-be4907aa9570904e251ee193c05a2059</t>
  </si>
  <si>
    <t>Escape from killer New Mexico wildfire was 'absolute sheer terror ...</t>
  </si>
  <si>
    <t>Jun 21, 2024 ... The smoke was at the end of the street when they tore out of the driveway. Panic set in as the usually sleepy two-lane streets of Ruidoso became ...</t>
  </si>
  <si>
    <t>https://www.nytimes.com/2024/06/23/us/new-mexico-wildfires-intentional.html</t>
  </si>
  <si>
    <t>F.B.I. Offers Reward for Information About New Mexico Wildfires</t>
  </si>
  <si>
    <t>Jun 23, 2024 ... Offers Reward for Information About New Mexico Wildfires. The agency ... The South Fork fire, the larger of the two wildfires, has ...</t>
  </si>
  <si>
    <t>https://www.nytimes.com/2024/06/20/us/new-mexico-fires-rain-floods.html</t>
  </si>
  <si>
    <t>New Mexico Wildfires Kill 2 as Ruidoso Contends With Flash Flooding</t>
  </si>
  <si>
    <t>Jun 20, 2024 ... ... fires among the most devastating in the state's history. “It is ... New Mexico Wildfires Burn Homes and Cars. 0:34. The blazes in the ...</t>
  </si>
  <si>
    <t>https://www.denverpost.com/2024/06/17/at-least-1-dead-in-new-mexico-wildfire-that-forced-thousands-to-flee-governors-office-says/</t>
  </si>
  <si>
    <t>At least 1 dead in New Mexico wildfire that forced thousands to flee ...</t>
  </si>
  <si>
    <t>Jun 17, 2024 ... ... fires set by the U.S. Forest Service that merged during drought conditions to become the largest wildfire in the state's recorded history.</t>
  </si>
  <si>
    <t>https://www.npr.org/2024/06/19/g-s1-5147/new-mexico-wildfire-thousands-flee</t>
  </si>
  <si>
    <t>New Mexico and California wildfires prompt evacuations - NPR</t>
  </si>
  <si>
    <t>Jun 19, 2024 ... It was terrifying and sparks were falling on us.” A second wildfire is burning in southern New Mexico about five miles southeast of the South ...</t>
  </si>
  <si>
    <t>https://www.cnn.com/2024/06/18/us/ruidoso-new-mexico-south-fork-fire-evacuations</t>
  </si>
  <si>
    <t>At least 1 reported dead in New Mexico as 2 wildfires burn near ...</t>
  </si>
  <si>
    <t>Jun 18, 2024 ... horrible to see the fires all around us,” Dennis wrote on Facebook. Few paths out of Ruidoso remained Monday evening after both Highway 48 and ...</t>
  </si>
  <si>
    <t>https://www.cnn.com/2024/06/25/us/new-mexico-wildfires-missing</t>
  </si>
  <si>
    <t>About 8 people are still missing in New Mexico wildfires, mayor says ...</t>
  </si>
  <si>
    <t>Jun 25, 2024 ... ... in the fire; state police have not confirmed the other's identity. “The look on the children's faces when you know they don't understand ...</t>
  </si>
  <si>
    <t>https://www.chron.com/weather/article/atlantic-hurricane-season-2024-19562982.php</t>
  </si>
  <si>
    <t>The 2024 Atlantic hurricane season forecast just got worse - Chron</t>
  </si>
  <si>
    <t>Jul 9, 2024 ... A day after Hurricane Beryl's landfall on the Texas coastline, experts at Colorado State's Tropical Weather and Climate Research Center are ...</t>
  </si>
  <si>
    <t>https://www.chron.com/weather/article/hurricane-beryl-texas-aftermath-19562833.php</t>
  </si>
  <si>
    <t>Aerial footage shows Texas coast devastated by Hurricane Beryl</t>
  </si>
  <si>
    <t>Jul 9, 2024 ... ... Hurricane Beryl swept through the area on July 08, 2024 in Surfside, Texas. ... Make us a Preferred Source on Google to see more of us when you ...</t>
  </si>
  <si>
    <t>https://www.chron.com/neighborhood/culture/article/hurricane-beryl-bucees-sign-texas-19561233.php</t>
  </si>
  <si>
    <t>WATCH: Hurricane Beryl topples Buc-ee's billboard in Texas - Chron</t>
  </si>
  <si>
    <t>Jul 8, 2024 ... Hurricane Beryl ripped through Texas on ... in the storm before face-planting in the parking lot. ... — WxChasing- Brandon Clement (@bclemms) July 8 ...</t>
  </si>
  <si>
    <t>https://www.expressnews.com/san-antonio-weather/article/beryl-path-curve-north-why-it-happened-19562764.php</t>
  </si>
  <si>
    <t>Here's why Hurricane Beryl curved, completely missed San Antonio</t>
  </si>
  <si>
    <t>Jul 9, 2024 ... Hurricane Beryl, a category one hurricane, made a direct hit on the ... Initially, high pressure in the southern United States was ...</t>
  </si>
  <si>
    <t>https://www.houstonchronicle.com/news/houston-weather/hurricanes/article/hurricane-beryl-dan-patrick-abbott-19568358.php</t>
  </si>
  <si>
    <t>Texas lawmakers join calls for power outages review after Beryl</t>
  </si>
  <si>
    <t>Jul 12, 2024 ... ... 2024, as crews repair power lines downed as Hurricane Beryl made landfall Monday. ... in the Third Ward neighborhood on July 12, 2024 in ...</t>
  </si>
  <si>
    <t>https://www.houstonchronicle.com/news/houston-weather/hurricanes/article/houstonians-survived-week-power-hurricane-beryl-19573547.php</t>
  </si>
  <si>
    <t>How Houstonians survived week without power after Hurricane Beryl</t>
  </si>
  <si>
    <t>Jul 15, 2024 ... ... 2024 in Houston, seven days after Hurricane Beryl caused major power outages. ... of the fastest-growing regions of the United States. His ...</t>
  </si>
  <si>
    <t>https://www.houstonchronicle.com/business/article/beryl-centerpoint-power-infrastructure-19567207.php</t>
  </si>
  <si>
    <t>After Beryl, business community wants focus on power infrastructure</t>
  </si>
  <si>
    <t>Jul 13, 2024 ... ... Hurricane Beryl made landfall, on Thursday, July 11, 2024 in Houston. ... United States," he said. Kean said that Houston has several ...</t>
  </si>
  <si>
    <t>https://www.texasobserver.org/hurricane-beryl-warning-shot-houston/</t>
  </si>
  <si>
    <t>Hurricane Beryl Was a Warning Shot for Houston</t>
  </si>
  <si>
    <t>Jul 12, 2024 ... ... in the United States, inundating the city with over 50 inches of precipitation. ... When Hurricane Beryl formed in the Atlantic in early July, ...</t>
  </si>
  <si>
    <t>https://apnews.com/article/hurricane-beryl-texas-mexico-caribbean-photos-cb89171868fd7980b965760ce4506e1c</t>
  </si>
  <si>
    <t>Hurricane Beryl's trail of destruction in photos - AP News</t>
  </si>
  <si>
    <t>Jul 9, 2024 ... ... Hurricane Beryl, July 8, 2024, in Bay City, Texas. (AP Photo/Eric ...</t>
  </si>
  <si>
    <t>https://www.npr.org/2024/07/08/nx-s1-5032070/the-texas-gulf-coast-braces-for-the-effects-from-hurricane-beryl</t>
  </si>
  <si>
    <t>The Texas Gulf Coast braces for the effects from Hurricane Beryl - NPR</t>
  </si>
  <si>
    <t>... the United States. Weather. The Texas Gulf Coast braces for the effects from Hurricane Beryl. July 8, 20245:06 AM ET. Heard on Morning Edition. By.</t>
  </si>
  <si>
    <t>https://www.nola.com/news/hurricane/colorado-state-hurricane-prediction-july/article_de8265ce-3e09-11ef-abd8-8be9d41a2bc7.html</t>
  </si>
  <si>
    <t>2024 hurricane prediction increased for US after Beryl - NOLA.com</t>
  </si>
  <si>
    <t>Jul 9, 2024 ... It also said that Hurricane Beryl, a Category 1 hurricane that made ... The storm battered parts of the middle and upper Texas Gulf ...</t>
  </si>
  <si>
    <t>https://www.nola.com/news/politics/jeff-landry-was-in-europe-when-hurricane-beryl-hit-louisiana/article_c86d76b4-4b7b-11ef-8949-cfae334ddf93.html</t>
  </si>
  <si>
    <t>Jeff Landry was in Europe when Hurricane Beryl hit Louisiana</t>
  </si>
  <si>
    <t>Jul 26, 2024 ... ... Hurricane Beryl, in Van Vleck, Texas, July 8, 2024. (AP Photo/Eric ... “They were always completely engaged before, during and after a storm or a ...</t>
  </si>
  <si>
    <t>https://www.deseret.com/faith/2024/07/11/churches-offer-emergency-response-after-hurricane-beryl/</t>
  </si>
  <si>
    <t>Churches offer relief in the wake of Hurricane Beryl - Deseret News</t>
  </si>
  <si>
    <t>Jul 11, 2024 ... Faith communities step in to help those affected by Hurricane Beryl in the Caribbean and Texas ... In the aftermath of the storm, faith ...</t>
  </si>
  <si>
    <t>https://apnews.com/article/hurricane-beryl-texas-7dfd5353671ee30d0c6d11518ea5a370</t>
  </si>
  <si>
    <t>Beryl weakens to tropical depression after slamming into Texas as ...</t>
  </si>
  <si>
    <t>Jul 8, 2024 ... Hurricane Beryl has been downgraded to a tropical storm after ... Hurricane Beryl Monday, July 8, 2024, in Houston. (Melissa Phillip ...</t>
  </si>
  <si>
    <t>https://www.nytimes.com/interactive/2024/07/19/magazine/tornado-alley-storm-chaser.html</t>
  </si>
  <si>
    <t>A Trip Into Tornado Alley With America's Most Obsessive Storm ...</t>
  </si>
  <si>
    <t>Jul 19, 2024 ... ... outbreaks. So far this year, more than 1,000 tornadoes have hit the United States, the seventh-most since records started being kept in 1950 ...</t>
  </si>
  <si>
    <t>https://www.chicagotribune.com/2024/07/18/tornados-derecho-storm-reported-in-northwest-indiana-in-mondays-storm/</t>
  </si>
  <si>
    <t>Tornados, derecho storm reported in Northwest Indiana on Monday</t>
  </si>
  <si>
    <t>Jul 18, 2024 ... ... Tuesday, July 16, 2024. (Kyle Telechan for tbhe Post-Tribune) ... storm damage. Any agricultural damage should be reported to the ...</t>
  </si>
  <si>
    <t>https://www.pennlive.com/weather/2024/08/debby-could-drop-25-of-rain-on-parts-of-the-south-hurricane-center-says.html</t>
  </si>
  <si>
    <t>Debby could drop 25″ of rain on parts of the South, hurricane ...</t>
  </si>
  <si>
    <t>Aug 6, 2024 ... (AP) — Tropical Storm Debby brought prolonged downpours and flooding to the southeastern United States ... Hurricane Debby pass through Central ...</t>
  </si>
  <si>
    <t>https://www.post-gazette.com/news/transportation/2024/08/05/hurricane-debbie-pittsburgh-flight-delays/stories/202408050102</t>
  </si>
  <si>
    <t>Flight delays caused by Hurricane Debby impact Pittsburgh airport</t>
  </si>
  <si>
    <t>Aug 5, 2024 ... Hurricane Debby disrupts thousands of flights across U.S., causes delays at Pittsburgh International Airport. Pittsburgh Post-Gazette logo.</t>
  </si>
  <si>
    <t>https://www.jacksonville.com/story/weather/hurricane/2024/08/06/colorado-state-university-named-storms-major-hurricanes-forecast/74599745007/</t>
  </si>
  <si>
    <t>CSU 2024 hurricane season forecast changes. Busiest months arrive</t>
  </si>
  <si>
    <t>6, for the 2024 Atlantic hurricane season, the day after Hurricane Debby made landfall in Steinhatchee in Florida's Big Bend. ... United States coastline and in ...</t>
  </si>
  <si>
    <t>https://www.jacksonville.com/story/weather/hurricane/2024/08/07/national-hurricane-center-debby-tracker-tropical-wave-caribbean-gulf/74690405007/</t>
  </si>
  <si>
    <t>CSU predicts 85% chance of hurricane activity Aug. 6-19. Debby ...</t>
  </si>
  <si>
    <t>Hurricane Debby made landfall near Steinhatchee, Florida. Georgia, Carolinas now feeling impacts. Special note on the NHC cone: The forecast track shows the ...</t>
  </si>
  <si>
    <t>https://www.jacksonville.com/story/weather/hurricane/2024/08/05/hurricane-debby-bringing-jacksonville-6-12-inches-of-rain-by-wednesday/74671177007/</t>
  </si>
  <si>
    <t>Hurricane Debby bringing Jacksonville 6-12 inches of rain by ...</t>
  </si>
  <si>
    <t>Hurricane Debby's slow arc may bring up to 12 inches of rain around ... 5, 2024, 4:57 p.m. ET. Editor's note:The Florida Times-Union has made this ...</t>
  </si>
  <si>
    <t>https://www.jacksonville.com/story/news/2024/08/05/hurricane-debby-power-outage-big-bend-generator-florida/74670880007/</t>
  </si>
  <si>
    <t>Hurricane Debby power outages: What to do when power is out</t>
  </si>
  <si>
    <t>USA TODAY NETWORK - Florida. Aug. 5, 2024, 8:41 a.m. ET. Hundreds of thousands of Floridians were without power on Monday morning after Hurricane Debby's ...</t>
  </si>
  <si>
    <t>https://www.miamiherald.com/news/weather/hurricane/article290751139.html</t>
  </si>
  <si>
    <t>Cat 1 Hurricane Debby slams Florida with storm surge, rain</t>
  </si>
  <si>
    <t>Aug 5, 2024 ... A BMW sedan is stalled in high water on southbound US Alt 19 in Tarpon Springs where flooding remained on roadways on Monday, Aug 5, 2024, ...</t>
  </si>
  <si>
    <t>https://www.ocala.com/story/news/local/2024/08/05/hurricane-debby-updates-tracking-impacts-in-ocala-florida-on-monday/74670076007/</t>
  </si>
  <si>
    <t>Hurricane Debby updates: Tracking impacts in Ocala, Florida on ...</t>
  </si>
  <si>
    <t>Aug 5, 2024 ... After raking the Florida peninsula, Category 1 Hurricane Debby made landfall in the eastern Big Bend ... in the state. — Jim Ross. Featured ...</t>
  </si>
  <si>
    <t>https://www.ocala.com/picture-gallery/news/local/2024/08/05/hurricane-debby-damage-in-marion-county/74672479007/</t>
  </si>
  <si>
    <t>Hurricane Debby damage in Ocala and Marion County, Florida</t>
  </si>
  <si>
    <t>Aug 5, 2024 ... ... 2024 from Hurricane Debby. Debby made landfall near Steinhatchee ... About Us Careers Staff Directory Accessibility Sitemap Legals Public notice ...</t>
  </si>
  <si>
    <t>https://www.ledger-enquirer.com/news/weather-news/article290757319.html</t>
  </si>
  <si>
    <t>Georgia declares state of emergency as Tropical Storm Debby ...</t>
  </si>
  <si>
    <t>Aug 6, 2024 ... Georgia declares state of emergency as Tropical Storm Debby causes flooding, heavy winds ... NOAA visible satellite image of Hurricane Debby ...</t>
  </si>
  <si>
    <t>https://www.al.com/news/2024/08/tropical-storm-debby-death-toll-woman-two-children-and-truck-driver-killed-in-florida.html</t>
  </si>
  <si>
    <t>Tropical Storm Debby death toll: Woman, two children and truck ...</t>
  </si>
  <si>
    <t>Aug 5, 2024 ... Hurricane Debby made landfall early this morning.(AP Photo ... United States. Record-setting rain was forecast to cause flash flooding ...</t>
  </si>
  <si>
    <t>https://www.starnewsonline.com/story/news/local/2024/08/05/hurricane-debby-tropical-updates-for-wilmington-nc-coast/74666558007/</t>
  </si>
  <si>
    <t>Tropical Storm Debby updates, rainfall potential for Wilmington, NC</t>
  </si>
  <si>
    <t>Aug 5, 2024 ... 5, 2024Updated Aug. 6, 2024, 7 ... The storm is expected to bring major flooding to the Southeastern United States over the next few days.</t>
  </si>
  <si>
    <t>https://www.thestate.com/news/state/south-carolina/article290754179.html</t>
  </si>
  <si>
    <t>How to prepare for Tropical Storm Debby in South Carolina | The State</t>
  </si>
  <si>
    <t>Aug 5, 2024 ... The NWS has forecast potentially historic rainfall and widespread flooding. A flood watch was issued in the Midlands as ...</t>
  </si>
  <si>
    <t>https://www.al.com/news/2024/08/hurricane-debby-could-bring-record-setting-flooding-to-florida-georgia-south-carolina.html</t>
  </si>
  <si>
    <t>Hurricane Debby could bring record-setting flooding to Florida ...</t>
  </si>
  <si>
    <t>Aug 5, 2024 ... Hurricane Debby could bring record-setting flooding to Florida, Georgia, South Carolina ... Debby is the fourth named storm of the 2024 ...</t>
  </si>
  <si>
    <t>https://www.al.com/hurricane/2024/08/hurricane-debby-makes-landfall-in-florida-but-its-not-done.html</t>
  </si>
  <si>
    <t>Hurricane Debby makes landfall in Florida, but it's not done - al.com</t>
  </si>
  <si>
    <t>Aug 5, 2024 ... Hurricane Debby made landfall in Florida on Monday morning and ... The National Hurricane Center said Debby, the second hurricane of 2024 in the ...</t>
  </si>
  <si>
    <t>https://www.npr.org/2024/08/05/nx-s1-5063893/hurricane-debby-florida-georgia-south-carolina</t>
  </si>
  <si>
    <t>Hurricane Debby inundates northern Florida with heavy rains and ...</t>
  </si>
  <si>
    <t>Aug 5, 2024 ... The storm has produced flooding along Florida's west coast from Sarasota to the northern part of the state. People walk ...</t>
  </si>
  <si>
    <t>https://www.npr.org/2024/08/05/nx-s1-5063352/debby-a-category-1-hurricane-nears-the-florida-coast</t>
  </si>
  <si>
    <t>Debby, a Category 1 hurricane, nears the Florida coast - NPR</t>
  </si>
  <si>
    <t>Aug 5, 2024 ... That was in late August, something Governor Ron DeSantis acknowledged as he urged residents to be ready for Hurricane Debby. ... of the United ...</t>
  </si>
  <si>
    <t>https://apnews.com/article/hurricane-debby-flooding-storm-surge-high-winds-eb9fc50d578826784824f35ba943a6da</t>
  </si>
  <si>
    <t>Tropical Storm Debby hit Florida, threatens Southeast - AP News</t>
  </si>
  <si>
    <t>Aug 5, 2024 ... ... in the Shore Acres neighborhood of St. Petersburg, Fla., Monday morning, Aug 5, 2024, as Hurricane Debby passed the Tampa Bay area offshore.</t>
  </si>
  <si>
    <t>https://apnews.com/article/hurricane-tropical-storm-debby-flooding-a369f782a8e6fa18fdb7f722ade4b3c6</t>
  </si>
  <si>
    <t>Tropical Storm Debby finally moves out of the US - AP News</t>
  </si>
  <si>
    <t>Aug 10, 2024 ... ... Hurricane Debby pass through Maryland, Friday, Aug. 9, 2024. (Kaitlin Newman/The Baltimore Banner via AP). Read More. Kari Lynch pick up trash ...</t>
  </si>
  <si>
    <t>https://www.washingtonpost.com/weather/2024/08/06/debby-hurricane-rain-flooding-impacts-updates/</t>
  </si>
  <si>
    <t>Debby floods Southeast, kills 5 as storm set to reenter Atlantic</t>
  </si>
  <si>
    <t>Aug 6, 2024 ... As Tropical Storm Debby continues to crawl up the coast of the Southeastern United States ... Hurricane Debby. (U.S. Border Patrol/AFP/Getty ...</t>
  </si>
  <si>
    <t>https://www.staugustine.com/story/weather/2024/08/14/tropical-storm-ernesto-path-tracker-puerto-rico-major-hurricane/74794446007/</t>
  </si>
  <si>
    <t>Tropical Storm Ernesto path: Tracker. Puerto Rico. Major hurricane</t>
  </si>
  <si>
    <t>Aug 14, 2024 ... ... of the United States. Swells are expected to reach the east ... Hurricane Debby made landfall on Florida's Big Bend Monday, Aug. 5 ...</t>
  </si>
  <si>
    <t>https://www.al.com/hurricane/2024/08/dont-let-your-guard-down-hurricane-season-is-far-from-over.html</t>
  </si>
  <si>
    <t>'Don't let your guard down': Hurricane season is far from over - AL.com</t>
  </si>
  <si>
    <t>Aug 30, 2024 ... ... in the United States (Beryl and Debby). The last ... There's nothing going on in Gulf right now, and it's been quiet since Hurricane Debby ...</t>
  </si>
  <si>
    <t>https://apnews.com/article/debby-rain-flooding-storm-211c7968e905576455d10d3706d04193</t>
  </si>
  <si>
    <t>Tropical Storm Debby drenches Southeast with rain, high water as it ...</t>
  </si>
  <si>
    <t>Aug 6, 2024 ... US launches new strikes on Iran, which fires back at Gulf states ... Aug 5, 2024, as Hurricane Debby passes the Tampa Bay area offshore.</t>
  </si>
  <si>
    <t>https://www.washingtonpost.com/nation/2024/08/05/hurricane-debby-florida-flooding-idalia-ian/</t>
  </si>
  <si>
    <t>Tropical Storm Debby drenching Florida towns still recovering from ...</t>
  </si>
  <si>
    <t>Aug 5, 2024 ... Hurricane Idalia last year resulted in 12 fatalities and an estimated $3.6 billion in damage in the United States, according to a National ...</t>
  </si>
  <si>
    <t>https://www.charlotteobserver.com/news/business/article290753494.html</t>
  </si>
  <si>
    <t>Weather: Debby still causing Charlotte airport delays</t>
  </si>
  <si>
    <t>Aug 6, 2024 ... ... in the United States or Canada. “American will continue tracking this ... Hurricane Debby's landfall on August 5, 2024. PRESTON JENKINS ...</t>
  </si>
  <si>
    <t>https://www.al.com/hurricane/2024/08/new-tropical-storm-could-form-next-week-in-atlantic.html</t>
  </si>
  <si>
    <t>New tropical storm could form next week in Atlantic - al.com</t>
  </si>
  <si>
    <t>Aug 10, 2024 ... ... U.S., which was just hit by Hurricane Debby last Monday. NOAA released its updated 2024 Atlantic hurricane outlook this week and expects a ...</t>
  </si>
  <si>
    <t>https://www.chron.com/news/world/article/alert-us-and-british-top-diplomats-arrive-in-19756890.php</t>
  </si>
  <si>
    <t>Alert: US and British top diplomats arrive in Kyiv as Ukraine pushes ...</t>
  </si>
  <si>
    <t>Sep 11, 2024 ... Sep 11, 2024 ... The U.S. Geological Survey estimates Hurricane Francine's waves and storm surge could cause 75 percent of ... © 2024 Hearst ...</t>
  </si>
  <si>
    <t>https://www.houstonchronicle.com/news/houston-weather/hurricanes/article/hurricane-francine-outages-louisiana-19759000.php</t>
  </si>
  <si>
    <t>Hurricane Francine: Flood threat grows as Francine hits Louisiana</t>
  </si>
  <si>
    <t>Sep 11, 2024 ... An air mattress blows in wind from Hurricane Francine in New Orleans, Wednesday, Sept. 11, 2024. ... in the region, according to poweroutage.us.</t>
  </si>
  <si>
    <t>https://www.houstonchronicle.com/news/houston-weather/hurricanes/article/texas-louisiana-hurricane-francine-aftermath-19759927.php</t>
  </si>
  <si>
    <t>Hurricane Francine: Texas spared after Louisiana landfall</t>
  </si>
  <si>
    <t>Sep 12, 2024 ... ... of the state. Southeast Texas was able to ... MORE ON FRANCINE: Oil and gas producers in the Gulf are bracing for Hurricane Francine.</t>
  </si>
  <si>
    <t>https://www.nola.com/news/hurricane/hurricane-francine-orleans-emergency-declaration/article_a6215284-7046-11ef-85bc-8fd23848b5da.html</t>
  </si>
  <si>
    <t>For Francine, New Orleans issues a state of emergency</t>
  </si>
  <si>
    <t>Sep 11, 2024 ... Coastal regions of Louisiana began feeling the effects of the storm on Wednesday morning. Hurricane Francine is expected to make landfall as ...</t>
  </si>
  <si>
    <t>https://www.houstonchronicle.com/news/houston-weather/hurricanes/article/francine-louisiana-preparation-evacuations-curfew-19756989.php</t>
  </si>
  <si>
    <t>Louisiana readies for Hurricane Francine's impending landfall</t>
  </si>
  <si>
    <t>Sep 11, 2024 ... ... Hurricane Francine on Tuesday, Sept. 10, 2024. (Chris Granger /The ... of the state and local governments. This federal assistance is ...</t>
  </si>
  <si>
    <t>https://www.nola.com/news/hurricane/francine-aftermath-live-updates/article_b2f9b810-70bf-11ef-963a-833a111e80ef.html</t>
  </si>
  <si>
    <t>Live updates: Aftermath of Hurricane Francine in Louisiana</t>
  </si>
  <si>
    <t>Sep 12, 2024 ... Francine caused widespread flooding and power outages in Louisiana as it moved north out of the state ... Hurricane Francine on Thursday, ...</t>
  </si>
  <si>
    <t>https://www.weeklycitizen.com/story/news/local/2024/09/12/ascension-parish-recovers-after-hurricane-francine-sweeps-through-louisiana/75186335007/</t>
  </si>
  <si>
    <t>Ascension Parish begins recovery after Hurricane Francine</t>
  </si>
  <si>
    <t>Sep 12, 2024 ... Hurricane Francine swept through southeast Louisiana in the afternoon and evening hours of Sept. ... in the southeastern part of the state.</t>
  </si>
  <si>
    <t>https://www.npr.org/2024/09/11/nx-s1-5107881/louisiana-is-bracing-for-a-direct-hit-from-hurricane-francine</t>
  </si>
  <si>
    <t>Louisiana is bracing for a direct hit from Hurricane Francine - NPR</t>
  </si>
  <si>
    <t>Sep 11, 2024 ... Louisiana is preparing for Hurricane Francine. The storm intensified ... And then in the state, the National Guard is deployed with ...</t>
  </si>
  <si>
    <t>https://www.cnn.com/2024/09/12/us/tropical-storm-francine-louisiana-new-orleans-thursday</t>
  </si>
  <si>
    <t>Hurricane Francine: After Louisiana, storm unleashes flooding ...</t>
  </si>
  <si>
    <t>Sep 12, 2024 ... Download the CNN App. US 5 min read. Francine's heavy rainfall forces dramatic water rescues as even more flooding is on the horizon.</t>
  </si>
  <si>
    <t>https://apnews.com/article/hurricane-francine-gulf-coast-louisiana-storm-surge-e9ca39ec56ad28d128d3baa147d249b1</t>
  </si>
  <si>
    <t>Hurricane Francine makes landfall in Louisiana as Category 2 storm</t>
  </si>
  <si>
    <t>Sep 11, 2024 ... Thousands in the dark as Hurricane Francine strikes Louisiana, raising flood fears ... 11, 2024, in Luling, La., ahead of Hurricane Francine. ( ...</t>
  </si>
  <si>
    <t>https://www.nytimes.com/2024/09/11/weather/hurricane-season-update-forecast.html?eafs_enabled=false</t>
  </si>
  <si>
    <t>After Francine, Hurricane Season is Looking More Active</t>
  </si>
  <si>
    <t>Sep 11, 2024 ... A satellite image of the Western Atlantic shows the clouds of Hurricane Francine in the Gulf ... of the United States may develop on Friday.</t>
  </si>
  <si>
    <t>https://www.npr.org/2024/09/11/nx-s1-5108645/hurricane-francine-landfall-louisiana-new-orleans</t>
  </si>
  <si>
    <t>Francine weakens to a tropical storm as it moves across Louisiana</t>
  </si>
  <si>
    <t>Sep 11, 2024 ... ... Hurricane Francine in Metairie, La., Wednesday, Sept. 11, 2024. The causeway is the longest continuous bridge over water in the world.</t>
  </si>
  <si>
    <t>https://www.nola.com/news/francine-louisiana-rebounds-aftermath-storm/article_eff31696-71ee-11ef-b135-9bca965af0bc.html</t>
  </si>
  <si>
    <t>After Francine, Louisiana rebounds as governments reopen | News</t>
  </si>
  <si>
    <t>Sep 13, 2024 ... ... Hurricane Francine made landfall on Thursday, September 12, 2024. ... Louisiana rebounds in the wake of Hurricane Francine as parish ...</t>
  </si>
  <si>
    <t>https://www.nola.com/news/hurricane/terrebonne-takes-on-francine-all-we-can-do-is-rebuild/article_3e84f7aa-7138-11ef-af5b-b742cc25e6c7.html</t>
  </si>
  <si>
    <t>Terrebonne takes on Francine: 'All we can do is rebuild' - NOLA.com</t>
  </si>
  <si>
    <t>Sep 12, 2024 ... ... Hurricane Francine's winds began whipping and water rose in the ... Hurricane Francine crossed into Louisiana on Thursday, September 12, 2024.</t>
  </si>
  <si>
    <t>https://www.usatoday.com/picture-gallery/news/weather/2024/09/11/dangerous-hurricane-francine-heads-toward-louisiana-coast/75180178007/</t>
  </si>
  <si>
    <t>Downgraded Tropical Storm Francine still dangerous heading inland</t>
  </si>
  <si>
    <t>Sep 11, 2024 ... Weather radar shows Hurricane Francine at noon EDT Sept. 11, 2024, as outer rain bands move onshore. NOAA Via USA TODAY NETWORK.</t>
  </si>
  <si>
    <t>https://www.capitalgazette.com/2024/10/02/hurricanes-keep-killing-for-years/</t>
  </si>
  <si>
    <t>Hurricanes like Helene are deadly when they strike and keep killing ...</t>
  </si>
  <si>
    <t>Oct 2, 2024 ... ... 2024 at 1:35 PM EDT | UPDATED: October 2 ... Hurricanes in the United States end up ... Study authors said even with Hurricane Helene's ...</t>
  </si>
  <si>
    <t>https://www.ledger-enquirer.com/news/weather-news/article293431279.html</t>
  </si>
  <si>
    <t>GA Gov. Kemp provides update one week after Hurricane Helene ...</t>
  </si>
  <si>
    <t>Oct 3, 2024 ... U.S. Senator Jon Ossoff surveyed ...</t>
  </si>
  <si>
    <t>https://www.thestate.com/news/weather-news/article293178854.html</t>
  </si>
  <si>
    <t>41 dead in SC after Hurricane Helene ravages Southeastern US</t>
  </si>
  <si>
    <t>Sep 28, 2024 ... A shopping center in Forest Acres is flooded as Hurricane Helene hits Columbia, South Carolina on Thursday, September 26, 2024. Joshua ...</t>
  </si>
  <si>
    <t>https://www.thestate.com/news/weather-news/article293035149.html</t>
  </si>
  <si>
    <t>SC state of emergency declared for Hurricane Helene</t>
  </si>
  <si>
    <t>Sep 25, 2024 ... ... Hurricane Helene makes its way to the United States through the Gulf of Mexico. ... 2024 education reporting award. Support my work with a ...</t>
  </si>
  <si>
    <t>https://www.thestate.com/news/weather-news/article293065554.html</t>
  </si>
  <si>
    <t>Hurricane Helene causes Tropical Storm Warning in Columbia, SC</t>
  </si>
  <si>
    <t>Sep 27, 2024 ... Hurricane Helene is getting stronger as it churns toward the US, and is expected to bring severe weather to the Columbia area of South Carolina beginning ...</t>
  </si>
  <si>
    <t>https://www.thestate.com/news/weather-news/article293246029.html</t>
  </si>
  <si>
    <t>Power outages still at 740K in SC days after Hurricane Helene</t>
  </si>
  <si>
    <t>Sep 30, 2024 ... Nearly three quarters of a million South Carolina power customers remained in the dark Monday, days after powerful Hurricane Helene ripped ...</t>
  </si>
  <si>
    <t>https://www.al.com/weather/2024/10/how-did-hurricane-helene-affect-alabamas-drought.html</t>
  </si>
  <si>
    <t>How did Hurricane Helene affect Alabama's drought? - al.com</t>
  </si>
  <si>
    <t>Oct 4, 2024 ... U.S. Drought Monitor. Add us on Google. By. Leigh Morgan. The state of Alabama escaped Hurricane Helene's wind, catastrophic storm surge and ...</t>
  </si>
  <si>
    <t>https://dothaneagle.com/news/community/enterprise-ledger/article_46d3af4c-81c2-11ef-9f87-0f31278a775f.html</t>
  </si>
  <si>
    <t>Hurricane Helene left her mark on the southeast U.S. - Dothan Eagle</t>
  </si>
  <si>
    <t>Hurricane Helene left her mark on the southeast U.S.. Oct 4, 2024; Oct 4, 2024 Updated Nov 9, 2025; 0. Prefer us on Google Learn More. Facebook · Twitter ...</t>
  </si>
  <si>
    <t>https://www.blufftonicon.com/news/2024/10/05/research-charitable-organizations-related-hurricane-helene-relief</t>
  </si>
  <si>
    <t>Research charitable organizations related to Hurricane Helene relief ...</t>
  </si>
  <si>
    <t>As Ohioans step up to support storm relief efforts in the wake of the devastation caused by Hurricane Helene ... / Oct 05, 2024. Send news to info@blufftonicon.com.</t>
  </si>
  <si>
    <t>https://www.cnn.com/weather/live-news/hurricane-helene-florida-09-26-24</t>
  </si>
  <si>
    <t>September 26, 2024 news on Hurricane Helene - CNN</t>
  </si>
  <si>
    <t>Sep 26, 2024 ... ... US, as powerful Hurricane Helene churns through the Southeast. Read more. 11:32 p.m. PDT, September 26, 2024. Link Copied! Helene brings " ...</t>
  </si>
  <si>
    <t>https://www.npr.org/2024/10/01/nx-s1-5133530/hurricane-helene-rain-flooding-climate-change</t>
  </si>
  <si>
    <t>Hurricanes are dangerous far from the coast. Communities ... - NPR</t>
  </si>
  <si>
    <t>Oct 2, 2024 ... As Hurricane Helene approached the U.S. coast, forecasters sent out alerts that it had reached a Category 4 storm. That's the rating system for ...</t>
  </si>
  <si>
    <t>https://www.cnn.com/2024/10/01/weather/hurricane-helene-path-of-destruction-climate-dg</t>
  </si>
  <si>
    <t>What Hurricane Helene's 500-mile path of destruction looks like - CNN</t>
  </si>
  <si>
    <t>Oct 1, 2024 ... Hurricane Helene laid waste to the southeastern United States. Its ... Hurricane Helene downed power lines on September 26, 2024. SVC ...</t>
  </si>
  <si>
    <t>https://www.npr.org/2024/09/27/g-s1-24816/up-first-newsletter-hurricane-helene-nevada-voters-united-nations</t>
  </si>
  <si>
    <t>Up First briefing: Hurricane Helene 2024; Netanyahu at United Nations</t>
  </si>
  <si>
    <t>Sep 27, 2024 ... Hurricane Helene batters the South. And, takeaways from voters in swing state Nevada · Hurricane Helene weakened to a Category 1 storm as it ...</t>
  </si>
  <si>
    <t>https://www.nytimes.com/2024/09/29/us/helene-destruction-florida-north-carolina.html</t>
  </si>
  <si>
    <t>What We Know About Hurricane Helene's Destruction So Far</t>
  </si>
  <si>
    <t>Oct 6, 2024 ... Helene is the deadliest tropical cyclone to strike the mainland United States ... See the devastating path carved out by Hurricane Helene from ...</t>
  </si>
  <si>
    <t>https://www.miamiherald.com/news/weather/hurricane/article293144649.html</t>
  </si>
  <si>
    <t>Hurricane Helene hits Southwest Florida coast again after Ian</t>
  </si>
  <si>
    <t>Sep 27, 2024 ... ... Hurricane Helene washed over areas of Sanibel Thursday, September 26, 2024, two years after Hurricane Ian. Ricardo Rolon USA TODAY NETWORK.</t>
  </si>
  <si>
    <t>https://www.miamiherald.com/news/weather/hurricane/article293126054.html</t>
  </si>
  <si>
    <t>Hurricane Helene: Photos of landfall, damage, wind, rain</t>
  </si>
  <si>
    <t>Sep 27, 2024 ... ... Hurricane Helene continues its trek through the southeastern United States. ... This story was originally published September 27, 2024 at 8:11 AM.</t>
  </si>
  <si>
    <t>https://www.thestate.com/news/weather-news/article293265174.html</t>
  </si>
  <si>
    <t>Newberry, SC deals with Hurricane Helene damage and power out</t>
  </si>
  <si>
    <t>Oct 1, 2024 ... Tree removal from house in Newberry, South Carolina after Hurricane Helene swept through much of the Upstate. ... Hurricane Helene on Monday, Sept ...</t>
  </si>
  <si>
    <t>https://www.npr.org/2024/09/27/nx-s1-5130849/helene-category-4-fast-warm-water-climate-change</t>
  </si>
  <si>
    <t>How Hurricane Helene rapidly intensified to a Category 4 - NPR</t>
  </si>
  <si>
    <t>Sep 27, 2024 ... ... Hurricane Helene churns offshore on September 26, 2024 in St. Pete ... In the two days before it hit Florida, Hurricane Helene grew ...</t>
  </si>
  <si>
    <t>https://www.npr.org/2024/10/07/nx-s1-5144159/fema-funding-migrants-disaster-relief-fund</t>
  </si>
  <si>
    <t>Fact-checking falsehoods about FEMA funding and Hurricane Helene</t>
  </si>
  <si>
    <t>Oct 7, 2024 ... Rumors, misinformation and lies about the federal government's response to Hurricane Helene in the southeastern United States have run ...</t>
  </si>
  <si>
    <t>https://www.npr.org/2024/10/08/nx-s1-5143320/hurricanes-climate-change</t>
  </si>
  <si>
    <t>How climate change makes hurricanes worse - NPR</t>
  </si>
  <si>
    <t>Oct 8, 2024 ... ... in the aftermath of Hurricane Helene, Friday, Sept. 27, 2024, in ... Hurricanes are not necessarily hitting the U.S. more often ... Number of ...</t>
  </si>
  <si>
    <t>https://www.charlotteobserver.com/news/state/north-carolina/article293312804.html</t>
  </si>
  <si>
    <t>20 accounts of Helene's devastation in North Carolina, including the ...</t>
  </si>
  <si>
    <t>Oct 1, 2024 ... 10: See Hurricane Helene storm damage across North Carolina as flooding hits western NC ... Hurricane Helene in the Carolinas. | Published ...</t>
  </si>
  <si>
    <t>https://www.miamiherald.com/news/weather/hurricane/article293359994.html</t>
  </si>
  <si>
    <t>'An empty feeling.' At Helene's Florida landfall, few have insurance ...</t>
  </si>
  <si>
    <t>Oct 4, 2024 ... As of this June — seven years later — the state has completed just over 3,500 projects. Debris is scattered and some homes ruined by Hurricane ...</t>
  </si>
  <si>
    <t>https://www.news-journalonline.com/picture-gallery/news/2024/09/30/hurricane-helene-damage-photos-florida-carolina-flooding/75451757007/</t>
  </si>
  <si>
    <t>Hurricane Helene flooding: Pics of submerged, damaged homes ...</t>
  </si>
  <si>
    <t>Sep 30, 2024 ... A drone view shows a flooded and damaged area, following Hurricane Helene in Steinhatchee, Florida, U.S., September 27, 2024. Marco Bell/REUTERS.</t>
  </si>
  <si>
    <t>https://journalnow.com/news/nation-world/weather/hurricane-helene-search-for-survivors/article_98c7758a-cc61-5260-a92f-232f8c61c99a.html</t>
  </si>
  <si>
    <t>Crews search for survivors of Hurricane Helene</t>
  </si>
  <si>
    <t>Oct 1, 2024 ... ... Hurricane Helene, days after the storm carved a destructive path through the Southeast. ... of the 2024 ... United States of America, US Virgin ...</t>
  </si>
  <si>
    <t>https://www.thestate.com/news/weather-news/article293007779.html</t>
  </si>
  <si>
    <t>Now Hurricane Helene track forecast to impact Columbia, SC</t>
  </si>
  <si>
    <t>Sep 25, 2024 ... ... Hurricane Helene makes its way to the United States through the Gulf of Mexico. ... Because of the size of Helene, storm surge, wind, and ...</t>
  </si>
  <si>
    <t>https://www.thestate.com/news/state/south-carolina/article293070809.html</t>
  </si>
  <si>
    <t>How to prepare for Hurricane Helene in South Carolina | The State</t>
  </si>
  <si>
    <t>Sep 26, 2024 ... The storm is expected to bring gusty winds, heavy rain, flooding and isolated tornadoes. Expand All. Are you ready for Helene? Hurricane Helene, ...</t>
  </si>
  <si>
    <t>https://www.jacksonville.com/story/weather/hurricane/2024/10/18/florida-hurricanes-debby-helene-milton-tie-record-landfalls/75718304007/</t>
  </si>
  <si>
    <t>Florida hurricanes: Debby, Helene, Milton tie record for landfalls</t>
  </si>
  <si>
    <t>Three hurricanes, THREE!, have made landfall in the state ... 18, there have been 13 named storms in the 2024 Atlantic. Hurricane Milton become the third ...</t>
  </si>
  <si>
    <t>https://dailyprogress.com/news/nation-world/weather/article_96ab7be2-64d2-5a8a-a50d-a20ce19a0a57.html</t>
  </si>
  <si>
    <t>Hurricane Milton ravaged one of the most popular areas for ...</t>
  </si>
  <si>
    <t>Oct 25, 2024 ... Oct 25, 2024 Updated Apr 28, 2025 ... of the devastation from Hurricane Milton two weeks ago. ... United States of America, US Virgin Islands ...</t>
  </si>
  <si>
    <t>https://www.miamiherald.com/news/weather/hurricane/article293763069.html</t>
  </si>
  <si>
    <t>Siesta Key after Hurricane Milton's landfall. 'We survived!'</t>
  </si>
  <si>
    <t>Oct 10, 2024 ... What happened to Florida's top beach after Hurricane Milton made landfall there? ... Siesta Beach on Siesta Key off Sarasota was named ...</t>
  </si>
  <si>
    <t>https://www.miamiherald.com/news/weather/hurricane/article293759304.html</t>
  </si>
  <si>
    <t>Hurricane Milton: See storm come through, damage in Tampa Bay</t>
  </si>
  <si>
    <t>Oct 10, 2024 ... See what Hurricane Milton did to Florida. Video of the arriving storm and the damage. Miami Herald. Updated October 17, 2024 8:59 ...</t>
  </si>
  <si>
    <t>https://www.miamiherald.com/news/weather/hurricane/article293811134.html</t>
  </si>
  <si>
    <t>Inland Tampa residents bombarded by Hurricane Milton flooding</t>
  </si>
  <si>
    <t>Oct 11, 2024 ... United States · Cuba · Haiti · Venezuela · Americas. Sports. Sports. Professional ... 2024, a day after Hurricane Milton crossed Florida's Gulf ...</t>
  </si>
  <si>
    <t>https://www.miamiherald.com/news/weather/hurricane/article293865369.html</t>
  </si>
  <si>
    <t>Milton's tornadoes kill 6 in senior community by Fort Pierce</t>
  </si>
  <si>
    <t>Oct 12, 2024 ... United States · Cuba · Haiti · Venezuela · Americas. Sports ... Hurricane Milton made landfall on Florida's west coast on Wednesday October 9, ...</t>
  </si>
  <si>
    <t>https://www.miamiherald.com/news/weather/hurricane/article293619694.html</t>
  </si>
  <si>
    <t>Hurricane Milton: More power outages expected in Florida</t>
  </si>
  <si>
    <t>Oct 9, 2024 ... United States · Cuba · Haiti · Venezuela · Americas. Sports ... How long will it take to restore your power if it goes out in Hurricane Milton?</t>
  </si>
  <si>
    <t>https://www.al.com/weather/2024/10/hurricane-milton-tracked-across-florida-as-a-hurricane.html</t>
  </si>
  <si>
    <t>Hurricane Milton tracked across Florida as a hurricane - AL.com</t>
  </si>
  <si>
    <t>Oct 10, 2024 ... Hurricane Milton tracked across Florida as a hurricane. Updated: Oct ... Milton was the fifth hurricane to make landfall in the United States in ...</t>
  </si>
  <si>
    <t>https://www.tampabay.com/hurricane/2024/10/15/hurricane-milton-surprised-tampa-bay-with-where-it-caused-flooding/</t>
  </si>
  <si>
    <t>Hurricane Milton surprised Tampa Bay with where it caused flooding</t>
  </si>
  <si>
    <t>Oct 15, 2024 ... Hurricane Milton surprised Tampa Bay with where it caused flooding ... TEGHAN SIMONTON | Times Source: United States Geological Survey. A ...</t>
  </si>
  <si>
    <t>https://www.cnn.com/2024/10/17/business/hurricane-milton-losses</t>
  </si>
  <si>
    <t>Hurricane Milton's losses of up to $34 billion could make it one of the ...</t>
  </si>
  <si>
    <t>Oct 17, 2024 ... In this aerial photo, a vehicle drives though a flooded street after Hurricane Milton, in Siesta Key, Florida, on October 10, 2024. Chandan ...</t>
  </si>
  <si>
    <t>https://www.npr.org/2024/10/13/nx-s1-5149019/hurricane-milton-could-have-an-impact-on-florida-in-the-long-term</t>
  </si>
  <si>
    <t>Hurricane Milton could have an impact on Florida in the long term</t>
  </si>
  <si>
    <t>Oct 13, 2024 ... ... Hurricane Milton is raising critical questions about the future of the sunshine state ... POLSKY: Thank you. Copyright © 2024 NPR. All ...</t>
  </si>
  <si>
    <t>https://www.cnn.com/2024/10/12/us/hurricane-milton-florida-recovery-saturday</t>
  </si>
  <si>
    <t>Hurricane Milton: Floods, blackouts and gas shortages as Florida ...</t>
  </si>
  <si>
    <t>Oct 12, 2024 ... ... in the aftermath of Hurricane Milton on October 10, 2024. John ... Less than two weeks later, Hurricane Milton has roared through the state ...</t>
  </si>
  <si>
    <t>https://www.npr.org/2024/10/11/nx-s1-5149899/florida-airports-amusement-parks-reopen-as-officials-weigh-damage-from-hurricane-milton</t>
  </si>
  <si>
    <t>Florida reopens as recovery efforts intensify after Hurricane Milton</t>
  </si>
  <si>
    <t>Oct 11, 2024 ... Updated October 12, 202411:55 PM ET Originally published ... Hurricane Milton made landfall in the state as a deadly Category 3 storm.</t>
  </si>
  <si>
    <t>https://apnews.com/article/hurricane-milton-tampa-florida-08bde4b9c29460f471d43c6512821c93</t>
  </si>
  <si>
    <t>Hurricane Milton makes landfall in Florida as Category 3 storm</t>
  </si>
  <si>
    <t>Oct 9, 2024 ... 9, 2024. (NOAA via AP). Read More. Rain begins to fall ahead of the arrival of Hurricane Milton in Tampa, Fla. 15 of 27 |. Rain begins to fall ...</t>
  </si>
  <si>
    <t>https://www.miamiherald.com/news/weather/hurricane/article293736629.html</t>
  </si>
  <si>
    <t>Hurricane Milton aftermath: at least 10 dead, 3 million in dark</t>
  </si>
  <si>
    <t>Oct 10, 2024 ... United States · Cuba · Haiti · Venezuela · Americas. Sports. Sports ... Hurricane Milton in Sarasota, Florida on Thursday, October 10, 2024.</t>
  </si>
  <si>
    <t>https://www.miamiherald.com/news/weather/hurricane/article293699584.html</t>
  </si>
  <si>
    <t>Hurricane Milton: Florida airports open or closed? Orlando, MIA, FLL</t>
  </si>
  <si>
    <t>Oct 9, 2024 ... Here's a rundown. By Vinod Sreeharsha. Updated October 17, 2024 8:59 AM. READ MORE. Hurricane Milton. Hurricane Milton is expected to have major ...</t>
  </si>
  <si>
    <t>https://www.jacksonville.com/story/weather/hurricane/2024/10/10/hurricane-milton-northeast-florida-storm-update-damage-power-outage/75596778007/</t>
  </si>
  <si>
    <t>Hurricane Milton: Northeast Florida storm update, damage, power ...</t>
  </si>
  <si>
    <t>... Hurricane Milton, which briefly caused "reverse storm surge" in the bay. National Weather Service meteorologist Tyler Fleming confirmed to USA TODAY that ...</t>
  </si>
  <si>
    <t>https://www.miamiherald.com/news/weather/hurricane/article293811264.html</t>
  </si>
  <si>
    <t>See how Hurricane Milton damaged Florida from coast to coast</t>
  </si>
  <si>
    <t>Oct 11, 2024 ... ... in the aftermath of Hurricane Milton. The Cortez community, where many residents lost everything due to Hurricane Helene's historic storm ...</t>
  </si>
  <si>
    <t>https://www.miamiherald.com/news/weather/hurricane/article293836014.html</t>
  </si>
  <si>
    <t>With Milton damage, home height made huge difference</t>
  </si>
  <si>
    <t>Oct 12, 2024 ... United States · Cuba · Haiti · Venezuela · Americas. Sports. Sports ... 2024, in Port Charlotte, Florida, caused by Hurricane Milton's storm surge ...</t>
  </si>
  <si>
    <t>https://www.cnn.com/2024/10/10/weather/map-charts-milton-hurricane-dg</t>
  </si>
  <si>
    <t>Maps and charts: Hurricane Milton's impact across Florida - CNN</t>
  </si>
  <si>
    <t>Oct 10, 2024 ... Hurricane Milton slammed into Florida's Gulf Coast on Wednesday ... in the state as a Category 4 storm. Milton is the third hurricane ...</t>
  </si>
  <si>
    <t>https://www.npr.org/2024/10/09/nx-s1-5146531/hurricane-milton-is-expected-to-bring-15-foot-storm-surges-to-florida</t>
  </si>
  <si>
    <t>Hurricane Milton is expected to bring 15-foot storm surges to Florida</t>
  </si>
  <si>
    <t>Oct 9, 2024 ... Hurricane Milton is expected to bring 15-foot storm surges to Florida ... SHAPIRO: Officials say this could be one of the most destructive storms ...</t>
  </si>
  <si>
    <t>https://www.washingtonpost.com/weather/2024/08/01/eastern-us-drought-virginia-maryland/</t>
  </si>
  <si>
    <t>Drought is widespread and intense in the eastern United States</t>
  </si>
  <si>
    <t>Aug 1, 2024 ... The most intense drought covers the area from eastern West Virginia, northwestern Virginia and parts of Western Maryland into south-central ...</t>
  </si>
  <si>
    <t>https://transcripts.cnn.com/show/cnr/date/2024-06-18/segment/28</t>
  </si>
  <si>
    <t>Jun 18, 2024 ... In fact, Southeast New Mexico, that corner is labeled with the worst drought conditions in the United States right now. Exceptional drought.</t>
  </si>
  <si>
    <t>https://www.seattletimes.com/nation-world/nation/much-of-u-s-braces-for-extreme-weather-from-southern-heat-wave-to-possible-snow-in-the-rockies/</t>
  </si>
  <si>
    <t>Much of US braces for extreme weather, from southern heat wave to ...</t>
  </si>
  <si>
    <t>Jun 15, 2024 ... After days of intense flooding in Florida, that state and many others are bracing for an intense heat wave, while the Pacific Northwest will ...</t>
  </si>
  <si>
    <t>https://www.washingtonpost.com/weather/2024/06/21/heat-wave-east-midatlantic-temperatures-updates/</t>
  </si>
  <si>
    <t>U.S. heat wave live updates: High temperatures shift into mid-Atlantic</t>
  </si>
  <si>
    <t>Jun 21, 2024 ... Live updates. U.S. heat wave continues over eastern, mid-Atlantic states. Updated. June 21, 2024 at 11:51 a.m. EDT.</t>
  </si>
  <si>
    <t>https://www.nytimes.com/2024/07/19/us/heat-wave-forecast-pacific-northwest.html</t>
  </si>
  <si>
    <t>Pacific Northwest Braces for a Blistering Heat Wave Over the Weekend</t>
  </si>
  <si>
    <t>Jul 19, 2024 ... Pacific Northwest Braces for a Blistering Heat Wave Over the Weekend · Heat index forecast for… · Dangerous Heat Forecast in the U.S. › · Monday.</t>
  </si>
  <si>
    <t>https://www.usatoday.com/story/news/nation/2024/06/20/us-heat-wave-live-updates-temperature-forecast/74154164007/</t>
  </si>
  <si>
    <t>Heat wave live updates: More than 100 million are sweltering</t>
  </si>
  <si>
    <t>Jun 21, 2024 ... The deadly heat wave that scorched much of North America in early May and early June – and is still baking the central and eastern U.S. – was ...</t>
  </si>
  <si>
    <t>https://www.usatoday.com/story/news/weather/2024/06/24/heat-wave-bakes-states-flooding-plains/74190203007/</t>
  </si>
  <si>
    <t>Heat wave to bake central US as Plains faces more rain, flooding</t>
  </si>
  <si>
    <t>Jun 24, 2024 ... "So much rain has fallen in a zone from southwestern Minnesota to northeastern Nebraska, including northwestern Iowa and southeastern South ...</t>
  </si>
  <si>
    <t>https://www.latimes.com/environment/story/2024-06-03/can-the-u-s-drought-monitor-keep-up-with-climate-change</t>
  </si>
  <si>
    <t>Can the U.S. Drought Monitor keep up with climate change?</t>
  </si>
  <si>
    <t>Jun 3, 2024 ... Unprecedented March heat wave in SoCal has experts worried about what comes next ... San Quentin, CA, Monday, March 25, 2024 - A view of the.</t>
  </si>
  <si>
    <t>https://www.latimes.com/environment/story/2024-11-07/climate-change-driving-western-drought</t>
  </si>
  <si>
    <t>Climate change found to be main driver of worsening drought</t>
  </si>
  <si>
    <t>Nov 7, 2024 ... Heavier storms and longer dry spells are drying California and the West. May 13, 2026 ; Unprecedented March heat wave in SoCal has experts ...</t>
  </si>
  <si>
    <t>https://www.latimes.com/environment/story/2024-06-02/heat-wave-in-western-u-s-could-kick-off-sweltering-summer</t>
  </si>
  <si>
    <t>Heat wave in Western U.S. could kick off sweltering summer</t>
  </si>
  <si>
    <t>Jun 2, 2024 ... May 22, 2024. While the heat wave's worst effects may dissipate by mid-June, it could also ...</t>
  </si>
  <si>
    <t>https://www.sfchronicle.com/weather/article/southwest-heat-wave-drought-california-19829664.php</t>
  </si>
  <si>
    <t>Drought expands across California, Southwest as heat shatters ...</t>
  </si>
  <si>
    <t>Oct 10, 2024 ... An unprecedented autumn heat wave has shattered temperature records in the Southwest. Phoenix has tied or broken temperature records for 16 ...</t>
  </si>
  <si>
    <t>https://www.capitalgazette.com/2024/07/12/arizona-wildfire-sparks-evacuations-on-reservation-as-officials-warn-of-rising-fire-risk-in-the-west/</t>
  </si>
  <si>
    <t>Arizona wildfire sparks evacuations on reservation as officials warn ...</t>
  </si>
  <si>
    <t>Jul 12, 2024 ... PUBLISHED: July 12, 2024 ... state out of drought but spawned abundant grasses that have since dried out. ... The U.S. heat wave came as the global ...</t>
  </si>
  <si>
    <t>https://dailyprogress.com/news/local/virginia-drought-warning-watch-chesterfield-berry-farm-crops/article_c8449f6c-b9c2-5674-8bf0-4c12455dd5d0.html</t>
  </si>
  <si>
    <t>Drought warning issued for Shenandoah, Northern Virginia</t>
  </si>
  <si>
    <t>Jul 1, 2024 ... Jul 1, 2024; 0. ×. Video Player is ... He's dealing with the effects of the heat wave. ... United States of America, US Virgin Islands ...</t>
  </si>
  <si>
    <t>https://martinsvillebulletin.com/news/local/weather/severe-moderate-drought-virginia-deq-nws/article_a80747bb-2c75-57f8-b85c-29be262bf782.html</t>
  </si>
  <si>
    <t>Moderate to severe droughts affecting 90% of Virginia</t>
  </si>
  <si>
    <t>As the first heat wave of the season ripples across the U.S., summer camps are working to keep their children cool while still letting them enjoy being outside ...</t>
  </si>
  <si>
    <t>https://dothaneagle.com/life-entertainment/nation-world/parenting/video_fb7985c2-a376-5e7e-9db2-a3eeccd3269e.html</t>
  </si>
  <si>
    <t>US summer camps adapt to more frequent heat waves - Dothan Eagle</t>
  </si>
  <si>
    <t>As the first heat wave of the season ripples across the U.S., summer camps are working to keep their ... Jun 24, 2024; Jun 24, 2024 Updated Jun 26, 2024; 0 ...</t>
  </si>
  <si>
    <t>https://www.timesfreepress.com/news/2024/jul/11/forecasters-calling-for-heat-wave-of-the-decade/</t>
  </si>
  <si>
    <t>Forecasters call for 'heat wave of the decade' as temps 100 and ...</t>
  </si>
  <si>
    <t>Jul 11, 2024 ... It could be the "heat wave of the decade" if temperatures in the ... According to the U.S. Drought Monitor released Thursday, Southeast ...</t>
  </si>
  <si>
    <t>https://www.chicagotribune.com/2024/01/15/drought-that-affected-illinois-other-states-was-most-expensive-billion-dollar-disaster-in-2023-but-extreme-cold-can-be-costly-in-other-ways/</t>
  </si>
  <si>
    <t>Drought most expensive disaster in 2023; cold costly in other ways</t>
  </si>
  <si>
    <t>Jan 15, 2024 ... The United States ... Nine of these events affected Illinois, with the most expensive in the nation being a drought and heat wave across the South ...</t>
  </si>
  <si>
    <t>https://www.washingtonpost.com/weather/2024/07/26/heat-wave-forecast-united-states/</t>
  </si>
  <si>
    <t>Another major heat wave will build across the United States next week</t>
  </si>
  <si>
    <t>Jul 26, 2024 ... The heat will cause drought to expand while also increasing the fire risk in the ... Another major heat wave will build across the United States ...</t>
  </si>
  <si>
    <t>https://www.washingtonpost.com/weather/2024/05/28/mexico-heat-dome-texas-florida-west/</t>
  </si>
  <si>
    <t>Mexico's brutal heat dome is heading for the U.S. Here's what to know.</t>
  </si>
  <si>
    <t>May 28, 2024 ... A prolonged and deadly heat wave in Mexico, one of the most extreme ... The heat is worsening the drought affecting much of the country ...</t>
  </si>
  <si>
    <t>https://www.nytimes.com/2024/06/20/climate/climate-change-mexico-heat-wave.html</t>
  </si>
  <si>
    <t>Warming Made Recent Heat Wave in U.S. and Mexico More Likely ...</t>
  </si>
  <si>
    <t>Jun 20, 2024 ... Warming Made Recent Heat Wave in U.S. and Mexico More Likely, Study Says. Extreme heat across parts of Central America and the Southern ...</t>
  </si>
  <si>
    <t>https://www.cnn.com/2024/04/10/asia/southeast-asia-extreme-heat-climate-intl-hnk</t>
  </si>
  <si>
    <t>Searing heat is back across Southeast Asia and it's not going away ...</t>
  </si>
  <si>
    <t>Apr 10, 2024 ... It is too early to know if it will directly affect the United States. ... heat wave and drought on April 6, 2024. Stringer/AFP/Getty Images ...</t>
  </si>
  <si>
    <t>https://www.washingtonpost.com/weather/2024/12/19/drought-southwest-rain-las-vegas/</t>
  </si>
  <si>
    <t>Drought deepens in the Southwest, driven by little rain and extreme ...</t>
  </si>
  <si>
    <t>Dec 19, 2024 ... Drought is deepening in the Southwestern United States ... An extraordinary heat wave in October brought record temperatures to Phoenix for 21 ...</t>
  </si>
  <si>
    <t>Domain</t>
  </si>
  <si>
    <t>aim.org</t>
  </si>
  <si>
    <t>anavecianasuarez.com</t>
  </si>
  <si>
    <t>apnews.com</t>
  </si>
  <si>
    <t>baltimoresun.com</t>
  </si>
  <si>
    <t>baytobaynews.com</t>
  </si>
  <si>
    <t>bloggingawaydebt.com</t>
  </si>
  <si>
    <t>bostonglobe.com</t>
  </si>
  <si>
    <t>cleverdude.com</t>
  </si>
  <si>
    <t>cnn.com</t>
  </si>
  <si>
    <t>computerworld.com</t>
  </si>
  <si>
    <t>dailyvoice.com</t>
  </si>
  <si>
    <t>discoursemagazine.com</t>
  </si>
  <si>
    <t>edition.cnn.com</t>
  </si>
  <si>
    <t>elnuevodia.com</t>
  </si>
  <si>
    <t>enewspaper.usatoday.com</t>
  </si>
  <si>
    <t>everybodylovesyourmoney.com</t>
  </si>
  <si>
    <t>foxnews.com</t>
  </si>
  <si>
    <t>hjnews.com</t>
  </si>
  <si>
    <t>idgconnect.com</t>
  </si>
  <si>
    <t>imarcgroup.com</t>
  </si>
  <si>
    <t>infoworld.com</t>
  </si>
  <si>
    <t>interpersonaledge.com</t>
  </si>
  <si>
    <t>lancasteronline.com</t>
  </si>
  <si>
    <t>lfexaminer.com</t>
  </si>
  <si>
    <t>ms.now</t>
  </si>
  <si>
    <t>newlinesmag.com</t>
  </si>
  <si>
    <t>newlywedsonabudget.com</t>
  </si>
  <si>
    <t>npr.org</t>
  </si>
  <si>
    <t>nytimes.com</t>
  </si>
  <si>
    <t>periodismoinvestigativo.com</t>
  </si>
  <si>
    <t>recordherald.com</t>
  </si>
  <si>
    <t>register-herald.com</t>
  </si>
  <si>
    <t>revealnews.org</t>
  </si>
  <si>
    <t>samoanews.com</t>
  </si>
  <si>
    <t>sanjuandailystar.com</t>
  </si>
  <si>
    <t>splendidtable.org</t>
  </si>
  <si>
    <t>spokesman.com</t>
  </si>
  <si>
    <t>thedailybeast.com</t>
  </si>
  <si>
    <t>tribunecontentagency.com</t>
  </si>
  <si>
    <t>usatoday.com</t>
  </si>
  <si>
    <t>victorhanson.com</t>
  </si>
  <si>
    <t>virginislandsdailynews.com</t>
  </si>
  <si>
    <t>votebeat.org</t>
  </si>
  <si>
    <t>washingtonpost.com</t>
  </si>
  <si>
    <t>wipo.int</t>
  </si>
  <si>
    <t>wsj.com</t>
  </si>
  <si>
    <t>wvnews.com</t>
  </si>
  <si>
    <t>Human Relevance</t>
  </si>
  <si>
    <t>Human Attribution Category</t>
  </si>
  <si>
    <t>Human Attribution Score</t>
  </si>
  <si>
    <t>Human D-Subtype</t>
  </si>
  <si>
    <t>Human Contested</t>
  </si>
  <si>
    <t>LLM Relevance</t>
  </si>
  <si>
    <t>LLM Attribution Category</t>
  </si>
  <si>
    <t>LLM Attribution Score</t>
  </si>
  <si>
    <t>LLM D-Subtype</t>
  </si>
  <si>
    <t>LLM Contested</t>
  </si>
  <si>
    <t>Notes</t>
  </si>
  <si>
    <t>Relevant</t>
  </si>
  <si>
    <t>C</t>
  </si>
  <si>
    <t>Savage rash of twisters slices across U.S., killing at least 35 Tennessee, Alabama worst hit search for missing continues
Violent storms, including more than 70 tornadoes, blew across the nation early yesterday, slashing through small towns, splintering buildings and trees, twirling semi-trucks and cars and killing at least 35 people in a swath that stretched from the Gulf of Mexico to the Great Lakes.
Starting late Saturday, the storms' fury mounted and swept from Louisiana, through Mississippi, Alabama, Tennessee and Ohio into Pennsylvania.
early yesterday morning, the winds had demolished more than half of the two dozen houses that made up Mossy Grove, Tenn., a hamlet 40 miles west of Knoxville. Officials estimated more than a third of the structures were destroyed in Carbon Hill, Ala., a town of 2,071 people northwest of Birmingham.
The deaths were most numerous in Tennessee where 16 people died, including seven in Mossy Grove. Another 12 were killed in Alabama, including seven in Carbon Hill. Five died in Ohio and one each in Mississippi and Pennsylvania. More than 200 people were injured.
It was the deadliest swarm of tornadoes the nation has suffered since 1999 when at least 70 twisters killed more than 45 people over two days in Kansas and Oklahoma.
Some places had only a few minutes' notice before the tornadoes swirled into town. In Van Wert, Ohio, that was just enough time to save dozens of people at the local movie theater. A manager heard a weather report on the radio as showings of "The Santa Clause 2" and "My Big Fat Greek Wedding" were ending and herded customers into hallways and restrooms - three cars blew into the theater and the roof collapsed on the blue-cushioned seats.
"It wiped out three factories," said Larry Blakeley, 53, who lives about two miles from where the tornado touched down in Van Wert. "We had high winds and lightning. There are police cars and National Guard and you can't get close to where it happened."
Radio pleas to the missingThe hardest-hit section in Tennessee included a five-mile stretch of Morgan County, which includes Mossy Grove. Rescuers spent yesterday combing through the wreckage.
As the day ended, dozens of people were still missing. Local radio stations read the names of the missing over the airways and asked them to contact authorities if they heard their names. In some areas, phone calls on the lines that were working were so jammed that calls were not going through. Authorities were confident most people had fled their homes to safet would be accounted for soon. Still, the search was complicated by the devastation.
"Emergency crews are out searching for people," said Amy Smith, a police dispatcher in nearby Oliver Springs. But she added, "The phone lines are down. They're without electric. It's going to be that way for a while."
Officials from the Red Cross and emergency management teams spread out to assess the damage, and to provide those left homeless with food and shelter.
In Alabama, Gov. Don Siegelman said it would take residents a long time to recover.
"It's like somebody wrapped up sticks of dynamite and just blew these homes into little tiny pieces," Siegelman told reporters as he toured affected areas. "Clearly we've got to get money to these communities. But it's not so much the financial help at this point but the spiritual help that they need. We're going to do everything we can to get their lives, their homes back together."
Winds hit an estimated 140 mph in Tennessee with torrential rain and golf-ball-size hail.
The volatile weather was caused by unseasonably high temperatures, followed by a cold front pushing down from the north, creating optimal conditions for tornadoes, said Mark Linhares, a National Weather Service meteorologist based in Birmingham.
Rare widespread twistersThe breadth of the storms was reminiscent of a similar tornado outbreak in November 1992 when a string of tornadoes sprang up in Texas and moved northeast. Ninety-four tornadoes resulted and 26 people were killed, 15 of them in Mississippi. But such widespread outbreaks are not common.
In Alabama, nine people died in Walker County as a line of thunderstorms packing high winds and spinning off tornadoes rolled through the northern part of the state. In Georgia, heavy damage was reported near the town of Tate, about 45 miles north of Atlanta.
In Tennessee, the tornadoes came in two waves. Late Saturda early Sunday, twisters skipped across western and middle Tennessee, killing three people. On Sunday night another line of storms crossed the state - this time south and east of Nashville.
Two people, including a 10-year-old boy, were killed and 15 people were injured in Coffee County when two mobile home parks, three houses and a church were damaged near Manchester, about 60 miles southeast of Nashville, on Sunday night.</t>
  </si>
  <si>
    <t xml:space="preserve">(CNN) -- Four years without adequate rainfall have left a broad quilt of browned lawns, withered crops and scorched forests across much of the United States.
But for Jeff Tranel, an agriculture and business economist with the Colorado State University extension service, it's what's not there that indicates how tough things are.
"I'm out in the country quite a bit, and there are very few cows left," Tranel said recently.
"In one county, Huerfano County, the 1997 census of agriculture data showed 28,000 beef cows in that county. A month ago, talking to ranchers, they said if you could find 1,000 to 5,000 cows, you would be lucky."
The disappearance of thousands of cows from the heart of cattle country is a symptom of the severe drought that has gripped most of the West and much of the Southeast for four years. With nearly half the continental United States suffering from extremely dry conditions, some observers say it's the worst dry spell the country has seen in a generation -- perhaps two.
"This drought is widespread and pretty intense over some large areas that rival those of the '50s," said Mark Svoboda, a climatologist at the National Drought Mitigation Center in Lincoln, Nebraska. "What we haven't seen maybe is the long-term heat, year after year after year, that we saw in the '30s."
The effects have been seen most dramatically in Colorado, New Mexico and Arizona, where kiln-dry timberland exploded into a string of wildfires. More than 3.2 million acres have been burned this year, roughly twice the 10-year average, federal fire officials report.
The U.S. Department of Agriculture has declared the entire state of Utah and numerous counties in Colorado, California, New Mexico and Arizona agricultural disaster areas, making farmers and ranchers in those regions eligible for federal emergency loans.
The department also has opened millions of acres across 18 states from its Conservation Reserve Program for grazing and hay harvesting as ranchers have been forced to sell entire herds of cattle at a loss rather than keep them on drought-stricken pastureland.
The last major drought in the United States occurred in the late 1980s and had an estimated economic impact of nearly $40 billion. The economic impact of the current drought differs among regions and sectors, Svoboda said, "but I think it's safe to say when it's all said and done, this one is going to be right up there. When we start looking at all the impacts, it's going to be in the billions of dollars."
After years of drought in the Southwest and the Rockies, the High Plains states are starting to feel the pinch as well. In South Dakota, rainfall is about half of normal for much of the state, said Michael Held, administrative director for the South Dakota Farm Bureau.
"In the central third of the state, most of the crops -- wheat as well as corn and soybeans -- have been severely damaged to completely ruined," he said.
The drought is also causing problems for some of the fastest-growing cities in the increasingly urbanized Sunbelt, from Atlanta to Albuquerque.
In New Mexico and southwestern Texas, only about 2 percent of the water that normally flows into Rio Grande has reached the river this year, said Barry Wirth, a spokesman for the U.S. Bureau of Reclamation. Along the Colorado River, which feeds some of the West's biggest cities -- including Las Vegas, Phoenix and Los Angeles -- water levels in major reservoirs like Lake Powell and Lake Mead are 50 to 60 feet below normal, Wirth said."
It appears that we are on track right now to be equal to or worse than 1977, which was the worst drought year on record since Lake Powell was created. So we are in pretty stricken shape right now," he said.
Residents of many of these cities are struggling with restrictions on water use even as more and more people are moving in.
In Georgia, all 15 counties in metropolitan Atlanta are under water restrictions that allow outdoor watering only from 10 p.m. to 10 a.m. on alternate days. Lake Lanier, the major source of water for the area's nearly 4 million people, has been down as low as 12 feet below full pool in recent years: It is currently about 7 feet below normal.
"We're only releasing the minimum flows necessary to preserve water quality in the system and water supply where needed," said Pat Robbins, a spokesman for the Army Corps of Engineers. "In other words, we've got it down to the absolute minimum that we can do, but we've got to maintain water quality and supply where it's needed."
In Denver, city officials patrol enforce limits that allow homeowners to water lawns only every third day. Penalties range from a warning for first offenders to a $250 fine and the ultimate sanction -- having water cut off.
"Our major job is to educate our customers on what they need to do," said Robert Trujillo, a member of the city's "Sod Squad." "Mostly, people understand. I haven't had anyone get really angry with me."
The prospects for the future are uncertain. What forecasters are banking on to relieve the drought is the development of the recurring Pacific weather system known as El Nino. Scientists announced earlier this month that the phenomenon -- an above-average warming of eastern Pacific waters that typically occurs every four to five years -- should ease drought conditions in the Southeast and give the northern United States a mild winter.
But continued concern can be seen in the picturesque snows atop the peaks of the Rockies. Mountain snowpacks serve as natural reservoirs that provide much of the next season's water supply for the West -- are currently between 25 percent to 40 percent of what observers consider normal, Svoboda said.
"What's going be the real kicker is what happens this winter," Svoboda said. "Is this El Nino going to develop? It looks like it is, but is it going to be very strong? No, it doesn't look like it's going to be very strong. I think the jury's still out as to how beneficial this El Nino is going to be."
The drought patrol, also known as the "Sod Squad," seeks out violations of water restrictions in Denver.
</t>
  </si>
  <si>
    <t>A cloud bank carried welcome Pacific moisture to Southern California’s mountains Thursday, bringing badly needed relief to firefighters battling twin foes of fire and fatigue.
Six fires, by some measures the most devastating in California history, continued to burn out of control in Los Angeles, Ventura, San Bernardino and San Diego counties. But the most dangerous of them appeared to be moving away from any towns, and there was a sense on the front lines that the worst may have passed.
“This weather is so bizarre,” said Rancho Santa Fe Fire Department Capt. Gary Snavely, who was deployed to save the San Diego mountain town of Julian. “This town is threatened and on the brink of burning yesterday. And now it’s raining.”
Julian, a historic gold mining town, appeared to have been spared, as was most of Lake Arrowhead. Fires were beaten back from communities in Ventura and northern Los Angeles counties.
Still, there were new losses Thursday, including most of the community of Harrison Park in San Diego County. And any relief came tinged with an awareness that nature is unpredictable and the fires could yet be re-stoked by a change in winds.
“I’m still very concerned,” Deputy Incident Cmdr. Donald Feser of the U.S. Forest Service said as he helped oversee the battle against the Old fire. That blaze had turned away from Arrowhead but still threatened the San Bernardino Mountain resort of Big Bear. “This fire still has a tremendous amount of potential.”
Six days after the fires turned catastrophic, the California Department of Forestry and Fire Protection said this had become the worst wildfire season in the state since record-keeping began in the early 20th century.
As of Wednesday, 959,955 acres had burned statewide, two-thirds in the past week in Southern California. The previous record was in 1987, when 873,000 acres burned.
“We are nowhere near out of the fire season yet,” noted department spokeswoman Karen Terrill, “so it’s very likely we’ll pass the million-acre mark.”
This week’s fires have been blamed for 20 deaths, including one firefighter, and the loss of at least 2,612 homes. They have scorched an estimated 745,000 acres, an area larger than Rhode Island. Losses have been estimated at more than $2 billion.
“This will be the most expensive natural disaster the state has ever incurred,” Gov. Gray Davis said Thursday after an aerial tour of the devastation. “It will be the most expensive, the most severe and the longest in duration.”
Despite Davis’ words, it seemed unlikely that the fires could approach the $20-billion cost of the 1993 Northridge earthquake, or the devastation of the 1906 San Francisco earthquake. Twenty-five people died and about 3,000 homes were destroyed in a much smaller area in the 1991 Oakland Hills fire.
On Thursday afternoon, Gov.-elect Arnold Schwarzenegger took an hourlong helicopter tour of burned sections of the San Bernardino National Forest. Afterward, sporting a yellow CDF jacket, Schwarzenegger said he was impressed with the “incredible coordination of how this was planned. They knew this was going to happen if the forest was not cleaned up. If not for that ... many more families would not have their homes.”
Schwarzenegger said he and Davis will meet today to discuss the devastation, and might fly over damaged areas together.
Schwarzenegger earned a roar of applause from the roughly 1,000 assembled fire personnel when he praised their efforts, particularly in evacuating thousands of people from isolated mountain areas.
“I play heroes in the movies,” he said. “These firefighters are the true heroes.”
For the thousands of firefighters who have been deployed against the threat, many of them around the clock, the past week has been filled with danger, frustration, awe-inspiring spectacle, heartache and, ultimately, utter exhaustion. By Thursday, the ordeal was taking its toll.
Allan Lee, 40, a Rancho Cucamonga firefighter, came down from the mountains Thursday morning after working on the Old fire in San Bernardino County since Saturday and watching hundreds of homes burn. Hungry and homesick, a cell phone call to his wife and two children brought his emotions welling to the surface.
“I’m really tired,” he said, turning away and fighting back tears after hanging up the phone. “I just miss home.”
San Diego
The town of Julian, site of one of the most dramatic stands by firefighters, was deserted Thursday except for a dozen firetrucks parked on the main street. In front of the town hall, an American flag flew at half-staff in honor of the firefighter who died Wednesday defending the town. Two others injured in that battle were released from the hospital Thursday but a third remained in critical condition.
The Cedar fire reached within 2 1/2 miles of downtown Wednesday, and spot fires licked within 300 yards. By Thursday, though, the fire was obscured by a haze of fog, mist and shifting smoke.
Fire Capt. Ken Hale of the California Department of Forestry sat in his truck, exhausted, monitoring radio communications. Hale said firefighters were flanking the fire on its north and south sides in an attempt to narrow it until the two flanks meet.
Hale said the main body of the fire was 25 miles wide.
By Thursday night, the fire was 38% contained.
The Cedar fire has been the largest in California’s recorded history, stretching over 272,318 acres from the outskirts of San Diego into the rugged terrain of the Cleveland National Forest.
To attack it, firefighters have created fire breaks out of roads and bulldozed lines in the brush. But the steep, scruffy terrain made the effort difficult. It could be days before firefighters manage to narrow down the head of the fire significantly, Hale said.
Meanwhile, he said, winds are expected to continue out of the west, pushing the fire to the east for the next two days. Little lies in that direction but hills and desert. The desert should serve as a natural fire break and could be where the fire finally dies.
It remained dangerous Thursday. While firefighters managed to save Julian, a popular weekend destination for San Diegans, several small neighborhoods were badly damaged. The worst hit was Harrison Park, about five miles south of Julian, where at least 15 of approximately 20 homes were destroyed.
“It just got nuked last night,” said Hale.
Little that resembled an intact community remained in Harrison Park, which is nestled in a valley between steep hills. Trees were burned to skeletons. Homes were reduced to smoldering ruins. Chimneys stood near burnt-out truck and cars.
Larry Cooke, 61, a retired fire captain with the San Diego City Fire Department, showed up to survey the destruction of his vacation cabin. The bed of his big green pickup truck contained the twisted remains of an antique cooking stove and kerosene lamps.
“When I rebuild, I’ll put those in there just to remind me,” Cooke said as he chomped on an unlit cigar.
He said he and his wife had been planning to fix up the cabin, which had been in his family for more than 75 years.
“Well,” Cooke said, “now we won’t have any arguments on how to remodel. We have to start from scratch.”
San Bernardino
Two fronts of the Old fire continued to burn east of Lake Arrowhead after destroying an estimated 350 homes in the lakeside community of Cedar Glen. One was on the western edge of Big Bear Valley, near the Big Bear dam. The second was to the southwest near Keller Peak.
As a layer of fog and mist moved into the area, accompanied by temperatures that cooled all the way down to the 40s, the fire slowed to a crawl.
“This is the Pacific Ocean lying over our heads right now,” said Pete Dennen, the San Bernardino Fire Department division chief in charge of the Big Bear area.
Still, Dennen warned against complacency. Wind gusts of up to 50 mph were blowing the fire northeastward, in a mostly harmless direction. But the blaze has mocked earlier predictions, along with efforts to contain it.
“This fire can do anything,” Dennen said. “We’re just lucky, I’ll be the first to tell you.”
In the 24 hours leading up to Thursday afternoon, fire crews bulldozed 20 miles of fire break between Big Bear and Highway 38, according to Feser, the Forest Service official.
“The question is, ‘What would it take to put this fire out?’ ” Feser said. “I would say it would take a period of several weeks with at least three inches of rain.”
Still, fire officials seemed pleased at the end of the day. A voluntary evacuation order was lifted in the high desert community of Lucerne Valley, which lies below Big Bear, as authorities became less concerned that the fire would charge down the north slope of the mountains.
Although a cloud of smoke and fog hung over Big Bear, the unscathed forest areas to the east enjoyed a crystal-clear, smoke-free autumn day. The oak trees and chaparral were green and gold beneath a crisp blue sky, up to the point where Highway 38 wound around a mountain and back into the smudgy gray haze of the fire.
On the eastern shore of Arrowhead, the community of Cedar Glen was a burned-out ghost town, the result of the fire that blew through on Wednesday. Falling trees and limbs, emerging out of the fog, posed a hazard to emergency crews, as did downed power lines. So hot were the flames that little silver streams marked the spots where aluminum window frames had melted.
All was not devastation, however. Alan Wheeler returned to his wood-paneled split-level home in lower Cedar Glen, relieved to find the structure intact -- only 1,000 feet from where the fire tore its way through Hooks Creek late Wednesday afternoon.
“I just can’t believe I’m standing in my house,” said Wheeler, a construction worker who has lived in the Arrowhead area for 29 years. “Yesterday I wouldn’t have given a plugged nickel for Cedar Glen or Arrowhead.”
Wheeler said the first evacuation order came Saturday night, but he and his wife, Carolyn, decided to wait for the fire, confident that they could escape on Highway 173, which runs downhill into Hesperia. Finally, on Tuesday, they drove halfway down the mountains with two neighboring families to stay at a campground above the last checkpoint.
Although the Wheelers returned home Thursday afternoon, Alan Wheeler said he was not going to unpack until the last hotspots around upper Cedar Glen were extinguished, and he was also not going to leave, even though supplies were limited to a single market and the weather had turned freezing cold.
He said he would turn on his gas stove for heat through the night.
“I thought about lighting a fire in the fireplace, he said. “But I don’t think that’d be a very good idea right now.”
Ventura/Los Angeles
The front lines of the 115,920-acre Simi Valley fire remained near the Stevenson Ranch subdivision in Los Angeles County, according to Ventura County Fire Department spokesman John Wade. Numerous bulldozer and hand crews worked to keep the flames from advancing north of Interstate 5.
A reduction in winds and the cooler temperatures helped the firefighting effort. Wade said no homes had been lost in Stevenson Ranch.
In Ventura County, “we don’t have any critical areas that are posing an immediate threat to any homes,” said Wade, a veteran firefighter who officially retired on Monday after nearly 38 years, but has remained at the fire base camp to lend a hand.
Maintenance of the Simi fire in this area has turned to the monitoring of hot spots and continuing to build nearly 100 miles of containment line around the blaze. So far, containment is estimated at 60% and officials predict the job will be finished before Wednesday.
“There’s still a lot of hard, dirty, cruddy work to be done,” Wade said. “This is when it becomes less exciting.”
Near Fillmore, crews continued to battle a 63,719-acre fire burning north and northwest into the Los Padres National Forest.
Hand crews and air tankers kept at the fire, which began a week ago and has been difficult to attack because it is burning in steep terrain and thick vegetation that in some areas has not burned since 1917, a Forest Service official said.
Although the fire continued to spread westward within the national forest, officials said there was no imminent threat to the cities of Santa Paula, Fillmore or Ojai.</t>
  </si>
  <si>
    <t>TALLAHASSEE, Florida (CNN) -- Emergency officials in Florida shifted their focus from search and rescue to relief efforts Monday after Hurricane Jeanne cut a destructive path through the state.
Florida Secretary of Health John Agwunobi said trucks carrying water, ice and other essentials were making their way to areas hardest hit.
As of 5 p.m. ET, Jeanne had been downgraded to a tropical depression and its remnants were moving north-northeast through Georgia at about 13 mph with maximum sustained winds of 35 mph -- centered about 15 miles east-northeast of Macon.
At least six people died in Florida as a result of the storm, state law enforcement officials said, and about 2.6 million customers were without power, said Secretary of Environmental Protection Colleen Castille.
The storm made landfall late Saturday with 120 mph winds near the southern end of Hutchinson Island, five miles southeast of Stuart on Florida's east coast, near where Hurricane Frances came ashore September 5.
It collapsed beachfront homes and ripped off roofs on a barrier island near Vero Beach in Indian River County. Concrete utility polls snapped at their bases, leaving power lines in the streets.
In Melbourne, traffic was at a near standstill as residents who evacuated tried to return to their homes. City Manager Jack Schlukebier estimated that several hundred homes were damaged.
About 75 percent of Melbourne residents were without power; at least 2,500 people remained in shelters, local officials said.
Stuart Mayor Jeff Krauskopf said the biggest problem appeared to be roof damage.
"Frances took out all the vegetation. Then when Jeanne came through, it got most of the roofs. Commercial [buildings] have had their roofs ripped off and they are being saturated with water," Krauskopf said.
One of the major problems, Florida officials said, was flooding. Osceola County officials said they got 20 inches of rain as the storm passed, inundating areas that already were flooded from previous storms.
Jeanne was the fourth hurricane to hit Florida in the past six weeks.
"The resiliency of this state is awesome. While we're strained in terms of the resources of our state right now, we're unbowed," Gov. Jeb Bush told reporters during a visit to Pensacola, the Panhandle city that was hard hit by Hurricane Ivan nearly two weeks ago.
President Bush declared Florida a major disaster area, making way for additional federal aid to supplement the state's recovery efforts.
Risk Management Solutions, a catastrophe-modeling firm that works for the insurance industry, estimated Sunday that Jeanne could cause between $4 billion and $8 billion in insured losses in the United States. (Full story)
State of emergency
Jeanne was expected to turn to the northeast within 24 hours, the hurricane center said. Rainfall of 3 to 5 inches with isolated higher amounts can be expected along its path through Tuesday.
The center warned of possible tornadoes from extreme eastern Georgia northeast through the Carolinas.
Flood watches and warnings were in effect for portions of Georgia, South Carolina, North Carolina and Virginia.
Valdosta in southern Georgia reported more than 5 inches of rain Monday.
Georgia Gov. Sonny Perdue declared a state of emergency. Schools systems from Savannah to Augusta and west to Macon canceled classes.
Thousands of airline passengers were stranded at Atlanta's Hartsfield-Jackson International Airport because Florida airports were closed or traffic was backed up.
A group of nurses trying to travel home to the Tampa area was told they would probably be stuck in Atlanta for at least three days.
Deadly wind and rain
The Florida Highway Patrol said a man and woman from Boynton Beach drowned in a 40-foot-deep man-made lake in Deerfield Beach when their SUV left the Sawgrass Expressway and plunged into the water.
Lt. Pat Santangelo, a spokesman for the Florida Highway Patrol, said the accident occurred Saturday night as the area was buffeted by high winds and driving rain.
A tree along the St. Johns River fell late Sunday afternoon, killing a 15-year-old boy who was in his back yard with a friend, said Mary Justino, spokeswoman for the Clay County Sheriff's Department.
She said the other teen was hurt, but the injuries weren't life-threatening.
Elsewhere Sunday, a couple discovered a pickup in a deep drainage ditch in Palm Bay south of Melbourne, and its occupant had drowned, said police spokesman Barney Weiss. He said the man apparently drove into the flooded ditch by mistake.
In Miami, authorities said a man was electrocuted when he touched a downed power line, and in Brevard County, the sheriff's office said a 60-year-old man was found dead in his flooded home after a hurricane party.
Haiti death toll climbs
Jeanne now is blamed for 1,330 deaths in Haiti, and 1,056 people have been reported missing. Haitian officials said Monday that almost 300,000 people had homes damaged or destroyed in the storm, which swept across the country September 18.
Dieufort Deslorges, the head of the disaster relief section of the Haitian Department of Civil Protection, said 2,601 people were injured in the storm.</t>
  </si>
  <si>
    <t>Take a big bite of that juicy navel orange. It may be the last one you enjoy for a while.
More than a week of icy temperatures in California damaged an estimated $500 million or more of fruit and vegetable crops. With another dip in the mercury predicted for early next week, the worst freeze in California in eight years is not over. And consumers nationwide are likely to see its effects for weeks and even months on their grocery bills.
"Consumers can expect to see higher prices on produce," Giant Food spokesman Barry F. Scher said.
The only question is how much higher. Growers, retailers, economists and government officials say they will not know that until the cold spell ends and they can finish assessing the damage.
"Everything is a guess at this point," said Claire Smith, a spokeswoman for Sunkist Growers, a cooperative of 6,000 California and Arizona citrus growers.
Prices for navel oranges may begin rising as early as next week and might not go down until late spring, said Joel Nelsen, president of California Citrus Mutual, which represents 2,000 citrus growers.
California growers do know they will be shipping fewer oranges, avocados, strawberries, artichokes, lettuce, broccoli, cabbage, cauliflower and celery. They expect, however, that the supply of strawberries could bounce back quickly. Plants that were not damaged by the cold temperatures should be able to produce more fruit in another four to six weeks, said Peggy Dillon of the California Strawberry Commission.
Artichoke farmers are hopeful that freeze-damaged plants will yield another harvest in two months, said Doug Mosebar, president of the California Farm Bureau Federation. And lettuce is grown year-round in different parts of California and Arizona, so any interruption in production is likely to be temporary.
Retailers may also be able to spare consumers large spikes in the prices of some commodities by turning to other domestic and foreign sources -- Mexico for avocados, Florida for Valencia oranges and grapefruit.
"Giant, like every other retailer, will be looking for alternatives if we are unable to purchase from our regular vendors," Scher said.
The disruption in the supply of California oranges, however, will be harder to contain, economists and industry leaders predicted.
California is the nation's top producer of table citrus and about three-quarters of the annual crop was still on trees when the freeze set in during the wee hours of Jan. 12, turning the insides of much of the crop to mush.
Because citrus trees produce fruit only once a year, the frigid conditions cut the harvest short. The peak market for Florida Valencia oranges begins in April. Navel oranges from Australia and South Africa don't start arriving until summer.
As a result, California citrus growers are hoping for double the return on the fruit they manage to salvage, charging more and shipping some fruit with a less than perfect complexion. How much of that cost will be passed on to consumers isn't yet clear.
Harris Teeter spokeswoman Jennifer Panetta said the supermarket chain's suppliers have already doubled prices for citrus fruits. But before passing those costs onto consumers, "we're going to see if we can get citrus from other parts of the world," she said.
Sodexho, the food and facilities management giant based in Gaithersburg, may end up absorbing some of the increased costs for fruits and vegetables. Cafeteria prices at universities, for example, probably won't go up because of the freeze, said Dexter Tompkins, Sodexho's director of supply management for produce.
"We still have to have a salad bar and offer lettuce and tomatoes on sandwiches," he said, adding, "Maybe we won't offer orange segments anymore" and instead offer pineapple or other alternatives.
In fact, growers of other fruits may be in for a small windfall due to the coming orange shortage. H. Dave Carlson, president of the Washington state apple commission, said since the freeze, apple growers in his state have received more orders from distributors. He expects grocery store prices on Washington apples to inch up 10 to 15 cents a pound.
But any upward pressure on prices for fruits and vegetables not directly affected by the freeze is likely to be limited, Wells Fargo economist Michael Swanson said.
"These are very discrete seasonal markets," he said.
Just as banana prices behave differently than orange prices, consumers should not expect to pay more for orange juice, which is made primarily with oranges from Florida, not California.
The freeze has prompted speculators to drive up the price of frozen-concentrated orange-juice futures. But agricultural economists say investors need to bone up on their geography.
"I would be more afraid of a freeze in Brazil," another major supplier of juicing oranges, Swanson said. "It's not a logical response."
Speculators "are probably not jumping on the right horse here," University of Florida economist Tom Spreen said.
If you can't bear to give up those juicy oranges just yet, you might want to start shopping now. Any fruit in stores up until now was picked before the freeze. On Wednesday, prices at local stores such as Whole Foods, Giant and Safeway reflected that, with a medium-sized navel orange costing an average of 50 cents.
If you're shopping later in the week, when oranges that survived the freeze start arriving, Swanson says you might try being less picky. "The quality of the fruit is not affected, but the cosmetic appeal might be," he said.</t>
  </si>
  <si>
    <t>NEW ORLEANS, Oct. 2 -- -- Nearly 500,000 residents of coastal Louisiana and Texas were told to evacuate today as the Gulf Coast braced for Hurricane Lili, a storm intensifying in strength as it aimed for a region still recovering from a tropical storm a week ago.
Lili was surging up from the Caribbean today with 140-mph winds and was expected to make landfall Thursday morning. It is potentially far more destructive than last week's Tropical Storm Isidore. Forecasters upgraded Lili to a Category 4 hurricane, the second most powerful. It has already killed seven on Jamaica and St. Vincent and forced thousands of Cubans to flee their homes.
"This has the potential to kill hundreds," said Max Mayfield, director of the National Hurricane Center in Miami. "Damage is going to be extensive. You better not get too close to this one."
In the coastal area straddling Texas and Louisiana, weary residents still cleaning up from last week's $100 million in damage boarded up windows, sand-bagged doors, and braced for potential devastation. A hurricane warning extended from east of High Island, Tex., to the mouth of the Mississippi River in southeastern Louisiana.
"We're getting ready for the real thing," said Ruth Fontenot, the mayor of New Iberia, a Cajun town in Louisiana's rice and sugar region, and a near bull's-eye in the storm's projected path. "It's increasingly gloomy in New Iberia."
Fearful of a "catastrophic" potential 20-foot storm surge that would inundate the picturesque regional capital 140 miles west of New Orleans, she had just ordered the evacuation of all 35,000 citizens, and sent her own children out of town. New Iberia is only 10 miles from Vermilion Bay, which opens into the Gulf of Mexico. "The message I've been sending out is, 'Leave,' " Fontenot said.
New Orleans, at the storm's projected eastern edge, remained calm today though area schools were to be closed Thursday, City Hall was ordered shut except for "essential" personnel, and Mayor Ray Nagin urged residents to stay close to home. "This is a very, very potent storm," Nagin said.
Wind gusts of 30 to 40 mph were buffeting the city tonight. New Orleans was battered by heavy rain last week and suffered some flooding but quickly recovered thanks to its battery of 22 heavy pumping stations.
States of emergency were declared in Louisiana and Texas. In Texas, officials urged 250,000 people in the Beaumont-Port Arthur area and 80,000 in Orange County to go inland, including 3,000 prisoners who were moved to jails away from the coast. Coastal ports in Louisiana that handle substantial percentages of the nation's oil imports were shut down.
NASA's Mission Control in Houston was shut down, postponing today's scheduled space shuttle launch at Cape Canaveral, about 900 miles away. It was the first time in 41 years of manned space flights that bad weather in Houston prevented a Florida launch.
In wild and marshy Cameron Parish, on Louisiana's sparsely populated southwestern coast, nearly the entire population of 10,000 people had been evacuated by this afternoon. "We're definitely going to get something out of this one," said sheriff's deputy Ed Racca. But he said residents had remained calm through the first evacuation in 10 years. "The older folks are used to this kind of stuff," Racca said.
Roads north of Cameron Parish were reported clogged with heavy traffic. In Creole, a few miles from the gulf, "Everyone's pretty much gone," Michelle Trahan said this afternoon. "It's very quiet, very deserted," she said. She was waiting for her husband, a Cameron Parish police juror (county commissioner) to finish boarding up houses, before leaving herself.
In New Iberia, residents and city workers worked feverishly throughout the afternoon at sand-bagging doors.
"We're going to make it," said Fontenot, the mayor. "It's just not going to be very pleasant."</t>
  </si>
  <si>
    <t>Trash</t>
  </si>
  <si>
    <t xml:space="preserve">DES MOINES, IOWA — Rising rivers wiped out an Iowa railroad bridge Tuesday, flooded Illinois farmland and forced residents along the Mississippi River to prepare for what could be the worst flooding in 15 years.
In Cedar Falls, Iowa, officials were readying residents and downtown business owners to evacuate as the Cedar River threatened to spill over a levee. The river was expected to top the levee early today, prompting a mandatory evacuation of downtown, Mayor Jon Crews said.
"I've been downtown for 37 years and I have never seen anything like this," said Steve Schomaker, a partner in a local insurance company.
Levee breaks Tuesday in southeastern Illinois flooded 50 to 75 square miles of farmland along the Embarras River, forcing the evacuations homes northeast of Lawrenceville, said Lawrence County Sheriff Russell Adams. He said water was up to the roofs of some rural homes.
In Elnora, Ind., about 100 miles southwest of Indianapolis, berms of white sandbags and concrete barriers held back the White River, leaving residents little choice but to wait and watch. Most residents left after voluntary evacuation orders came late Monday, two days after the area got up to 10 inches of rain.
"We have a very touch-and-go situation there, but everything that can be done has been done," Indiana Gov. Mitch Daniels said.
Along the Mississippi River, the National Weather Service on Tuesday predicted crests of 10 feet above flood stage and higher over the next two weeks. Most of the towns are protected by levees, but outlying areas could be flooded.
</t>
  </si>
  <si>
    <t>TONY COX, host:
From NPR News, this is News &amp; Notes. I'm Tony Cox.
Hurricane Gustav has landed. The category two hurricane hit this morning just southwest of New Orleans in Cocodrie, Louisiana. Close to two million residents were evacuated from the Gulf Coast over the weekend. The storm has prompted Republicans to change their convention plans as the country keeps a close eye on the powerful storm. In a few moments we'll get an update from the Republican National Convention in Minnesota from NPR's senior Washington editor Ron Elving. But right now, we have NPR's Greg Allen who is here to give us an on-the-ground report from Louisiana. Greg, Welcome.
GREG ALLEN: Hi, Tony.
COX: How bad were things when the storm actually hit?
ALLEN: Well, we all expected a very powerful storm yesterday. We thought it could be as much as a category four when it made landfall here. So, you know, New Orleans prepared for a storm that was at least as bad as Katrina. That's what we were looking at. When the storm came ashore, when Gustav made land, he made landfall about, well, many miles southwest of New Orleans and actually, as you say, came - made landfall as a much less intense hurricane, category two.
What that means for New Orleans being farther away and being less intense, the wind speeds we've seen here were not what we expected or what we prepared for. It's hard to say - we'll get a final read from the meteorologists and the assessors later about how - what the wind speeds were here, but suffice to say that the storm we saw come through New Orleans today was less than what we expected.
COX: In another way, Greg, the storm was very different from Katrina as far as the evacuation of residents. As we understand it, close to two million people were evacuated over the weekend. That must have made things quite different this time.
ALLEN: Exactly, Tony. The catch word around town is lessons learned. You hear that over and over again from public officials, but I've heard a lot from residents. People who were leaving town when I was talking to them at the bus and train station when they were preparing to board buses and trains out of town over the weekend. People were saying, I stayed during Katrina, I didn't like what happened here. It was not a pleasant place to be and so I'm taking advantage of the government's help here.
And you have to say that the city of New Orleans and the state of Louisiana did an exceptional job evacuating people out of this city. They moved tens of thousands of people out of here through buses and trains. As I say, picking them up in city neighborhoods, bringing them to a central location, getting them out of town and then getting them settled in shelters up in northern Louisiana and also in other states nearby. So it's an effort that cost a lot of money and took a lot of planning, but we have to say, went off very well.
COX: At the same time, though, Greg, a number of people stayed, actually. Some who stayed through Katrina. Did you talk to any of them, and can you give us a sense of why people felt they should stay again - certainly given their experiences with Katrina three years ago?
ALLEN: It's interesting, Tony. I just spent some time out driving around talking to people we found out sitting out on their porches. I was out there with reporter John Burnett (ph), and we talked to many people. I got to say that everybody we talked to had a gun. And that's New Orleans in a hurricane. People are there to protect their property. That's one reason some people stayed. Another reason is some people said - one lady said, I just wasn't prepared to go some place. I didn't want to go spend money I don't want to spend, to be some place I don't want to be. So she said we just decided we're going to stay. It was as simple as that.
Some of these people I spoke to, in fact, all of them were very well prepared. They had generators, they have hardened houses with a - some of them had boards up. But at the same time, they're doing -the one family we visited with, they were having a traditional New Orleans hurricane celebration. They were drinking a bottle of '89 champagne out on their porch preparing to make - use filet mignon for steak and eggs. So that's the uptown section of New Orleans. We haven't got to the other part of town where people are maybe not sitting out the storm in such high style. But there are people who believe that the best place to be when a storm hits is at your home.
COX: Now the Ninth Ward certainly was one of the hardest hit areas from Katrina. Have you heard anything at all about what took place down there?
ALLEN: The one concern we've been dealing with today is there's a little bit of flooding in the Ninth Ward. And flooding might be putting it strongly, but what we're seeing - what we've been seeing today is some water lapping over the top of the restored levee there. The Army Corps of Engineers, at this point, has been reassuring us that it's just water splashing over the top. However, that said, there's a substantial amount of water that has splashed over the top. They say that there's still plenty of clearance and that they don't expect widespread flooding there. But they have - one difference between now and Katrina is that they have crews on site to monitor it and to take steps immediately if there's any threat of flooding.
COX: Greg, thank you very much.
ALLEN: You're welcome, Tony.
COX: That was NPR's Greg Allen in New Orleans.</t>
  </si>
  <si>
    <t xml:space="preserve">The Latest At 11:06 P.M. ET Little Change In Strength
The National Hurricane Center says Hurricane Isaac will continue moving near or over the southeastern coast of Louisiana on Tuesday night, and move inland during the next day or so.
"Little change in strength is forecast tonight," it said at 10 p.m. CDT. "Slow weakening is expected after that."
As we reported earlier, widespread flooding was expected. Isaac was moving toward Baton Rouge, La.
Our original post and earlier updates continue:
Seven years ago tomorrow, Hurricane Katrina ravaged New Orleans.
Today, the area is facing its first big test in the form of Hurricane Isaac. While the storms are not comparable — Katrina was a monster category 3 storm, whil Isaac is forecast to make landfall as a weak hurricane — the cyclone has triggered evacuations and an emergency declaration in Louisiana.
The latest advisory from the National Hurricane Center still says that the central pressure of the storm has dropped and the winds around the center are picking up steam.
The latest forecast has the Isaac making landfall along the Mississippi or Southeast Louisiana coast as a hurricane with 80 mph winds.
We'll update this post throughout the day. So hit your refresh button to see the latest.
The Latest At 10 P.M. ET Isaac Headed For Baton Rouge
It appears Isaac is headed straight for Baton Rouge, La.
Ed Rappaport, deputy director of the National Hurricane Center, told The Associated Press the hurricane's core would pass west of New Orleans and head for Baton Rouge. He said the storm would then weaken.
The Latest At 9:20 P.M. ET:
In its latest update, the National Hurricane Center says Isaac is moving northwest at around 8 mph.
It adds:
"A NORTHWESTWARD MOTION AT A SLIGHTLY SLOWER SPEED IS EXPECTED OVER THE NEXT DAY OR TWO. ON THE FORECAST TRACK...THE CENTER OF HURRICANE ISAAC WILL CONTINUE MOVING NEAR OR OVER THE SOUTHEASTERN COAST OF LOUISIANA OVER THE NEXT FEW HOURS...AND MOVE FARTHER INLAND OVER SOUTHEASTERN LOUISIANA DURING THE NEXT DAY OR SO."
The Category 1 Hurricane has maximum sustained winds nears 80 mph. The center warns of flooding in Mississippi and southeastern Louisiana, Alabama, south-central Louisiana, the Florida panhandle, Apalachee Bay and the remainder of Florida west coast.
In Biloxi, Miss., Shirley Eleutrius, who lives just two blocks from the Mississippi Sound, which is flooding the highway, tells NPR's Debbie Elliott that for now, she's staying put.
"We've lived through all kinds of storms," she says. "Just ride it out. Be honest with you nothing you can do but leave, you got to higher ground and that's wehre you stay."
Updates on the storm's impact on New Orleans can be found on the website of our member station WWNO.
The Latest At 8:10 P.M. ET:
The National Hurricane Center says the storm's center reached land at 6:45 p.m. (local time) in Plaquemines Parish, about 90 miles southeast of New Orleans with winds near 80 mph. The storm's impact is expected to be felt in New Orleans and beyond.
Here's more from the center's website:
"ISAAC MAKES LANDFALL IN EXTREME SOUTHEASTERN LOUISIANA... ...STRONG WINDS AND A DANGEROUS STORM SURGE OCCURRING ALONG THE NORTHERN GULF COAST... ...U.S. Warnings in Effect..."
The Latest at 7:06 p.m. ET:
The center of Hurricane Issac should reach the southeastern Louisiana coast in the next few hours, the National Hurricane Center's latest update says.
Issac is moving northwest at 8 mph, the center said, adding that it would continue moving over the southeastern part of the state during the next day or so.
Here's more from the update:
"MAXIMUM SUSTAINED WINDS ARE NEAR 80 MPH...130 KM/H...WITH HIGHER GUSTS. ISAAC IS A CATEGORY ONE HURRICANE ON THE SAFFIR-SIMPSON HURRICANE WIND SCALE. SOME SLIGHT STRENGTHENING IS POSSIBLE BEFORE ISAAC MAKES LANDFALL. GRADUAL WEAKENING IS EXPECTED AFTER LANDFALL OCCURS."
NPR's Debbie Elliott is reporting on the storm for our Newscast Unit. Here's what Craig Fugate, head of the Federal Emergency Management Agency, told her:
"This isn't just going to be a coastal storm, and the category of the storm doesn't always tell you what the impacts are going to be," he said. "Heavy rain and tropical force winds over large areas can be very disruptive, power outages, a lot of flooding. And we can't really forecast where that's going to happen, so we just need people to be aware of it and be ready."
The Latest at 5:10 p.m. ET:
-- The center of Hurricane Isaac is moving toward its expected landfall tonight at a rate of 8 miles per hour, and it is likely to strike the southeastern Louisiana coast as a category 1 hurricane, according to the National Hurricane Center's latest update. The service says the storm is "getting better organized" as it nears the coast, with maximum winds measured at 80 mph.
Currently moving northwest toward land, Isaac is about 30 miles from the mouth of the Mississippi River. The storm is projecting hurricane-strength winds (75 mph and up) for a distance of 60 miles from its center, with the most powerful winds concentrated in the northeast and east, according to the hurricane center. Projections show the storm heading toward a spot just south of the mouth of the Mississippi.
-- In a televised speech from the White House's Diplomatic Room, President Obama urged residents to heed warnings from local officials.
"We're dealing with a big storm and there could be significant flooding and other damage across a large area," he said. "Now is not the time to tempt fate. Now is not the time to dismiss official warnings. You need to take this seriously."
-- Louisiana Gov. Bobby Jindal said that 41 parishes have declared states of emergency and 7 parishes have issued mandatory evacuation orders.
-- President Obama issued an emergency declaration for some areas of Mississippi.
The Latest at 3:45 p.m. ET:
-- Isaac is now a category 1 hurricane. The National Hurricane Center reported on its Twitter feed that reconnaissance data gathered by hurricane hunters found maximum winds of 75 mph.
In its latest advisory, the National Hurricane Center said dry air pumping into the cyclone has kept it from intensifying further, and they are expecting it to make landfall with 80 mph winds. At this point, the Southeast Louisiana coast seems to be where the storm will make landfall.
Update at 3:56 p.m. ET. The Scene In Gulfport:
NPR's Russell Lewis sent this report from Gulfport, Miss.:
"It's cloudy and windy. The rains are starting and stopping here. Gas stations are beginning to run out of certain grades of fuel.
"There are dozens of power trucks lined up in a Walmart parking lot getting ready to roll to deal with possible power outages.
"Hotels here are very tight. There are no vacancies and it will be difficult for people to find rooms if they choose to evacuate."
Update at 3:349 p.m. ET. Rain, Wind Begin Miss., La.:
The first rain bands from Isaac have started making their way through Miss. and La. A quick glance at a Weather Underground radar map tells us that rain is extending from New Orleans to Pascagoula.
Some weather stations are reporting winds a little bit stronger than 40 mph.
Online, videos of the Gulf starting to make its way onto coastal roads is popping up. Here's one from Waveland, Miss.
Update at 1:22 p.m. ET. Not 'A Katrina-Type Event':
Mitch Landrieu, the mayor of New Orleans, said the area dodged bullet today. The city, he said, could have been facing a category 3 hurricane.
Still, he said, Isaac is "plenty big enough to cause a lot of hurt."
"We are not expecting a Katrina type event," Landrieu said. "That is not to say that we will not see flooding."
Update at 12:44 p.m. ET. A Slow Moving Storm:
During a televised press conference, Louisiana Gov. Bobby Jindal said this is a slow moving storm and some areas of his state could face sustained tropical storm force winds for 24 to 36 hours.
Jindal said the problem with this storm, however, will likely be flooding: As it lumbers through the area it will dump incredible amounts of rain that "will result in localized flooding."
Already, Jindal said, 41 parishes have declared states of emergency and 7 parishes have issued mandatory evacuation orders.
But the state government is prepared. They have aircrafts and boats standing by to lead rescue efforts if needed, Jindal said.
Update at 12:29 p.m. ET. Now A Hurricane:
The National Hurricane Center tweets:
"Hurricane #Isaac update issued. Reconnaissance data indicate #Isaac finally achieves hurricane status."
Update at 11:00 a.m. ET. Still A Tropical Storm:
In its 11 a.m. advisory, the Hurricane Center has some good news: Top winds for Isaac remain at 70 mph.
The center has also lowered its intensity forecast, now saying it will make landfall with top winds of 80 mph, making Isaac a minimal category 1 hurricane.
The center reports:
"Isaac is a large tropical cyclone. A dangerous storm surge, heavy rainfall and strong winds extend well away from the center and are expected to affect a large portion of the northern gulf coast.
"For this reason, it is important not to focus on the exact center location. The threat of heavy rainfall and flooding is also expected to spread inland over the lower mississippi valley region during the next few days."
Update at 10:12 a.m. ET. Now Not The Time 'To Tempt Fate':
In a short statement from the White House, President Obama said that federal officials have been on the ground in places impacted and about to be affected by Tropical Storm Isaac for more than week.
Obama said the federal government is ready to respond and that he has signed an emergency declaration for Louisiana so it could quickly get the help it needs.
Obama added that people in the path of the storm should heed warnings from their local officials.
"Now is not the time to tempt fate," Obama said. "You need to take this seriously."
Update at 7:46 a.m. ET. Storm Surge Threat:
As The New York Times reports, the danger of this storm may not be the winds but the storm surge, or the wall of water the storm is pushing toward land as it rumbles across the Gulf of Mexico.
The Times adds:
"Officials encouraged those in low-lying areas to leave, warning of 12-foot storm surges along a broad swath of the coast and days of nonstop rainfall, in some places possibly adding up to 20 inches of water.
"'A slow-moving, large system poses a lot of problems,' Rick Knapp, the director of the National Hurricane Center, said in a conference call with reporters, describing the risks as 'life-threatening, potentially.'"
Update at 7:45 a.m. ET. New Orleans Is Prepared:
The storm is of course causing great concern because it was seven years ago tomorrow that Hurricane Katrina tore through New Orleans.
As we reported, this is not the monster storm Katrina was and the levees and flood walls were rebuilt after Katrina.
The New Orleans Times Picayune reports today that local officials are expressing nothing but confidence in the $15 billion system built to withstand a category 3 hurricane.
</t>
  </si>
  <si>
    <t>The dirty 1930s left a permanent mark on the Great Plains. To help prevent another Dust Bowl, federal foresters planted more than a hundred million trees and built a giant windbreak that stretched from Texas to Canada.
This massive planting effort was born in western Oklahoma, but many of the trees that helped save the state from its own harsh environment are dying off.</t>
  </si>
  <si>
    <t xml:space="preserve">Firefighters across the West saw little relief over the weekend as wildfires raged in the drought-stricken region, but for those in Washington, other states will soon provide additional resources.
A look at large Western wildfires:
___
WASHINGTON
Fire officials say a complex of wildfires burning in north-central Washington has grown to cover 374 square miles. Infrared mapping found the fires spread about 19 square miles Saturday evening.
Fire spokeswoman Suzanne Flory says there could be some explosive fire growth Sunday if a cap of smoke lifts from Okanogan County, as has been forecast. When the smoke lifts on a wildfire, humidity drops, heat rises and fires can flare up. Flory says it’s similar to what happens when the flue is opened on a fireplace.
Flory says the good news is that less smokes means restrictions on air travel will be lifted and more fire tankers can fly over and drop water and chemical retardant.
Meanwhile, officials have downgraded some evacuation notices, allowing some people to return to their homes.
On Sunday evening, the state Department of Health said that should nearby wildfires reach the site of a now-defunct uranium mine in Stevens County in eastern Washington, the smoke won’t be any more toxic than the standard smoke from a wildfire.
In an announcement, the department said that radioactive materials at the Midnight Mine, which is about three miles northwest of Wellpinit on the Spokane Reservation, “won’t exacerbate the dangers of wildfire smoke if the fires overtake the site as the naturally occurring radioactive material stays in its original rock form and does not burn.”
___
CALIFORNIA
Planes and helicopters were making major liquid drops on a wildfire that broke out Sunday afternoon near a ski resort in the San Bernardino Mountains, bringing the first gains against the blaze.
The U.S. Forest Service says the fire near Snow Summit Ski Resort south of Big Bear Lake has forced evacuation orders for about 400 homes, many of them cabins and vacation houses.
It has grown to 85 acres, but it is 10 percent contained.
Water cannons from the ski resort usually used for making snow are being pointed toward the fire.
Earlier Sunday, firefighters were gaining ground against a wildfire that led to the evacuation of thousands of people and destroyed a lodge in Kings Canyon National Park.
Despite relentlessly high temperatures, fire crews increased the blaze’s containment to 7 percent, the U.S. Forest Service said. The wildfire has burned across more than 73 square miles of timber and brush left parched by the state’s extended drought.
At least 2,500 campers, hikers, employees and residents fled the area last week, including staffers and summer campers at The Hume Lake Christian Camp.
Nobody was hurt when the Kings Canyon lodge, which bills itself as a folksy getaway for tourists, was burned to its foundation.
The lightning-sparked blaze has been burning for three weeks. It is one of 15 wildfires burning across California.
___
MONTANA
Firefighters and residents are bracing for a return to more intense fire activity in western Montana where wildfires have scored thousands of acres and threatened some small communities.
A fire weather watch posted Sunday warned that gusty winds and low humidity were expected Monday afternoon in Glacier National Park and the Kootenai and Flathead national forest areas.
On Glacier’s southern boundary, a wildfire is about a mile south of the town of Essex where about 100 area residents have been advised to be ready to evacuate.
Fire spokesman Jonathan Moor says crews are working to keep the fire away from the town but it’s difficult to predict what the fire will do over the next couple of days.
___
OREGON
Cooler temperatures and reduced winds helped firefighters on Saturday who were battling a large wildfire in Oregon south of the towns of John Day and Canyon City.
Fire officials expect wind to pick up on Sunday, but since winds were expected to blow out of the southeast, they will send the fire back into an area that has already burned.
The lightning-caused Canyon-Creek Complex of fires has burned about 109 square miles since Aug. 12.
To the northeast, firefighters also made progress Saturday on the Grizzly Bear Complex of fires in northeast Oregon and southeast Washington. The five-lightning caused fires have burned more than 95 square miles since Aug. 13.
</t>
  </si>
  <si>
    <t>Wildfires are chewing through parched parts of the West, where temperatures are rising Thursday. Here’s a look at the latest hotspots and what crews are doing to control them.
___
ALASKA
Two wildfires are burning outside Anchorage, one that tripled in size and forced the evacuation of campsites on the Kenai Peninsula and another in the heart of Alaska’s dog-mushing community that firefighters have kept from growing.
A blaze in the Kenai National Wildlife Refuge ballooned to about 14 square miles as temperatures warmed in low humidity. Eight structures — anything from a home to a chicken coop — have been destroyed since Monday.
More than 250 firefighters battled the blaze between a highway and the Kenai River, Alaska’s most popular sport-fishing venue. Up to 500 more personnel are expected from the Lower 48 states.
More than 420 firefighters have kept another wildfire at about 12 square miles, this one in Willow, where the Iditarod Trail Sled Dog Race normally begins. Some residents were expected to return Thursday to the community about 40 miles north of Anchorage.
A preliminary assessment showed 132 properties were in the burned area and 26 homes were destroyed, the Matanuska-Susitna Borough’s Facebook page said Thursday.
___
ARIZONA
A smoky brush fire near a rural Arizona community was contained mainly to a dry riverbed, allowing most of the hundreds of evacuated residents to return home.
The flames have burned at least three residences near Kearny, about 85 miles southeast of Phoenix, and torn through nearly 2 square miles of salt cedar trees since Wednesday.
A handful of people who live close to a riverbed must stay away because of their homes’ proximity to the fire, Arizona State Forestry spokesman Mike Reichling said. Some firefighters who faced triple-digit temperatures suffered heat-related problems, but there were no serious injuries, he said.
About 200 firefighters have kept it burning away from the town of 2,000 residents, officials said.
___
CALIFORNIA
A Southern California desert wildfire burned three homes Thursday and another blaze in the San Bernardino Mountains grew to over 15 square miles as smaller blazes erupted in drought-parched areas up and down the state.
Small but fierce fires burned in grass, trees and brush.
A 60-acre fire erupted in a palm grove in the desert town of Thermal, 135 miles southeast of Los Angeles. By late afternoon, it had burned three homes and several outbuildings, state fire officials reported.
About an hour’s drive northwest, a wildfire burning since Wednesday exploded in size in a remote area of the San Bernardino National Forest.
About 400 people, including residents of about two dozen homes and several hundred campers, many of them children, had been evacuated as the fire burned south of Big Bear Lake.
Other fires being fought included a 100-acre blaze in Yuba County in the Sierra Nevada foothills north of Sacramento. More than a dozen homes were ordered evacuated after a training fire for state crews reportedly was swept out of control by gusty winds north of Smartsville.
Crews also fought a 35-acre wildfire in Mariposa County; a 50-acre blaze in San Joaquin County; and a 40-acre fire near the Central California rural town of Bootjack that briefly forced evacuations.
___
WASHINGTON
A wildfire burning south of Spokane was under control but sent up a massive smoke column in eastern Washington.
Brian Schaeffer with the Spokane Fire Department says that air and ground crews got the less than 150-acre blaze halfway contained, Spokane news station KHQ-TV reported Thursday (http://bit.ly/1JXNFFm ).</t>
  </si>
  <si>
    <t xml:space="preserve">A big storm will bring blizzard conditions to the northern Plains and Upper Midwest Wednesday while severe storms and tornadoes hit the sodden South.
Northern Plains, Upper Midwest: Heavy, wet snow is forecast to paste several states on Wednesday, all the way from Colorado to Michigan. Some of the heaviest snow is expected in Minnesota, Wisconsin and Michigan.
South: Severe storms are forecast to lash portions of the southern Plains and Mississippi Valley on Wednesday. Northeastern Texas, eastern Oklahoma and much of Arkansas could see high winds, large hail and a few tornadoes.
East: New England and parts of the Northeast will see chilly temperatures and some rain and show on Wednesday. The rest of the East Coast, from the Mid-Atlantic to Florida, will see clear skies and mild to warm temperatures.
West: Light rain and snow is likely in the Northwest and northern Rockies. The rest of the West will be sunny and dry.
Weather history for March 23: In 1913 (Easter Sunday), a ferocious tornado hit Omaha, Neb., killing 94 people. In 1995, Atlanta soared to 89 degrees, the city's warmest temperature ever recorded in March.
</t>
  </si>
  <si>
    <t xml:space="preserve">The rain fell for days, sometimes 3 inches or more in a single hour, as streets became rivers and rivers ate up entire neighborhoods in southeast Louisiana.
Between Aug. 11 and Aug. 14, more than 20 inches of rain fell in and around East Baton Rouge, one of the hardest-hit parishes. And in some parishes in the region, as much as 2 feet of rain fell in 48 hours.
The National Weather Service says the likelihood that so much rain would fall in so little time was about one-tenth of 1 percent. A flood this bad should only happen once every thousand years.
As The Two-Way has reported, at least 13 people have died in the floods and some 60,000 homes were damaged. The Red Cross says it is likely the worst natural disaster since Superstorm Sandy in 2012 and that the response will cost at least $30 million.
As the water recedes, many local leaders, weather forecasters and Louisiana residents are wondering whether people could have been better warned.
Tracking the storm
How a storm develops dictates who is responsible for warning people about it.
This storm began as an area of low pressure over the Gulf of Mexico, where hurricanes are born, so from the beginning, the National Hurricane Center in Miami was monitoring it.
"Our job at the National Hurricane Center is to forecast the strength and size of tropical cyclones," explains James Franklin, the chief of forecast operations at the National Hurricane Center, who has worked on hurricane forecasting since the 1980s. He used to fly into storms as part of the agency's airborne reconnaissance team. These days, he tries to steer clear of tropical storms and help others do the same.
But this Gulf storm never became a hurricane. The wind speeds were very low. The middle of the system wasn't warmer than the edges, and air wasn't circulating around the center of the system the way it would in a cyclone.
So the National Hurricane Center did not issue an advisory.
This video shows NASA rainfall data from Aug. 8 to Aug. 15. More than 20 inches of rain fell in the areas depicted in pink on the map.
"If a disturbance or weather event is not a depression zone or a hurricane, we don't write advisories on it," Franklin says. "It's not our authority to write advisories on things that are not hazardous cyclones."
And he points out, "The best place to get local information is always the local office, even when the National Hurricane Center has written an advisory. The local office has the best information about local flood risk."
In this case, the local New Orleans/Baton Rouge National Weather Service Weather Forecast Office says it recognized the potential for flooding as early as Aug. 8. On that day — nearly three days before the storm arrived — it began issuing advisories and warnings about heavy rain. One rainfall map warned of "isolated flash flooding" later in the week.
Between Tuesday and Friday, when the first flash-flood emergencies were issued, the local weather service office for Baton Rouge says it issued at least a dozen advisories and warnings about flooding in southeastern Louisiana.
Kenneth Graham, the meteorologist in charge at the local office of the National Weather Service, says the situation was particularly difficult for forecasters trying to provide block-by-block clarity to residents. "We broke all records," he writes in an email to NPR. "For the River Flood Warnings, there is no way to reference any previous flood event since there is no history to draw from."
In the town of Denham Springs, the Amite River crested 4.5 feet above the previous record, and Graham explains that because the terrain is so featureless around Baton Rouge, "the water spreads out very far from the river," affecting an enormous area and tens of thousands of people.
By Aug. 11, Graham's office had decided to do something it rarely does — elevate the flash-flood warnings for areas around Baton Rouge to flash-flood emergencies, which can be issued only when there is significant and immediate threat to life and property.
Still, some residents say they were not adequately warned of the severity of the storm.
Baton Rouge resident Linda Smith tells Ryan Kailath of member station WWNO that she would have heeded more-urgent notifications. She and her family barely escaped their home before it flooded.
"We got no calls, no texts, no nothing," Smith says. "So that's why I didn't panic because I didn't hear a siren. I didn't hear anything."
“It's important not to focus on the name or classification [of a storm], and instead focus on the hazards. Not everything that can be deadly or catastrophic is a tropical cyclone.” – James Franklin, chief of forecast operations at the National Hurricane Center
More than a dozen people died and no one was evacuated from the area before the most serious rainfall began.
The storm with no name
Tropical storms and hurricanes are assigned names by the National Hurricane Center, which draws attention to the storms. "There certainly is more visibility that comes from cyclone," says Franklin of the National Hurricane Center. One reason for that, he says, is that the name and category designations — such as Hurricane Katrina, Category 5 — are more likely to be picked up by the media.
Louisiana Gov. John Bel Edwards told the New Orleans Times-Picayune, "When you have a storm that is unnamed — it wasn't a hurricane, it wasn't a tropical event — people underestimate the impact that it would have."
"It's important not to focus on the name or classification [of a storm], and instead focus on the hazards," Franklin says. "Not everything that can be deadly or catastrophic is a tropical cyclone."
Franklin acknowledges that the National Weather Service shares responsibility for communicating storm hazards to the media. "There are often a lot of mixed signals out there, because the media is really focused on what [the National Hurricane Center] is saying about a storm, instead of the local office," he says.
The metrics that forecasters use to describe storms can also be confusing if people don't understand the on-the-ground effects of a storm in their neighborhood. Franklin says his agency is rolling out a new storm-surge-warning system next year to highlight that hazard more clearly.
But when it comes to communicating about flooding, he thinks the information forecasters provide is already pretty clear.
"We have some pretty good metrics for rainfall," he says. "It's called inches."
Many local newspapers, television stations and radio broadcasters in the Baton Rouge area began warning residents of potentially serious flooding on Aug. 11, the day the local NWS issued emergency warnings.
As for national media outlets, many were late to the scene and slow in their coverage.
Craig Fugate, the administrator for the Federal Emergency Management Agency, told the Times-Picayune newspaper last Tuesday, "You have the Olympics. You got the election. If you look at the national news, you're probably on the third or fourth page. ... We think it is a national headline disaster."
Reflecting on NPR's own coverage of the flooding, Vice President of News Michael Oreskes said it was both swift and thorough.
Oreskes says:
"As the water rose NPR turned to our member stations in Baton Rouge and New Orleans for immediate news coverage by Friday, Aug. 12. By that Sunday, NPR's Southern correspondent, Debbie Elliot, had arrived from her home in Alabama, navigating around floodwaters on remote parish roads to get into Amite and Baton Rouge."
The New York Times published its first story by a staff reporter on the evening of Aug. 14. Last week, the public editor of The Times published an apology for the newspaper's lack of timely coverage. She wrote:
"No doubt this is a busy news period, and the fact that it is August compounds the usual challenges of getting available staff to the site of the news. But a news organization like The Times — rich with resources and eager to proclaim its national prominence — surely can find a way to cover a storm that has ravaged such a wide stretch of the country's Gulf Coast."
</t>
  </si>
  <si>
    <t>After one of the warmest winters in recent memory, plants sprang to life well before they should have blossomed. Even on Feb. 1, as Phil the groundhog was declaring six more weeks of winter, spring had already arrived -- as much as 20 days earlier than normal in the Southeast.
Then last week, the jet stream took a dive and allowed freezing temperatures to reach the Deep South. It was a massacre for fruit crops.
Of the fruits (and farmers) that were affected, peaches and blueberries were the hardest hit, the Associated Press reported Monday night. Agriculture officials estimate the loss could be a whopping $1 billion, and South Carolina and Georgia are bearing the brunt of that burden.
Georgia may be the "peach state," but South Carolina is the second-largest peach grower behind California. The state's agriculture department estimates an 85 percent loss in peaches this year. Blueberries in Georgia were cut 80 percent by the freeze.
"We saw blueberry fields that had the potential to be the biggest and best crop of Georgia's production history that you would now not be able to find enough blueberries that survived the cold to make one pie," Georgia Agriculture Commissioner Gary Black told the AP.
Strawberries and apples were damaged, too, though not to the extent of the blueberries and peaches, which appear to be a disaster from reports.
David Streit, a forecaster for Commodity Weather Group and the Capital Weather Gang, said the damage will "for sure" mean higher prices for peaches this summer.
The destruction occurred Thursday night, when temperatures bottomed out in the 20s, breaking records:
* Savannah, Ga., tied its record low of 26 degrees
* Jacksonville set a record low, plunging to 28
* Florence, S.C., dropped to 20 degrees, shattering its previous record of 25
* Charleston dipped to a record low 24 degrees, four degrees below its previous record
* Gainesville, Fla. fell to 25, obliterating the previous record of 32</t>
  </si>
  <si>
    <t xml:space="preserve">Snow sticks to a pedestrian crossing sign at the Burlington Riverfront Promenade during a snowstorm in Burlington City on Wednesday, March 7, 2018. [CARL KOSOLA / STAFF PHOTOJOURNALIST]
Pat Measey of Burlington City cleans snow off her car on High Street in Burlington City on Wednesday, March 7, 2018. [CARL KOSOLA / STAFF PHOTOJOURNALIST]
John Moore clears snow from his car before driving to Perkins for breakfast from The Glen at Bucks apartments during the second nor'easter Wednesday, March 7, 2018 in Warminster. [BILL FRASER / STAFF PHOTOJOURNALIST]
A car travels Wednesday morning on Pulaski Highway in Pine Island, NY. ELAINE A. RUXTON/TIMES HERALD-RECORD
Along Route 541 heading into Westampton, on Wednesday, March 7, 2018, winter driving conditions alert signs were posted for motorists. [NANCY ROKOS / STAFF PHOTOJOURNALIST]
Josh Heron clears the sidewalk in front of his neighbor's place with a snowblower in Perkasie during the second snow storm to hit the area in the past week. on Wednesday, March 7, 2018. [ART GENTILE / STAFF PHOTOJOURNALIST]
A couple and their dog take a walk through Fonthill on Wednesday, March 7, 2018, during the snowstorm. [KIM WEIMER / STAFF PHOTOJOURNALIST]
Lance Goins, employed with moorestown township Public Works Department, shovels the sidewalk around Town hall, on Wednesday, March 7, 2018, as heavier snow starts to fall. [NANCY ROKOS / STAFF PHOTOJOURNALIST]
From left, Ashley Allen, Georgia Kelso, Jordyn Fuges and Molly Kelso build a snowman during the nor'easter Wednesday, March 7, 2018, in New Britain Borough. [KIM WEIMER / STAFF PHOTOJOURNALIST]
Lisa Ferketich shovels the sidewalk in front of her place of business on Reliance Rd in Souderton during the second snow storm to hit the area in the past week. [ART GENTILE / STAFF PHOTOJOURNALIST]
A customer hurries to her car after grocery shopping at Wegmans in Mount Laurel, on Wednesday, March 7, 2018, as the wintry mix was changing into snow. [NANCY ROKOS / STAFF PHOTOJOURNALIST]
A postal worker delivers mail in the nearly deserted streets of Doylestown Borough on Wednesday, March 7, 2018, as businesses were shut down because of the storm. [KIM WEIMER / STAFF PHOTOJOURNALIST]
Motorists drive down route 130 in Edgewater Park as snow begins to make road conditions slick on Wednesday, March 7, 2018. [CARL KOSOLA / STAFF PHOTOJOURNALIST]
Bill Grill clears a sidewalk on Oakland Ave.in Doylestown Borough on Wednesday, March 7, 2018. [KIM WEIMER / STAFF PHOTOJOURNALIST]
Paul Hudrick, of Mount Laurel, clears the snow off of his car after grocery shopping at Wegmans in Mount Laurel, on Wednesday, march 7, 2018. [NANCY ROKOS / STAFF PHOTOJOURNALIST]
Emmaleen Maltese, 4, tries catching snowflakes in her mouth outside her Perkasie home during the second snow storm to hit the area in the past week. [ART GENTILE / STAFF PHOTOJOURNALIST]
Pat Measey of Burlington City cleans snow off her car on High Street in Burlington City on Wednesday, March 7, 2018. [CARL KOSOLA / STAFF PHOTOJOURNALIST]
A truck salts route 206 in Columbus to prepare for the snow storm on Wednesday, March 7, 2018. [CARL KOSOLA / STAFF PHOTOJOURNALIST]
A couple takes a walk through the snowy streets of Doylestown Borough on Wednesday, March 7, 2018. [KIM WEIMER / STAFF PHOTOJOURNALIST]
A tree trimming crew and a Northampton Township Public Works truck travel along Second Street Pike during the second nor'easter Wednesday, March 7, 2018 in Richboro. [BILL FRASER / STAFF PHOTOJOURNALIST]
Kyle Oswald clears the snow from his vehicle in Telford during the second snow storm to hit the area in the past week. [ART GENTILE / STAFF PHOTOJOURNALIST]
A pedestrian makes their way along Bustleton Pike during a second nor'easter Wednesday, March 7, 2018 in Lower Southampton. [BILL FRASER / STAFF PHOTOJOURNALIST]
A vehicle navigates Keeley Ave. in New Britain Borough during the blinding nor'easter Wednesday, March 7, 2018. [KIM WEIMER / STAFF PHOTOJOURNALIST]
A van drives slowly through snow in the parking lot of the WaWa in Edgewater Park during a snowstorm on Wednesday, March 7, 2018. [CARL KOSOLA / STAFF PHOTOJOURNALIST]
Erin Kyler, of Moorestown, heads into Lavita???s Pizzeria in moorestown, to pick up dinner for her family as the heavy snow comes down, Wednesday, March 7, 2018. [NANCY ROKOS / STAFF PHOTOJOURNALIST]
Cars drive into the opposing lane of traffic on County Line Road to avoid a section of bamboo weighed down by wet snow during the storm Wednesday, March 7, 2018 in Upper Southampton. [BILL FRASER / STAFF PHOTOJOURNALIST]
A car drives through slushy conditions on High Street in Burlington City during a snowstorm on Wednesday, March 7, 2018. [CARL KOSOLA / STAFF PHOTOJOURNALIST]
A car travels Wednesday morning on Pulaski Highway in Pine Island, NY. ELAINE A. RUXTON/TIMES HERALD-RECORD
</t>
  </si>
  <si>
    <t>There have been 11 deaths in North Carolina and six in South Carolina linked to Hurricane Florence. Wilmington Police reported on Twitter that a tree fell on a house on Mercer Avenue, killing a mother and baby around 9:30 a.m. Friday. The father was pulled from the home and transported to a local hospital with injuries, police said. Gov. Roy Cooper confirmed one of the deaths occurred in Lenoir County, when someone was plugging in a generator, according to a press release. TV station WNCN said the 78-year-old victim and was “trying to connect two extension cords outside in the rain.” The station reported the fourth death involved a 77-year-old Kinston man who family members said died at 8 a.m. Friday when he was “blown down by the wind” while tending dogs.
“Our hearts go out to the families of those who died in this storm,” Cooper said in a statement. “Hurricane Florence is going to continue its violent grind across our state for days. Be extremely careful and stay alert.”
Three people died in Duplin County “due to flash flooding and swift water on roadways,” the Duplin County Sherrif’s Office announced Saturday. An 81-year-old man in Wayne County who fell and struck his head while packing to evacuate Friday is being counted as a storm-related death by the Office of the Chief Medical Examiner in Raleigh, The Associated Press reported. A husband and wife who died in a house fire in Cumberland County on Friday are also being counted as linked to the storm, according to the Associated Press and The Fayetteville Observer. A 3-month-old baby was killed Sunday after a tree fell on a mobile home in Dallas, N.C., according to Gaston County Commissioner Tracy Philbeck. The boy was home with family when the tree fell, reported The Charlotte Observer. No one else was hurt.
In South Carolina, a 61-year-old woman died when the vehicle she was driving hit a fallen tree on Highway 18 near Union, The Associated Press reported. The tree was about 6 feet above the road surface and the vehicle’s roof struck the tree, Capt. Kelley Hughes of the South Carolina Highway Patrol told The Associated Press. The Horry County Coroner’s Office confirmed that Debra Collins Rion, 61, and Mark Carter King, 63, died Friday night from carbon monoxide poisoning from a generator, the Myrtle Beach Sun News reported.
Georgetown County Coroner Kenny Johnson on Sunday said 23-year-old Michael Dalton Prince drowned in floodwaters inside an overturned truck, according to The (Myrtle Beach) Sun News.
The South Carolina Department of Public Safety reported a fatal collision in Kershaw County Sunday at 7 a.m. A pick-up truck was north of Columbia on I-20’s westbound lanes, near the 106 mile marker, when it ran off the road and hit an overpass support beam.
The driver, identified as 42-year-old Jeffery B. Youngren of Elgin, died on scene, according to the Kershaw County Coroner. Although Coroner David A. West reported Youngren was not wearing a seat belt, he said “the weather played a big part in his death.”
Just before 5 p.m., the SCDPS reported another fatality on the road. This occurred at 6 a.m. in Lexington County, when a pick-up truck drove into standing water on Pond Branch Road, near the Columbia-area suburb of Gilbert, they said.
30-year-old Rhonda Rebecca Hartley of Leesville was pronounced dead at the scene, according to Lexington County Coroner Margaret Fisher, who said Hartley was not wearing a seat belt when she struck a tree.
A person died inside the West Brunswick High School shelter Thursday morning, but that death was “not related to the storm,” according to Amanda Hutcheson, a Brunswick County spokeswoman.
“We are saddened by the sudden passing of one of our community, and our hearts go out to the family and friends who are now grieving during such an already stressful period,” Hutcheson said in a statement. “An investigation into the cause of death is underway, but it appears there is no reason for others at the shelter to worry. Staff and responders at the shelters are committed to providing a safe location to citizens during the storm.”
Carteret County reported two deaths on Saturday, but in a later news release said sheriff’s deputies and Army National Guard soldiers responding to a home found Pauly Lewis and his wife, Alicia Lewis dead “in an apparent murder/suicide.”
Also in North Carolina, the death of a Pender County woman who officials said had a heart attack was not considered to be caused by the storm, The AP reported. The woman’s death was originally counted as storm-related because fallen trees had reportedly blocked rescuers from reaching her home.
The deaths came as the storm was turning through the southeast part of the state, dumping more than 20 inches of rain in some communities. Gusts of winds in the 50 to 100 mph hour range were also reported since Hurricane Florence came ashore at 7:15 a.m. Friday, and the National Hurricane Center predicted trees would be knocked down.
The National Hurricane Center says the high winds — combined with rain-soaked soil — will cause many trees to fall in coming days, crashing into homes, streets and onto power lines.</t>
  </si>
  <si>
    <t xml:space="preserve">Several areas in the Midwest experienced record flooding this past week, with high water on Saturday causing more levee breaches on the Missouri River, prompting widespread evacuations and isolating neighborhoods and towns.
Record-high river levels were reported in at least 38 locations in the Midwest, particularly in Nebraska and Iowa, said Jonathan Erdman, a senior meteorologist with weather.com. Heavy flooding was also reported in Wisconsin, Minnesota and South Dakota, and the National Weather Service said it would continue past the weekend.
At least one man was confirmed dead in Columbus, Neb. The Omaha World-Herald reported that the man had been trying to help someone stranded by floodwaters on Thursday when a bridge collapsed as he was crossing it. Officials in Fremont County, Iowa, confirmed another flood-related death on Saturday.
The devastation was captured in dramatic photographs circulated on social media by those who surveyed the damage. Senator Ben Sasse and Gov. Pete Ricketts of Nebraska showed how floodwaters from the Niobrara River in the northern part of the state had ripped through a dam on Thursday, releasing a torrent of water and depositing huge chunks of ice onto fields and roadways.
They shared photos of water rushing over riverbanks and encircling homes and neighborhoods.
Floodwaters had surrounded the town of Fremont, Neb., about 40 miles northwest of Omaha, said Councilwoman Linda McClain. The town sits between the Platte River to the south and the Elkhorn River to the north. Both rivers had overflowed their banks, Ms. McClain said.
“We’re like an island,” she said. “You cannot get in or out.”
Ms. McClain said she spent Saturday visiting shelters where people who had been displaced were congregating. About 75 people had been reluctant to leave their homes, but as the buildings took on water, they were rescued by airboats and taken to the shelters, she said. Many homes were flooded by as much as three or four feet of water.
Parts of the city had been under a mandatory evacuation.
“Right now, we’re in crisis mode,” she said.
Tech. Sgt. Rachelle Blake, of the United States Air Force, said several buildings on the Offutt Air Force Base, which is south of Omaha, had been evacuated as water from Papillion Creek, a tributary of the Missouri River, flooded the southeast part of the base. She said the northwest part of the base was largely unaffected.
She said that it was too soon to quantify the damage, but that buildings and hangars were underwater. Aircraft had previously been moved to higher ground.
Base personnel and their families were working around the clock to place sandbags and barriers to stop the encroaching floods.
“We think it’s going to be another 24 hours before it stops rising,” Sergeant Blake said.
It is not unusual for the Midwest to experience spring flooding as ice thaws. But the past week’s widespread devastation was months in the making, as a cold winter left the ground frozen and not absorbent, Mr. Erdman said.
Then temperatures rose, melting the snowpack. It also started raining. On Friday, Mr. Ricketts said at a news conference that the flooding was the worst the state had experienced in a half-century.
The authorities were still working to handle the situation on Saturday. In addition to the confirmed fatalities, a man whose home near Spencer, Neb., was destroyed when the dam breached was reported missing, according to the authorities. A man in Norfolk, Neb., is also missing.
The floodwaters also created new problems. Levees along the Missouri River were breached in two areas near Peru, Neb., prompting authorities to issue warnings of a flash flood, according to the National Weather Service.
The Missouri River could rise as water from its tributaries continues to drain, Mr. Erdman said.
Nebraska state officials did not say how many homes were damaged or how many people needed rescue. Evacuations were taking place throughout the state, according to the governor’s office.
</t>
  </si>
  <si>
    <t xml:space="preserve">Catastrophic flooding from Helene in Black Mountain, NC seen in drone footage
Drone footage shows Asheville's River Arts district underwater after Helene's historic rainfall.
Tennessee flooding post-Helene
Virginia State Police aviation units out of Abingdon, Va., assist with rescues at the Unicoi County Hospital in Erwin, Tennessee. More than 50 patients and staff have been trapped on the roof of the hospital due to flooding caused by severe weather from Hurricane Helene.
Two people canoe amid record flooding in the River Arts District in Asheville.
The French Broad River reached over 16 feet by 11 am on Sept. 27, flooding most of the River Arts District, seen here from the Haywood Road bridge.
People toss buckets of water out of a home as the streets and homes are flooded near Peachtree Creek after hurricane Helene brought in heavy rains overnight on Sept. 27, 2024 in Atlanta.
A flood damaged Blue Ridge Paddling near Interstate 26 in Erwin, Tenn., on Friday Sept. 27, 2024.
Trash floats through the flooded waters in Biltmore Village on Sept. 27, 2024.
Onlookers watch as flood waters from the Nolichucky River rage near Jackson Love Highway and Interstate 26 in Erwin, Tenn., on Friday Sept. 27, 2024. Unicoi County Hospital, seen in the distance, flooded and had to be evacuated on Friday.
ATLANTA, GEORGIA - SEPTEMBER 27: People toss buckets of water out of a home as the streets and homes are flooded near Peachtree Creek after hurricane Helene brought in heavy rains over night on September 27, 2024 in Atlanta, Georgia. Hurricane Helene made landfall late Thursday night as a category 4 hurricane in the pan handle of Florida and is working its way north, it is now considered a tropical storm.
ATLANTA, GEORGIA - SEPTEMBER 27: An apartment at Peachtree Park Apartments can be seen flooded after hurricane Helene brought in heavy rains overnight on September 27, 2024 in Atlanta, Georgia. Hurricane Helene made landfall late Thursday night as a category 4 hurricane in the panhandle of Florida and is working its way north, it is now considered a tropical storm.
Flood waters from the French Broad River cover the River Arts District in Asheville, North Carolina on Saturday, September 28, 2024.
Flood waters from the French Broad River cover the River Arts District in Asheville, North Carolina on Saturday, September 28, 2024.
Flood waters from the French Broad River cover the River Arts District in Asheville, North Carolina on Saturday, September 28, 2024.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 waters leading to St. Armands Circle Friday afternoon after Hurricane Helene's storm surge. Aerial photographs of the Sarasota/Manatee barrier islands, including Longboat Key, Lido Key, and Siesta Key.
This still from a video shows heavy flooding remaining in St. Armands Circle the day after Hurricane Helene.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Flooding in Everglades City in the aftermath of Hurricane Helene.
Home flooded by storm surge from Hurricane Helene in Steinhatchee, Florida
A view of a flooded house, following Hurricane Helene in Steinhatchee, Florida, U.S., Sept. 27, 2024.
A drone view shows a flooded and damaged area, following Hurricane Helene in Steinhatchee, Florida, U.S., September 27, 2024.
A drone view shows a flooded and damaged area, following Hurricane Helene in Steinhatchee, Florida, U.S., September 27, 2024.
Estero Boulevard on Fort Myers Beach sees flooding for a second time as the outer bands of Hurricane Helene pass by on Fort Myers Beach, Fla. on Thursday, Sept. 26, 2024.
Drone footage from the Sarasota Police Department shows flooding on St. Armands after Hurricane Helene.
Flooding fills the parking lot at The Fish House Restaurant in Bonita Springs as Hurricane Helene passes off the coast on Thursday, Sept. 26, 2024. T
Estero Boulevard on Fort Myers Beach sees flooding for a second time as the outer bands of Hurricane Helene pass by on Fort Myers Beach, Fla. on Thursday, Sept. 26, 2024.
Estero Boulevard on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Strong winds and some partial flooding were visible in areas of Sanibel Thursday, September 26, 2024 as residents experienced some of the effects from Hurricane Helene.
The streets under the Fort Myers Beach bridge flooded as Hurricane Helene passed by on Thursday, Sept. 26, 2024. Hurricane Helene is expected to pass SWFL on the way to the big bend area. SWFL is preparing for possible storm surge from the Hurricane.
Hurricane Helene flooding starts at Tin City, Naples, Florida on Sept. 26
The City of Holmes Beach experienced street flooding early Thursday, well ahead of 5 to 8 feet of storm surge forecast during Helene. Street flooding in the city receded by Thursday afternoon, but an evacuation notice is active for the hurricane on Anna Maria Island.
</t>
  </si>
  <si>
    <t>Hurricane Zeta intensified overnight and Monday, becoming a hurricane as it drew nearer to Mexico's Yucatán Peninsula. The system is set to pass across the northern Yucatán Monday night before moving into the Gulf of Mexico early Tuesday, and is likely to make landfall along the northern Gulf Coast on Wednesday.
High winds, storm surge flooding and torrential rainfall are likely when the storm comes ashore in Louisiana and the Florida Panhandle, with flooding rains possible as far north as the Mid-Atlantic.
Hurricane watches were issued Monday afternoon for portions of the Louisiana and Mississippi coastline between Morgan City and the Mississippi-Alabama state border. Farther east, a tropical storm watch is in effect for the Alabama coast and portions of the Florida Panhandle west of the Okaloosa-Walton County line. A tropical storm watch also covers areas west of Morgan City, Louisiana to Intracoastal City.
A storm surge watch was also hoisted between Intracoastal City, Louisiana to Navarre, Florida, which includes flood-prone locations like Lake Borgne, Pensacola Bay and Mobile Bay. Most locations will see a 2 to 4 foot surge, but localized spots could see water levels increase by as much as six feet.
Zeta is likely to become the 11th named storm to make landfall in the United States this season, setting a record. Only once before has the Greek alphabet been dipped into for names, and that year — 2005 — Zeta was as far as the season went.
With another one to three storms possible before the season's conclusion at the end of November, it's conceivable, if not likely, that this year will break 2005′s record for the most storms in an Atlantic hurricane season.
Zeta's development also marks yet another storm that's slated to target Louisiana, a storm-weary state that has been hit by a host of weather disasters in 2020. Some parts of the Bayou State have spent a cumulative total of three weeks or more in National Hurricane Center forecast cones in 2020, with Category 4 Hurricane Laura striking in August and Hurricane Delta hitting in October.
Although Zeta's incipient landfall midweek doesn't look to be overly intense, it's another hit for a state struggling to cope with multiple simultaneous recovery efforts amid a worsening coronavirus pandemic.
"Hurricane conditions and life-threatening storm surge are possible along portions of the northern Gulf Coast on Wednesday," wrote the National Hurricane Center.
Where Hurricane Zeta is now
At 5 p.m. Monday, Zeta had winds of 80 mph — just over the threshold of hurricane strength. It was moving northwest at 10 mph, and is set to pass over the northern Yucatán Peninsula late Monday and Monday night, where hurricane warnings are in effect between Tulum and Dzilam, as well as for Cozumel.
The resort cities of Playa del Carmen and Cancun, both heavily impacted by Hurricane Delta two weeks ago, will be affected, as well.
Emergence over the Gulf on Tuesday
During its encounter with land, Zeta — which at landfall will probably still be a Category 1 hurricane — will weaken some before reemerging over the Gulf of Mexico. There are conflicting signals for the extent to which Zeta will be able to reorganize. The most likely scenario is a maintenance of strength or slow weakening as it approaches the Louisiana coast as a high-end tropical storm or Category 1 hurricane.
At the lowest levels, minimal ocean heat content, or the energy that warm ocean waters can contribute to the maintenance or intensification of tropical systems, is present. Sea surface temperatures, while milder than average for this time of year, have decreased following recent cold fronts, with little recovery.
In the upper atmosphere, high pressure and broad clockwise flow over the Gulf of Mexico will help with Zeta's outflow, or the evacuation of already spent air exiting from the storm's center, which could help it maintain strength longer than normal over otherwise less-than-ideal sea surface temperatures.
Mid-level winds may become more disruptive as the circulation approaches the coast Wednesday, inducing some weakening.
Forecast for Louisiana and Mississippi
Conditions will deteriorate in Louisiana and Mississippi on Wednesday morning. The brunt of the storm's high winds, coastal flooding and heavy rains occur during the evening as Zeta moves northward ahead of an approaching storm from the west. This means Zeta will be accelerating north and northeastward, its inclement weather arriving considerably faster than during hurricanes Laura and Delta.
Strong wind gusts near the coast could potentially top 70 mph, while storm surge flooding could affect a large area from where the storm makes landfall eastward into Mississippi, Alabama and Florida.
Heavy rain is likely, too, with pockets of six inches or more likely from the greater New Orleans area into southern Mississippi and southwest Alabama.
Heavy rain in the Southeast, Mid-Atlantic
There are also growing signs that Zeta's moisture will interact with a stalled cold front that will be draped across the eastern United States, depositing a strip of heavy rainfall in the Southeast and perhaps the southern Mid-Atlantic late this week. Atlanta could be drenched with several inches of rain, prompting a flash flood watch to be issued, while a good soaking is possible in the Carolina Piedmont.
Confidence is also increasing in very wet weather overspreading the Washington to New York City corridor, as a mid-latitude storm and the remnant moisture of Zeta combine to produce heavy downpours. However, there still remains uncertainty in whether those two pieces will come together, and it remains possible that the heaviest rain skirts or misses D.C.
Meanwhile, hurricane season doesn't look to be over quite yet. Meteorologists have been concerned for weeks that the start of November could feature another flurry of storminess as a large-scale shift in the upper atmosphere becomes more conducive to generating tropical systems in the Atlantic.
That looks to last for, perhaps, the first half of the month. If we wind up with one more storm, we'll tie the record for most observed in a season (2005 had one unnamed storm in addition to Zeta); two more, and we'll beat it.
And in a year like 2020, just about anything is possible.</t>
  </si>
  <si>
    <t>A heat wave in the West is causing rolling power outages in parts of California. And many places where people usually go to cool off — such as theaters and malls — are closed due to the pandemic.
LEILA FADEL, HOST:
A heat wave in the West is causing rolling blackouts in California. Here's Jeff Smith with California's largest utility Pacific Gas and Electric.
JEFF SMITH: We are encouraging our customers to conserve as much energy as possible over the course of the next few days because we do anticipate that this heat wave is going to continue.
FADEL: Here to talk about this is Lily Jamali from member station KQED in San Francisco. Welcome.
LILY JAMALI, BYLINE: Thanks, Leila.
FADEL: So Lily, how widespread are these blackouts?
JAMALI: Well, millions of Californians were told on pretty short notice to brace for these power outages. This weekend, on PG&amp;E's territory alone in the north of the state, around a quarter-million people actually lost power, first on Friday evening then again on Saturday. And it really caught people by surprise. California hasn't experienced this type of outage since the 2001 energy crisis. We got a brief reprieve yesterday, but we're all bracing ourselves to see what happens tonight.
FADEL: So what's going on? Is it just the heat, or are there other factors at play?
JAMALI: Well, the heat wave is definitely a huge part of this and will be through the middle of this week. Because it's been so hot with temperatures setting records up and down the state, people are using a lot of power right now to stay cool. In California, there's a nonprofit called the ISO that operates most of the grid. And what they saw was demand for electricity getting dangerously close to what power plants were producing. So with that supply-demand mismatch, they directed the utilities to start shutting off power to parts of their systems. And just to be clear, this is different from the power shutoffs aimed at preventing fires. We had a bunch of those last year. There, it's the utilities making the call. Here, they're being told what to do to ensure that the whole system doesn't crash. And when you get a system-wide failure, it can take a lot longer - sometimes days - to recover from. That's what officials are trying to prevent.
FADEL: So how are our elected officials responding to the blackouts?
JAMALI: Well, for one thing, Gov. Gavin Newsom is calling for an investigation into what happened this weekend. Energy politics brought down another governor almost two decades ago. Gray Davis faced a recall in part because of blackouts then, and Newsom is well aware of that. He is calling a state of emergency and said it was unacceptable that people didn't have enough time to prepare. Meanwhile, the manager of the state grid is holding a linchpin of the energy market here, a bidding system that involves buying and selling power ahead of time. Critics say that system can cause wild fluctuations in price and lead to shortages.
FADEL: So what are residents doing now that these blackouts are happening or are threatening to happen?
JAMALI: Yeah. Well, conservation is really key right now. Utilities are asking people to raise their thermostats to 78 degrees. Basically, they just want people to use less power if they can, especially when demand spikes in the late afternoons. The problem is there aren't many places to go to cool off right now. Because of the pandemic, places like malls and movie theaters pose a health risk even if they are open, same with many cooling centers. And we're not congregating in big office buildings where the air conditioner is blasting. Many people are working from home, so the AC is blasting there if they have it. And so what you have is an already dicey situation getting a lot more complicated because of the pandemic.
FADEL: That's reporter Lily Jamali with member station KQED in San Francisco. Thank you so much.
JAMALI: Thank you.</t>
  </si>
  <si>
    <t xml:space="preserve">A scaled-back version of a $14 million effort to curb flooding in the Ross Valley could spare more than 100 trees in a creekside park, but would leave residents vulnerable to overtopping waters, a new report finds.
A draft environmental impact report, released Monday, concludes that the Corte Madera Creek flood risk management project as proposed would result in aesthetic impacts in Frederick Allen Park in Ross once the trees come down.
The report identifies 56 potential adverse environmental impacts, 19 of which are considered significant but could be offset by extra steps taken during construction.
The report presents four alternative plans, including a no-project option, as well as “alternative 1” — the only option that would avoid tree removal within the park. The loss of the trees has been a point of contention for some in the neighborhood.
“However, in a 100-year storm event, Alternative 1 would have less flood reduction benefit and would result in increased water surface elevation compared to the proposed project, particularly along Poplar Avenue,” the report finds. Residential and commercial areas around the park also would also have less flood reduction benefits, the report notes.
The project aims to reduce the frequency and severity of flooding in Ross and Kentfield, offering increased 25-year flood protection and improved fish passage and habitat through the creek channel, as well as some recreational enhancements.
The existing proposal calls for the removal of a fish ladder and a concrete channel from Frederick Allen Park, which runs along the creek between Sir Francis Drake Boulevard and Poplar Avenue.
It also calls for restoring the natural channel, installing taller floodwalls and a new stormwater pump station in the Granton Park neighborhood, creating larger fish resting pools and removing the concrete channel from Stadium Way to improve the natural fish and wildlife habitat.
As part of the project, 113 to 144 trees would have to be removed. New trees would be planted, taking an estimated 10 years to mature, according to the report.
“We will work towards removing the least number of trees possible while still meeting the project goals,” Joanna Dixon, a Marin County Flood Control and Water Conservation District engineer and project manager.
The report says the existing proposal could result in some increased flooding risk in parking areas near the College Avenue bridge, but no homes or businesses would be threatened.
“The big message is that it won’t eliminate all flooding — that would be cost prohibitive,” Dixon said. “The key is finding the sweet spot of maximum flood reduction and minimum project cost and impact to the adjacent area.”
Even though alternative 1 would avoid cutting down the trees, the U.S. Army Corps of Engineers might still require some trees be removed since the project is making improvements to the concrete channel that the Army Corps built in the 1960s. Under its guidelines, the corps could require trees within 15 feet of the creek’s floodwall to be removed at any time, with or without a project.
Alternative 1 would also add four larger fish resting pools near the park to improve fish passage. The rest of the project would remain as proposed.
Alternatives 2 and 3 would require the same number of trees to be removed as the proposed project. Alternative 2 would call for the addition of a boardwalk bike path in Frederick Allen Park. The path would be elevated above the floodplain. The rest of the project elements would remain as proposed. Alternative 3 would use rock and other natural materials to reduce the use of concrete.
“It is important to move forward, so any of the alternatives except for the no-project alternative, would be an improvement,” Sandra Guldman, president of the Friends of Corte Madera Creek Watershed, who said her organization is taking time to review the document to submit a formal response.
Guldman said she believes the proposed project offers the best flood protection and habitat restoration. Consideration of benefits to Ross should be secondary to the goal of the project, she added.
Ross Town Councilwoman Julie McMillan said the aesthetics of the park are important to the community.
“The project changes the visual quality of the park by removing more than 100 established trees during the construction phase,” she said. “It will be important that the park remains appealing to users of all ages by planting sufficient trees and landscaping to provide visual interest and shade.
“Consideration should be given to the long-term aesthetic quality of the park as well as the interim period while newly planted vegetation is becoming established,” she said.
The Town Council will discuss the draft EIR at its meeting on Feb. 11. Information will be posted at townofross.org.
Marin County Supervisor Katie Rice, whose District 2 includes the Ross Valley, said, “The project has evolved in scope and design in response to community and town input, environmental and regulatory concerns. So, really exciting to finally have the draft EIR out for public review and comment.”
The project was led in partnership with the U.S. Army Corps of Engineers until March 2019, when the county moved to manage the project locally. It is being funded with money from the Ross Valley Flood Control Zone 9 storm drainage fee and grants from the California Department of Water Resources, the State Coastal Conservancy Proposition 1 and other sources.
The county is collecting comments on the draft EIR through March 17. Comments can be emailed to the project team at cortemaderacreek@marincounty.org or mailed to Dixon at P.O. Box 4186, San Rafael, 94913.
A public hearing via teleconference is set for the Board of Supervisors meeting on March 2. Information is at bit.ly/2MWbh6v.
</t>
  </si>
  <si>
    <t xml:space="preserve">Heavy snowfall and frigid temperatures across the U.S. have kept winter storm warnings in effect from Washington state to the Great Lakes into northern New England and a large section of the South that includes Texas, Oklahoma, Louisiana and Arkansas.
It's also left more than four million customers without power across the United States, including three million in Texas alone.
The record-breaking cold weather has claimed 16 lives so far, "including three people found dead after a tornado hit a seaside town in North Carolina and four family members who perished in a Houston-area house fire while using a fireplace to stay warm," the Associated Press reported. Others have died in car crashes caused by dangerous road conditions and from carbon monoxide poisoning.
"The major winter storm responsible for producing significant snow and ice accumulations in parts of the central and eastern U.S. the last couple days is making a beeline for eastern Canada, but not before it causes heavy snow and freezing rain in parts of the eastern Great Lakes and New England," NOAA's Weather Prediction Center said early Tuesday.
"[The] Arctic high pressure over the Heartland will ensure one more day of frigid temperatures east of the Rockies and west of the Appalachians. Numerous record cold maximum and minimum temperatures are expected today with the bulk of them occurring in the South Central U.S. where daily anomalies range between 35 to 45 degrees below normal," it added.
Here's a sampling of conditions around the country:
South
President Biden approved a state of emergency declaration for Texas following a request from Gov. Greg Abbott on Sunday, as the state began enduring some of the lowest temperatures in 30 years.
Making matters worse, continuing power outages that began on Monday have left more than 3 million customers in the dark and cold, with temperatures expected to plummet to as low as -5.
As NPR reported, that has prompted the governor to pursue an overhaul of the group that manages the state's power grid during the legislature's current session.
Meantime, however, officials have requested 60 generators from the Federal Emergency Management Agency, to continue running heat into hospitals and nursing homes, according to the AP. The state has also opened 35 shelters to house more than 1,000 people, the agency said.
The Electric Reliability Council of Texas, or ERCOT, issued a notice on its website advising customers that rolling blackouts had been "significantly extended due to the current emergency grid conditions and severe cold weather."
Northern Texas was likely experiencing its most severe cold snap so far this century, according to member station KERA in Dallas.
"I've seen snow. I've seen it get bad, [but] ... I don't think I've seen the temperatures like we're going to see this week," Trace Magee told the public radio station.
The NWS in Fort Worth issued a warning for residents in and around the Fort Worth area telling them to expect "a crippling amount of ice and sleet."
In Tennessee, three people have died due to the weather and the state's Department of Transportation says it's "working around the clock to clear roads, ice and snow caused multiple wrecks on interstates and countless cars have gotten stuck or slid off of side roads," News Channel 5 in Nashville reported.
Parts of Mississippi are experiencing unusually cold temperatures.
Throughout Oklahoma, the National Weather Service has warned of wind chill temperatures of -25 and snow accumulation of 4 to 8 inches through Wednesday.
By 5 p.m. local time Tuesday evening temperatures had dropped as low as 11 degrees, which was driving up natural gas demands and causing outages in some regions. The situation became so dire that Gov. Kevin Stitt reached out to President Biden by phone.
"I asked him to help Oklahomans with the substantial increase in energy bills that will likely be coming our way and he pledged his support," Stitt said in a tweet.
During a call-in appearance on local news station KOCO 5, Stitt broke down the various sources of heat warming people's homes and businesses.
"We are not getting the wind, some of the stuff is frozen, we've got ice on the propellers," Stitt said. "There is zero solar right now. Thank goodness we have coal, 46% of our generation right now is coal. Natural gas, we have some pipes that have been freezing. So only 28% of electricity have been generated by natural gas. Hydro, that's about 6%, that's water."
Arkansas was expecting record low temperatures down to -13 in the northwestern Fayetteville area and snowfall from 6 to 10 inches in the central part of the state.
Louisiana Gov. John Bel Edwards said in a Zoom call with media late Monday that the state could experience rolling blackouts due to electricity demands.
Northwest
In Washington state, a forecast of warmer temperatures later in the week has prompted concern of flooding as the heavy snowfall melts. Washington State Patrol said they responded to 861 car collisions from Friday through Sunday.
Still, the rare winter storm, which dumped about a foot of snow over Seattle, did not deter a 90-year-old woman from walking six miles round-trip for her first coronavirus vaccine shot on Sunday morning, the Seattle Times reported.
Midwest
In Chicago, where more than two feet of snow was already on the ground, up to 16 additional inches was added near Midway Airport by early Tuesday. The city's famous lake effect weather will move into northwest Indiana as the day wears on, according to CBS Channel 2. At least four buildings have collapsed in Chicago in recent days due to snow build-up that caused roofs to cave in, according to the Chicago Tribune.
Gov. JB Pritzker on Tuesday issued a disaster proclamation after the storm to open up resources.
"We're using all resources at our disposal to keep our communities safe amid this dangerous winter weather. And working with local governments as well as our federal partners to protect ratepayers from soaring utility bills," Pritzker said on Twitter.
He added: "I urge everyone to take this extreme weather seriously."
The northeast Indiana city of Fort Wayne was digging out Tuesday morning from what local media described as the largest recorded snowfall for Feb. 15.
A winter storm warning had been in effect for a band of northern Ohio that skirts Lake Erie. However, early Tuesday, the National Weather Service canceled warnings for the Upper Ohio Region. Even so, in Cleveland, sleet and freezing rain on the roads were complicating the morning commute Tuesday, ABC News 5 reports.
New England
Another unbroken swath of warnings extends through the northern sections of Pennsylvania, New York, Vermont, New Hampshire and Maine.
In Albany, however, residents were expecting warmer temperatures would begin burning off the mix of freezing rain and snow that had fallen overnight.
In northern Vermont, a winter storm warning remains in effect until Tuesday evening, with up to 4 more inches of snow expected throughout the day.
Parts of Maine are preparing for snow totals of 6 to 10 inches overnight with areas in the northern portion of the state expecting another foot or more.
"We should see a couple of dry days before another winter storm Thursday night into Friday. That storm also will have heavy snow for the mountains and ice or snow for the coast," ABC affiliate, WMTW News cautioned viewers.
</t>
  </si>
  <si>
    <t xml:space="preserve">The risk of severe thunderstorms was raised to a Level 4 out of 5 in parts of Mississippi and Alabama amid a multiday storm outbreak that has already killed three people.
In all, nearly 100 million people stretching from the Gulf Coast up to New England could see severe weather on Tuesday, defined as a storm that produces a tornado, damaging winds or large hail, according to the Storm Prediction Center.
The Level 4 “moderate” threat is in place for 1 million people in Mississippi and Alabama; the Level 3 “enhanced” threat affects about 6.5 million from Louisiana to Georgia; and the Level 2 “slight” threat affects 32 million people in the Southeast, lower Ohio Valley and mid-Atlantic, the center said.
On Sunday, tornadoes struck at least three Mississippi cities, and on Monday tornado and thunderstorm watches stretched from Mississippi to south-central North Carolina, including the metro Atlanta area, where a tornado touched down and caused widespread damage.
Two people in Georgia died Monday and one person in Tennessee died Tuesday, all from falling trees.
A tornado watch was issued Tuesday for over 4 million people from eastern Louisiana through southeastern Mississippi, much of southern Alabama and a small portion of the Florida Panhandle. The watch includes Hattiesburg, Mississippi, and Tuscaloosa and Montgomery in Alabama and is in place until 10 p.m. CT.
A flash-flood emergency has been issued for southeastern Jefferson County and northwestern Shelby County in central Alabama, according to the National Weather Service (NWS). This includes Birmingham, Hoover, Bessemer and other areas of the Birmingham metro.
The NWS says flooding is ongoing after 3 to 5 inches of rain fell this afternoon. Rain is continuing and an additional one to two inches is possible before the rain comes to an end later this evening.
As Tuesday progresses, the heat and humidity that accompanies the month of May in the Deep South will help to reinvigorate the atmosphere. Areas along the Gulf Coast, from East Texas to the Florida Panhandle, could see strong to severe storms pop up until the arrival of the severe gusts that come with the advancing front.
Areas from Central Louisiana, Alabama, Georgia, and Mississippi are more likely to see impacts from hail and damaging straight-line winds rather than tornadoes. But tornadoes are still possible.
In all, just over 90 million people could experience severe weather Tuesday.
Three dead in Georgia and Tennessee
The region is still reeling from weather that killed two people in Georgia and one person in Tennessee.
A Houston County, Georgia, resident died as a result of the weather that struck Monday, the Houston County Emergency Management Agency said in a news release. The 55-year-old woman was killed by a falling tree.
“When Fire Department crews arrived, they found a large pine tree had fallen into the living room area of the home causing substantial damage to the roof and outer walls. Tragically crews also discovered that Mrs. Carla Harris, 55, was struck by the falling tree and sustained fatal injuries,” according to the news release from the Houston County Emergency Management Agency.
More than 100 miles away, a man in Douglasville, Georgia, was killed after a tree fell on his car as a tornado touched down Monday.
The Douglas County Fire Department responded to reports of a tree on a car with a person inside around 10:36 a.m., according to a news release from county officials.
“When they arrived on the scene, they discovered the driver trapped inside the vehicle with power lines and a tree on the vehicle,” Douglas County communications director Rick Martin said in the release. “Firefighters had to extricate the driver who we are only identifying as a male at this time until next of kin are notified.”
In Weakley County, Tennessee, a 49-year-old woman died when a tree fell on the home where she was sleeping Tuesday morning, according to Dresden Police Chief Christopher Crocker.
Crocker said what appears to be a powerful straight-line wind came through a trailer court around 4 a.m. ET and took down a number of trees. Three mobile homes total were hit, according to Crocker, and there were other victims with minor injuries.
Crocker said there have been no reports of a tornado touchdown, but severe thunderstorms have left behind “extensive damage” such as downed power lines and trees and flipped trailers.
Days of rain could mean flash flooding
Many states across the Southeast have seen double their normal rainfall over the last month, so even 1 to 2 inches of additional rain could lead to flash flooding.
Flash flooding will be possible across the South thanks to the combination of heavy rainfall and all the rain that has fallen in recent days and weeks. A widespread 1-3 inches of rain is forecast across this region into Tuesday night.
“Large hail, damaging wind gusts and a few tornadoes will be likely along with rainfall rates in excess of an inch per hour,” said the National Weather Service office in Jackson, Mississippi.
Rounds of thunderstorms and rain showers will traverse across the Ohio and Tennessee River Valleys throughout the day Tuesday. Farther south, scattered storms will likely develop midday from eastern Texas through Georgia.
This line of storms should weaken by Wednesday morning as it approaches the East Coast, but isolated severe weather will remain possible.
</t>
  </si>
  <si>
    <t xml:space="preserve">A line of severe storms packing isolated tornadoes and high winds ripped across the Deep South overnight — killing at least two in the Florida Panhandle, toppling trees and power lines and leaving homes and businesses damaged as the vast weather front raced across several states.
In Florida, the Washington County Sheriff’s Office said Thursday morning that two were killed and two injured when a tornado touched down in the western Florida Panhandle.
Two homes were destroyed and powerlines were knocked down, according to Washington Country Emergency Management spokeswoman Cheryl Frankenfield. The county’s Facebook page showed at least one home that was obliterated, as well as trees down on another home. No other details were immediately available.
The Florida Division of Emergency Management has employees in the area to help, spokesperson Samantha Bequer said. She said neighboring Jackson County also had property damage.
“It’s a nasty day, but thankfully these storms are moving quickly,” she said.
At least two confirmed tornadoes injured several people Wednesday, damaged homes and businesses and downed power lines in Mississippi and Tennessee after earlier storm caused damage in Arkansas, Missouri and Texas.
About 185,000 customers were without electricity Thursday morning in the wake of the storm along a band of states: Mississippi, Alabama, Tennessee, Kentucky, Indiana, Ohio and Michigan, according to poweroutage.us, which tracks utilities.
The worst of the weather Thursday morning appeared to be at the southern end of the storm front, which was expected to bring heavy rain and high winds all along the U.S. East Coast later in the day. Much of the Florida Panhandle was under a tornado watch, according to the National Weather Service in Tallahassee.
Widespread damage was reported in the Jackson, Tennessee, area as a tornado warning was in effect. “Significant damage” occurred to a nursing home near Jackson-Madison County General Hospital and the Madison County Sheriff’s Office in Jackson, said Madison County Emergency Management Director Jason Moore.
In Nashville, Tennessee, paneling fell five stories from the side of a downtown hotel Wednesday evening and onto the roof of a building below. The fire department warned that debris could become airborne as high winds continued, and some hotel guests were moved to other parts of the building due to concerns the roof would become unstable. No injuries were immediately associated with the collapse.
Daylight revealed widespread wind damage across Alabama.
One person was hurt when a storm hit the University of Montevallo campus south of Birmingham, damaging a dormitory, officials said, and a woman was injured when a manufactured home rolled over in rural Bibb County. A school bus was flipped at a high school in south Alabama, and part of the roof was missing from a church in northwest Alabama.
Elsewhere, a warehouse roof collapsed as the storms moved through Southaven, Mississippi, near Memphis, police said. The building had been evacuated and no injuries were reported.
The Mississippi Senate suspended its work Wednesday as weather sirens blared during a tornado watch in downtown Jackson. Some employees took shelter in the Capitol basement.
Rander P. Adams said he and his wife, Janice Delores Adams, were in their home near downtown Jackson when severe weather blew through during a tornado warning Wednesday afternoon. He said their lights flashed and a large window exploded just feet from his wife as she tried to open their front door.
“The glass broke just as if someone threw a brick through it,” he said. “I advised her then, ‘Let’s go to the back of the house.'”
Adams said the storm toppled trees in a nearby park, and a large tree across the street from their house split in half. “We were blessed,” he said. “Instead of falling toward the house, it fell the other way.”
Earlier Wednesday, a tornado that struck Springdale, Arkansas, and the adjoining town of Johnson, about 145 miles northwest of Little Rock, shortly after 4 a.m. injured seven people, two critically, according to Springdale Mayor Doug Sprouse.
Sprouse said in a statement that one of those critically injured had improved and was in stable condition and the other five were released from a hospital.
“Our first responders have completed door-to-door searches, and we believe everyone has been accounted for,” Sprouse said.
The National Weather Service in Tulsa said Thursday that the tornado has been rated an EF-3, up from an initial assessment of EF-2, with wind speeds between 136-165 mph. The tornado reached a peak speed of about 145 mph and 5 miles while on the ground for about eight minutes, according to the weather service.
In northwest Missouri, an EF-1 tornado with wind speeds around 90 mph struck St. Joseph on Tuesday night, damaging two homes.
A small tornado also touched down briefly on the eastern edge of Dallas, according to the National Weather Service in Fort Worth. The tornado struck just after 4:30 a.m. Wednesday near McClendon-Chisolm with top winds of about 100 mph and damaged homes, but no injuries were reported, according to the weather service.
The storms come a week after a tornado in a New Orleans-area neighborhood carved a path of destruction during the overnight hours and killed a man.
Strong winds in Louisiana overturned semitrailers, peeled the roof from a mobile home, sent a tree crashing into a home and knocked down power lines, according to weather service forecasters, who did not immediately confirm any tornadoes in the state.
The National Weather Service office in New Orleans said Thursday that teams would be out in Tangipahoa and St. Tammany Parishes in southeastern Louisiana and in Jackson County in southeastern Mississippi surveying damage. They said the highest wind speed recorded in the office’ coverage area was 67 mph at the New Orleans Lakefront airport with winds in Baton Rouge reaching into the high 50 mph range.
Firefighters, meanwhile, have been trying to get handle on a wildfire spreading near Great Smoky Mountains National Park in Tennessee, amid mandatory evacuations as winds whipped up ahead of the approaching storm front.
The fire, which was not contained, had expanded to about 250 acres as of Wednesday afternoon. One person was injured, and a plume of smoke rose above one community not far from where 2016 wildfires ravaged the tourism town of Gatlinburg, killing 14 people and damaging or destroying about 2,500 buildings.
</t>
  </si>
  <si>
    <t xml:space="preserve">ASMA KHALID, HOST:
Climate change is making these types of disasters more and more common. I spoke with Rebecca Hersher from NPR's climate team, and she explained why destructive flooding is happening far from the coastlines.
REBECCA HERSHER, BYLINE: There are many ways that climate change can cause floods. Coastal floods get a lot of attention, especially when they happen during a hurricane. But actually, inland flooding is more common. And the kind of devastating heavy rain that we've seen this week is something that climate scientists have predicted for many decades - that, as humans keep burning fossil fuels, the atmosphere gets hotter, the air holds more moisture and so, when it rains, it rains harder.
KHALID: And has that turned out to be true?
HERSHER: Yeah, the climate models are correct. And actually scientists can observe it in real time now, which is pretty scary. So heavy rain has increased all over the U.S. And in the southeastern U.S., including in Kentucky, it's increased by almost a third.
KHALID: Wow.
HERSHER: Now, that might not sound like a lot, but an extra inch of rain, if you think about it - if that falls in a short period of time, that is how you get a flash flood.
KHALID: So explain that because I do think it is shocking to see some of the damage that all of this rain has caused, particularly in Kentucky, as you mentioned.
HERSHER: Yeah. The danger and the damage comes from moving water, and that can happen in two ways. So first, when a lot of rain is falling in a short period of time, the water doesn't have anywhere to go. It can't soak into the ground, especially if the ground is already saturated. So that causes the water to pool on the surface. And then if there's a hill - even a really small hill, one that you might not even notice - all that water starts to roll downhill. It gathers speed, it gathers power, it can pick up debris. And that is a flash flood. It's really dangerous. It can carry away cars, it can carry away houses, and it can kill people.
KHALID: So how common is that type of flooding? You know, you said it is getting more frequent at this point.
HERSHER: Yeah. And unfortunately, these kinds of floods, they're so frequent that they're a part of life in some places. So there are towns and cities in the U.S. where flash floods happen every year or every other year. That's true in parts of southeast Texas and Louisiana, parts of the Midwest and Appalachia, where this week's floods happened. For example, last summer, there was a flash flood that killed nearly two dozen people in Tennessee. That same area was hit by very heavy rain this year. And it's important to say, this is not just a U.S. problem. It's happening outside the U.S. as well. So heavy rain has caused deadly flash floods in Germany and Belgium, South Africa, India, China and Australia. And that's just in the last year.
KHALID: So what can be done to warn people when a flood is about to happen?
HERSHER: Well, that's actually something the National Weather Service is really focused on. So local offices are watching for signs of heavy rain and then trying to warn people as early as possible if a flash flood is likely. And that's really important because so many of us get our weather warnings now directly on our phones, right? Your phone will flash and you'll get an alert saying there's a flash flood warning for your area. And if that happens, you need to take it extremely seriously. And particularly, don't drive on flooded roads. It's one of the main ways that people die in flash floods. Their cars just get swept away.
KHALID: So, I mean, I've got to wonder, are there ways to make these floods less dangerous, or do we all sort of have to learn to live with this new reality?
HERSHER: There are lots of ways to make them less dangerous. So basically, you slow the water down, give it safe places to go. For example, have less pavement so the water can soak into the ground. You can build retention ponds - you know, those low marshy areas for excess water to collect.
KHALID: Right.
HERSHER: And in cities, you can make the pipes bigger. So a lot of U.S. cities were built 50, even 100 years ago. The storm water systems are not built for the heavy rain of today. It's expensive to make those pipes larger, but it's really important if you want to prevent streets from turning into rivers.
KHALID: Rebecca Hersher from NPR's climate team, thanks, as always.
HERSHER: Thanks.
</t>
  </si>
  <si>
    <t xml:space="preserve">Hurricane Fiona reminded residents that the agonizingly slow work of giving the island a stable power grid remained unfinished.
SALINAS, P.R. — Hurricane Fiona deluged Puerto Rico with unrelenting rain and terrifying flash floods on Monday, forcing harrowing home rescues and making it difficult for power crews to reach many parts of the island.
Now the island is once again in darkness, five years after Hurricane Maria inflicted more damage on Puerto Rico than any other disaster in recent history.
While Fiona will be the direct culprit, Puerto Ricans will also blame years of power disruptions, the result of an agonizingly slow effort to finally give the island a stable grid. Hurricane Maria, a near-Category 5 storm, hit on Sept. 20, 2017, leaving about 3,000 dead and damaging 80 percent of the system. The last house was not reconnected to the system until nearly a year later. Hurricane Fiona, with far less ferocious winds, is the strongest storm to reach the island since.
Its copious rains on Sunday and Monday — more than 30 inches in some areas in southern Puerto Rico and its central mountainous region — caused the island’s vast lattice of canals and creeks to swell, turned entire streets into muddy rivers and forced the rescues of more than 1,000 people. At least one person died, while operating a generator, while another death was recorded in the Dominican Republic.
“I’ve never seen this in my life, not even in Maria,” said Ada Belmot Plaza, who had to be rescued by the Puerto Rico National Guard as waist-high floodwaters rose outside her daughter’s house in the El Coquí neighborhood of Salinas, on Puerto Rico’s southern coast.
Some Puerto Ricans said Hurricane Fiona took them by surprise, and many in the hardest-hit areas were still waiting for government help on Monday as neighbors came together to clear fallen trees from roads and remove debris from homes. Gov. Pedro R. Pierluisi urged people to stay indoors. He said he expected most electricity to be back up “in a matter of days.” By Monday morning, power had been restored to some 100,000 customers, out of 1.5 million.
The federal government paid $3.2 billion to patch up the island’s electrical grid in Hurricane Maria’s wake. But that was just to get the power back on; Congress earmarked an additional $10 billion to modernize the antiquated and inefficient system.
The Puerto Rico government and the fiscal board appointed by Congress to oversee the island’s finances required that the power transmission and distribution system be privatized after deeming the Puerto Rico Electric Power Authority, which is bankrupt but continues to run power generation, to be ineffective. Funds from the Federal Emergency Management Agency will finance any new upgrades.
In 2020, Puerto Rico awarded a 15-year contract to LUMA Energy, a private Canadian-American consortium, for a fixed annual fee of $115 million. After taking over in June of last year, the company quickly struggled with rolling summer blackouts. There was an islandwide outage in April, with no bad weather in sight.
And so, in the wake of Hurricane Fiona, most Puerto Ricans face the daunting prospect of spoiled food and medication, sticky nights and the other familiar risks and indignities of being plunged into darkness. They are somewhat better equipped this time because those who could afford generators bought them after the Hurricane Maria fiasco. But that came with its own dangers: Officials on Monday said a man died while trying to operate a generator. His wife suffered severe burns, but survived.
In the Dominican Republic, the storm killed at least one person, a 68-year-old man who was hit by a falling tree in the northern province of María Trinidad Sánchez, according to local media.
As Hurricane Fiona moved westward, it battered the eastern provinces of the Dominican Republic, home to one of the largest tourism industries in the Caribbean. Heavy rain and 90-mile-per-hour winds set off mudslides that shuttered resorts and damaged highways, officials said.
The storm is expected to pass near the islands of Turks and Caicos on Tuesday before strengthening at sea into a major hurricane — a Category 3 or higher — by Wednesday, the National Hurricane Center said. It is not forecast to approach the East Coast of the United States.
In Puerto Rico, overflowing waterways and the loss of power caused pumps to fail, leaving 70 percent of households and businesses that rely on the public water and sewer system without potable water.
Mr. Pierluisi said he had been coordinating with the White House to receive assistance. President Biden issued an emergency declaration on Sunday, unlocking federal funding and FEMA support. Mr. Biden called Mr. Pierluisi from Air Force One as the president flew back from the funeral of Queen Elizabeth II in London, according to the White House.
States also lined up to send mutual aid. New York said more than 100 Spanish-speaking members of the State Police would help clear streets, direct traffic and respond to other needs in Puerto Rico.
Most customers who had electricity on Monday, including a couple of hospitals, were in the San Juan metropolitan area, which was spared the worst of Hurricane Fiona’s rains.
The damage from Fiona’s floodwaters is expected to be vast — in the “billions,” Mr. Pierluisi estimated — a sobering reminder that a storm’s categorization under the Saffir-Simpson scale considers its maximum wind speeds, but not its rainfall or storm surge potential.
In the town of Cayey, residents had to clear out the mud after the La Plata River surged and almost completely submerged a two-story house. A temporary bridge erected over the Guaonica River in Utuado buckled, its demise captured on dramatic video as rushing waters and debris washed it away. The bridge was put up after Hurricane Maria to connect devastated neighborhoods in the area, and a new, permanent bridge was scheduled to go up in 2024.
In Santa Isabel, on the southern coast of the island, Itzamary Alvarado said she had more water in her house than during Hurricane Maria. Government officials, she said, should have given the public more warning about Hurricane Fiona, which had initially approached the island as a tropical storm.
“I think the government minimized what was going to happen,” Ms. Alvarado said. “I found out it was a hurricane at 11 a.m. on Sunday, so I left everything and ran to the supermarket. I had not prepared for a hurricane.”
For her and many others, the storm was a test of whether the government response to disasters would be better after Maria.
“We have been struggling for five years and see the same conditions from the government in the management of emergency situations,” Ms. Alvarado said. “It’s frustrating.”
But she suddenly had a sign that things were changing for the better: Trucks from Puerto Rico’s power company, LUMA, appeared on her street.
“A LUMA brigade just drove by my house,” she said. “I’ve never seen that before.”
Comparisons to Hurricane Maria were inevitable, from both residents and officials.
The island’s hospitals were running on backup generators, in stark contrast to 2017, when many lost power, damaging medical equipment and leaving hundreds of sick patients dangerously at risk. About 75 percent of cellphone towers were still functioning after the storm passed, compared with the near-total signal wipeout five years ago.
Mr. Pierluisi stressed that officials were still in the rescue-and-response phase of the emergency and had not begun to assess the scale of the damage, or determine the island’s path to recovery. Still, he said, the local government’s response had so far been “exemplary” compared with what happened after Maria.
“Maria served as a lesson, an exercise for our emergency response teams at all levels,” Mr. Pierluisi, a member of the pro-statehood New Progressive Party who took office in 2021, said in a news conference. “In terms of the coordination we’ve seen, there’s a big difference.”
Hurricane Maria, which struck within weeks of Hurricane Irma in 2017, laid bare the tenuous state of the island’s aging, poorly maintained infrastructure. Its powerful winds, with gusts exceeding 100 m.p.h., destroyed thousands of homes and wiped out the island’s agriculture and access to communications. Recovery was painfully sluggish, and the lack of potable water, fuel and food supplies in the wake of the storm prompted an exodus of tens of thousands of residents to the United States mainland.
Public fury bubbled up at the government’s response to the storm. In 2019, a grass-roots movement channeling the anger formed, fueling a popular uprising in 2019 that lasted 15 days and caused former Gov. Ricardo A. Rosselló to step down.
Puerto Ricans remain skeptical of their leaders’ abilities to respond to disasters. In Salinas on Monday, Ana Medina Cardona, 74, said government reconstruction contractors had repaired a section of her tin roof that was torn apart by Hurricane Maria.
On Sunday, rain started pouring through that repaired roof while she was home with her dog, Famy.
“It seems they didn’t do a great job, because water was coming down the walls,” Ms. Medina Cardona said. “This time around, it was even worse than in Maria.”
She waited in a shelter to hear if the water had receded enough for her to return home. But she was unconvinced it was her best option.
“If we can go back,” she said, “that also means going back there to a house without power.”
Reporting was contributed by Grace Ashford, Holga Enecia Pérez, Luis Ferré-Sadurní, Christine Hauser, Charo Henríquez, Anatoly Kurmanaev, Edgar Sandoval and Daniel Victor.
Reporting was contributed by Grace Ashford, Holga Enecia Pérez, Luis Ferré-Sadurní, Christine Hauser, Charo Henríquez, Anatoly Kurmanaev, Edgar Sandoval and Daniel Victor.
</t>
  </si>
  <si>
    <t xml:space="preserve">A revived Hurricane Ian set its sights on South Carolina's coast Friday and the historic city of Charleston, with forecasters predicting a storm surge and floods after the megastorm caused catastrophic damage in Florida and left people trapped in their homes. With all of South Carolina's coast under a hurricane warning, a steady stream of vehicles left Charleston on Thursday, many likely heeding officials' warnings to seek higher ground. Storefronts were sandbagged to ward off high water levels in an area prone to inundation. On Friday morning in Charleston, powerful wind gusts bent tree branches and sent sprays of steadily falling rain sideways. Streets in the 350-year-old city were largely empty, an ordinarily packed morning commute silenced by the advancing storm. City officials were pumping water from a storm drain over the sea wall, as water pooled in the streets and homes along the water were threatened. With winds holding at 85 mph (140 kph), the National Hurricane Center's update at 8 a.m. Friday placed Ian about 105 miles (175 km) southeast of Charleston and forecast a "life-threatening storm surge" and hurricane conditions along the Carolina coastal area later Friday. The hurricane warning stretched from the Savannah River to Cape Fear, with flooding likely across the Carolinas and southwestern Virginia, the center said. The forecast predicted a storm surge of up to 7 feet (2.1 meters) into coastal areas of the Carolinas, and rainfall of up to 8 inches (20 centimeters).
</t>
  </si>
  <si>
    <t xml:space="preserve">Nicole’s strong winds and drenching rain largely spared South Florida but there was some damage: Two popular Broward County fishing piers took a beating, the ocean briefly flooded Hollywood Beach’s ocean-side walkway and some shops, and a section of A1A in Fort Lauderdale was blocked by sand and flooding Thursday morning. Thousands also lost power, though the numbers were quickly declining. On Hollywood Beach, the sun was shining again Thursday morning but several inches of sand and debris coated sections of the Broadwalk. Fishing lures, stray flip-flops and uprooted marine plants dotted the sand, along with mounds of dirty gray sea foam. City staffers were already at work cleaning, using earth movers to scrape sand off the brick and dump it back on the beach. Others teamed up to right knocked-over stone trash cans and park benches. Business owners pressure-washed, mopped and swept the sand, sea foam — and in some cases, seawater — that made its way into their stores. “It’s amazing the ocean came right up. Thank God my awning made it,” said Frank Aubrey, owner of Little Venice Pizza, where the floor was littered with sand. The storm made landfall as a Category 1 hurricane just south of Vero Beach early Thursday, hitting the coast with strong winds and drenching the upper half of the state from Tampa to Cocoa Beach.
In South Florida, gusts near the coast generally ranged between 35 and 45 miles an hour, with a few stronger gusts recorded in areas such as Dania Beach, and Juno Beach, said Robert Molleda, a severe weather expert with Miami’s National Weather Service office. Between 2 and 4 inches of rain generally fell in South Florida, with slightly higher totals in some parts of eastern Broward, he said. “From a rain and wind standpoint, it was not too bad,” Molleda said. “Coastal flooding was the biggest impact from the storm.” The most eye-catching damage from that flooding was at Anglin’s Pier in Lauderdale-by-the-Sea, where people can normally fish 24 hours a day. Waves took a chunk out of the middle of the nearly six-decade-old structure. No injuries were reported but nobody will be catching fish there for quite awhile. The pier has often been damaged by storms. It needed to be rebuilt after Hurricane Wilma in 2005, and needed renovations after Hurricane Irma in 2017, owner Spiro Marchelos said Thursday. “We’re fortunate that that’s the only damage that occurred, and we’re here to replace, fix and go on,” Marchelos said. “It’s going to take some time, but we’ll get it done.”
Lauderdale-By-The-Sea Mayor Chris Vincent, in a statement on Thursday, called the pier an “iconic landmark” and “seeing it damaged is heartbreaking.” “While the pier is privately owned, I know our Town will do what we can to support the property owner in the coming days and months,” he said. Longtime Fort Lauderdale resident Tom Bradley was just outside Anglin’s on Thursday morning to see the damage to the pier. He noted that the high tide came in and damaged the middle of the pier. “It was bad here, but nowhere near as bad as it could’ve been if we were farther north because we were on the clean side of the storm, not the dirty side,” Bradley said. “There’s really not much damage here except for the pier.”
There also was damage to the pier in Deerfield Beach, where city webcam footage showed violent swells jarred loose wooden railings and planks of the city’s pier. But the structure itself weathered Nicole’s pounding waves. Beach erosion was a concern across the coastline. In Miami Beach, which had been cleared and opened to visitors by Thursday afternoon, city officials were assessing erosion but so far had reported “no significant issues,” a spokeswoman said. In South Florida, where the effects of the winds were less pronounced, Nicole had also knocked out electricity to thousands — although by 10 a.m. on Thursday, only 550 customers in Broward remained without power, just 400 in Miami-Dade.
One of those without power in Northeast Dade was Alexandra Quinan, 31, a law firm administrative assistant. The electricity at her and her husband’s house flicked off early Thursday evening — and was still out Friday morning. Her phone battery was nearly dead, but the night was not terrible. “I actually fell asleep pretty quickly. It was a cool night,” she said. “Breezy. Could have been worse.”
</t>
  </si>
  <si>
    <t xml:space="preserve">Nicole was downgraded to a tropical storm Thursday morning, shortly after making landfall in Florida, according to the National Hurricane Center.
As of 4 a.m. ET Thursday, Nicole was downgraded to tropical storm status, but it still packed maximum sustained winds of 70 miles per hour, the hurricane center said. It was moving west-northwest near 14 mph. Nicole made landfall just south of Vero Beach, hurricane center officials said.
The east and west coasts of Florida, as well as the coasts of Georgia and South Carolina, are expected to have tropical storm conditions Thursday, causing storm surges and "large and damaging waves along the Atlantic coast," the NHC said.
"Do not focus on the exact track of Nicole since it is a large storm with hazards extending well to the north of the center, outside of the forecast zone," the NHC said.
The Appalachian Mountains could also experience some flooding Friday, which could extend all the way up to New York and Pennsylvania.
Hurricane season in the Atlantic is typically a six-month period from June 1 to Nov. 30, and peaks between mid-August and late-October, according to the Florida Climate Center.
Warnings were issued for many parts of Florida, including the southwestern Gulf coastline that was damaged by Hurricane Ian, a Category 4 storm Sept. 28. Many state residents are still recovering from the homes and crops destroyed destroyed by Ian.
</t>
  </si>
  <si>
    <t xml:space="preserve">More than 50 million people are under the threat of severe storms Saturday from the Gulf Coast to the Great Lakes. Some of these same areas are still cleaning up from severe storms over the previous few weeks.
"Severe thunderstorms capable of large to very large hail and damaging gusts are possible from the lower to mid Mississippi Valley westward into parts of the Ozarks, Ark-La-Tex and Sabine River Valley," the Storm Prediction Center said.
A level 3 out of 5 "enhanced" risk for storms has been issued across parts of Missouri, Louisiana and Arkansas, including Little Rock, Arkansas, and St Louis. There's a level 2 of 5 "slight" risk for locations surrounding that enhanced risk zone, including Memphis, Tennessee; Shreveport, Louisiana; and Jackson, Mississippi.
"Models are trending a little slower with the evolution of this storm system increasing the possibility of strong to possibly severe storms in advance of the associated cold front," the National Weather Service office in Little Rock said.
The Little Rock weather service also emphasized that while the tornado threat is low, it cannot be discounted entirely, especially if any super cells develop.
Arkansas and Mississippi were each hit by an EF-4 tornado just weeks ago. Many still have tarps covering their roofs, and have yet to finish clearing up debris and damage to businesses. Now, new storms are set to arrive in many of these hard-hit areas this weekend.
Hail the size of tennis balls
Hailstones larger than golf balls, and possibly even the size of tennis balls may fall in this region Saturday afternoon and evening. The large hail threat will be focused across portions of Arkansas, Missouri, Louisiana and east Texas.
While not as deadly as tornadoes, hail can still cause significant damage to vehicles, homes, crops and livestock. Even small hailstones can have an impact when there's enough volume.
"When hail builds up, it can cause a loss of power, bring down trees and cause flash floods and mudslides in steep areas," the International Federation of the Red Cross states on its disasters and preparation website.
In 2022, there were over 4,400 major hailstorms reported in NOAA's severe storms database. According to the Insurance Information Institute, hail-related insured losses between averaged between $8 billion to $14 billion a year in the last two decades.
Texas was the state with the most hail claims paid for auto and home insurance followed by Illinois, Minnesota, and Missouri -- three of the states that are expected to see potential hail storms this weekend.
These storms are associated with a low pressure system that will track eastward, from the central Plains, slowly toward the Mid-Mississippi River Valley and Great Lakes by Sunday.
These strong thunderstorms are forecast to develop quickly ahead of the cold front during the early to mid-afternoon. They are expected to move out of Arkansas and Missouri by midnight and continue to race eastward through the overnight hours.
Flash flooding is also possible across this region on Saturday, as 1 to 3 inches of rain is forecast on top of already saturated soils.
"Some of this region has had recent rains, and are 150 to 600 percent of normal," the Weather Prediction Center said. "These sensitive soils could quickly become over saturated and lead to isolated/scattered areas of flooding."
Threat pushes east Sunday
This system will push eastward on Sunday bringing rain to the Ohio Valley and the potential for severe storms across the Southeast.
"Isolated severe thunderstorms, associated with wind-damage and hail, will be possible on Sunday in parts of the Southeast," the Storm Prediction Center said. "Marginally severe storms will be possible further north into parts of the Ohio Valley and southern Great Lakes."
Another concern: more rainfall across South Florida, which is cleaning up from record flooding Wednesday.
"Some of the area is still susceptible/vulnerable due to recent rainfall so this additional threat of heavy rainfall may lead to flash flooding over the urbanized corridor of southeast Florida," the Weather Prediction Center said Saturday morning.
Rain showers are expected for Miami and Fort Lauderdale from Sunday night through Monday.
</t>
  </si>
  <si>
    <t xml:space="preserve">Residents were rescued as communities that flooded this summer were inundated again, and power companies warned that outages could last for days.
Rescuers pulled dozens of residents from flooded homes and cars across New England after a powerful coastal storm that left hundreds of thousands of people without power on Tuesday.
More than three inches of rain fell on some parts of the region, combining with snowmelt to send rivers and streams over their banks. Officials in Vermont, still reeling from catastrophic floods this summer, said the damage appeared to be less severe than the state experienced in July, but could be more widespread.
“Seeing homes and businesses surrounded by water once again has been heartbreaking,” Gov. Phil Scott said at a news conference on Tuesday afternoon, noting that some of the communities that flooded this summer had been inundated again. “I can’t imagine the toll that has on anyone,” he added.
Rushing floodwaters in parts of New Hampshire and Maine also led to evacuations and water rescues, officials said, including some by helicopter. Flooded rivers across the region had mostly crested and were receding by Tuesday afternoon.
The deluge resulted from a storm that swept up the East Coast on Sunday and Monday, flooding streets, snarling transit and closing schools from South Carolina to northern Maine before sweeping into eastern Canada.
Heavy winds caused trees to topple onto homes and power lines, killing at least one person in Massachusetts and two in Maine, according to the authorities and local news reports. Three people died in flooded vehicles in New York, Pennsylvania and South Carolina.
Nearly 500,000 customers across New England remained without power by midafternoon Tuesday, mainly in Maine and Massachusetts, according to PowerOutage.us, which tracks the utility industry. Officials warned that restoration could take several days in some communities.
National Grid, a power provider in Massachusetts, said on social media that about 2,000 of its workers were clearing trees and repairing electrical infrastructure. Central Maine Power said on Facebook that it expected a multiday effort to restore power.
The storm also caused damage in Canada, where nearly 115,000 homes in four provinces were without power by midafternoon Tuesday.
The heavy rain and flooding could be a preview of more to come. Government forecasters expect more precipitation than usual for the eastern United States from December through February, with warmer temperatures meaning that more of it will fall as rain than snow. Rising global temperatures from climate change are resulting in more short, intense storms, which can increase flooding.
In Vermont, Governor Scott said that the latest flooding was a reminder that the state needed to adapt to the changing conditions. “We simply cannot rebuild the same way in the exact same places,” he said.
A dozen people across Vermont had to be rescued from the rising waters, Jennifer Morrison, the state’s public safety commissioner, said at a news conference with the governor, including three from a home in Jamaica and nine from vehicles swept away by flooding.
No deaths were reported, she said, but she warned that “some rivers are still at flood stage, and most have extremely strong currents.”
Dozens of schools across northern New England were closed on Tuesday, as were several ski resorts. In Barre, Vt., aid workers set up an emergency shelter for people displaced by the flooding. It was in the same building that sheltered evacuees in the summer.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</si>
</sst>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family val="2"/>
    </font>
    <font>
      <b/>
      <sz val="10"/>
      <color rgb="FFFFFFFF"/>
      <name val="Arial"/>
      <family val="2"/>
      <charset val="1"/>
    </font>
    <font>
      <sz val="10"/>
      <name val="Arial"/>
      <family val="2"/>
      <charset val="1"/>
    </font>
    <font>
      <b/>
      <sz val="10"/>
      <color rgb="FFFFFFFF"/>
      <name val="Arial"/>
      <family val="2"/>
    </font>
    <font>
      <sz val="10"/>
      <name val="Arial"/>
      <family val="2"/>
    </font>
  </fonts>
  <fills count="5">
    <fill>
      <patternFill patternType="none"/>
    </fill>
    <fill>
      <patternFill patternType="gray125"/>
    </fill>
    <fill>
      <patternFill patternType="solid">
        <fgColor rgb="FF4472C4"/>
        <bgColor rgb="FF666699"/>
      </patternFill>
    </fill>
    <fill>
      <patternFill patternType="solid">
        <fgColor rgb="FFFFF2CC"/>
        <bgColor rgb="FFFFFFFF"/>
      </patternFill>
    </fill>
    <fill>
      <patternFill patternType="solid">
        <fgColor rgb="FF92D050"/>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horizontal="center" vertical="center" wrapText="1"/>
    </xf>
    <xf numFmtId="0" fontId="3" fillId="0" borderId="0" xfId="0" applyFont="1"/>
    <xf numFmtId="0" fontId="4" fillId="2" borderId="0" xfId="0" applyFont="1" applyFill="1" applyAlignment="1">
      <alignment horizontal="center" vertical="center" wrapText="1"/>
    </xf>
    <xf numFmtId="0" fontId="3" fillId="3" borderId="0" xfId="0" applyFont="1" applyFill="1"/>
    <xf numFmtId="0" fontId="3" fillId="3" borderId="0" xfId="0" applyFont="1" applyFill="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2" fillId="2" borderId="0" xfId="0" applyFont="1" applyFill="1" applyAlignment="1">
      <alignment horizontal="center"/>
    </xf>
    <xf numFmtId="0" fontId="5" fillId="0" borderId="0" xfId="0" applyFont="1"/>
    <xf numFmtId="0" fontId="3" fillId="0" borderId="0" xfId="0" applyFont="1" applyFill="1"/>
    <xf numFmtId="0" fontId="3" fillId="0" borderId="0" xfId="0" applyFont="1" applyFill="1" applyAlignment="1">
      <alignment vertical="top" wrapText="1"/>
    </xf>
    <xf numFmtId="0" fontId="5" fillId="0" borderId="0" xfId="0" applyFont="1" applyFill="1"/>
    <xf numFmtId="0" fontId="0" fillId="0" borderId="0" xfId="0" applyFill="1"/>
    <xf numFmtId="0" fontId="3" fillId="4" borderId="0" xfId="0" applyFont="1" applyFill="1"/>
    <xf numFmtId="0" fontId="1" fillId="0" borderId="0" xfId="0" applyFont="1" applyFill="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4"/>
  <sheetViews>
    <sheetView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42" customWidth="1"/>
    <col min="3" max="3" width="14" customWidth="1"/>
    <col min="4" max="5" width="12" customWidth="1"/>
    <col min="6" max="7" width="14" customWidth="1"/>
    <col min="8" max="8" width="9" customWidth="1"/>
    <col min="9" max="9" width="26" customWidth="1"/>
    <col min="10" max="10" width="22" customWidth="1"/>
    <col min="11" max="11" width="14" customWidth="1"/>
    <col min="12" max="12" width="18" customWidth="1"/>
  </cols>
  <sheetData>
    <row r="1" spans="1:12" ht="30" customHeight="1" x14ac:dyDescent="0.2">
      <c r="A1" s="1" t="s">
        <v>0</v>
      </c>
      <c r="B1" s="1" t="s">
        <v>1</v>
      </c>
      <c r="C1" s="1" t="s">
        <v>2</v>
      </c>
      <c r="D1" s="1" t="s">
        <v>3</v>
      </c>
      <c r="E1" s="1" t="s">
        <v>4</v>
      </c>
      <c r="F1" s="1" t="s">
        <v>5</v>
      </c>
      <c r="G1" s="1" t="s">
        <v>6</v>
      </c>
      <c r="H1" s="1" t="s">
        <v>7</v>
      </c>
      <c r="I1" s="1" t="s">
        <v>8</v>
      </c>
      <c r="J1" s="1" t="s">
        <v>9</v>
      </c>
      <c r="K1" s="1" t="s">
        <v>10</v>
      </c>
      <c r="L1" s="1" t="s">
        <v>11</v>
      </c>
    </row>
    <row r="2" spans="1:12" ht="15" customHeight="1" x14ac:dyDescent="0.2">
      <c r="A2" s="2">
        <v>1</v>
      </c>
      <c r="B2" s="2" t="s">
        <v>12</v>
      </c>
      <c r="C2" s="2" t="s">
        <v>13</v>
      </c>
      <c r="D2" s="2">
        <v>20000121</v>
      </c>
      <c r="E2" s="2">
        <v>20000124</v>
      </c>
      <c r="F2" s="2">
        <v>1320.3</v>
      </c>
      <c r="G2" s="2">
        <v>706</v>
      </c>
      <c r="H2" s="2">
        <v>4</v>
      </c>
      <c r="I2" s="2" t="s">
        <v>14</v>
      </c>
      <c r="J2" s="2" t="s">
        <v>15</v>
      </c>
      <c r="K2" s="2">
        <f>COUNTIF(Master!A$2:A$1695,A2)</f>
        <v>1</v>
      </c>
      <c r="L2" s="2" t="str">
        <f>IFERROR(AVERAGEIFS(Master!P$2:P$1695,Master!A$2:A$1695,A2,Master!O$2:O$1695,"Relevant"),"")</f>
        <v/>
      </c>
    </row>
    <row r="3" spans="1:12" ht="15" customHeight="1" x14ac:dyDescent="0.2">
      <c r="A3" s="2">
        <v>2</v>
      </c>
      <c r="B3" s="2" t="s">
        <v>16</v>
      </c>
      <c r="C3" s="2" t="s">
        <v>17</v>
      </c>
      <c r="D3" s="2">
        <v>20000328</v>
      </c>
      <c r="E3" s="2">
        <v>20000329</v>
      </c>
      <c r="F3" s="2">
        <v>1269.5999999999999</v>
      </c>
      <c r="G3" s="2">
        <v>690</v>
      </c>
      <c r="H3" s="2">
        <v>0</v>
      </c>
      <c r="I3" s="2" t="s">
        <v>18</v>
      </c>
      <c r="J3" s="2" t="s">
        <v>19</v>
      </c>
      <c r="K3" s="2">
        <f>COUNTIF(Master!A$2:A$1695,A3)</f>
        <v>0</v>
      </c>
      <c r="L3" s="2" t="str">
        <f>IFERROR(AVERAGEIFS(Master!P$2:P$1695,Master!A$2:A$1695,A3,Master!O$2:O$1695,"Relevant"),"")</f>
        <v/>
      </c>
    </row>
    <row r="4" spans="1:12" ht="15" customHeight="1" x14ac:dyDescent="0.2">
      <c r="A4" s="2">
        <v>3</v>
      </c>
      <c r="B4" s="2" t="s">
        <v>20</v>
      </c>
      <c r="C4" s="2" t="s">
        <v>21</v>
      </c>
      <c r="D4" s="2">
        <v>20000301</v>
      </c>
      <c r="E4" s="2">
        <v>20000831</v>
      </c>
      <c r="F4" s="2">
        <v>1978</v>
      </c>
      <c r="G4" s="2">
        <v>1075</v>
      </c>
      <c r="H4" s="2">
        <v>0</v>
      </c>
      <c r="I4" s="2" t="s">
        <v>22</v>
      </c>
      <c r="J4" s="2" t="s">
        <v>23</v>
      </c>
      <c r="K4" s="2">
        <f>COUNTIF(Master!A$2:A$1695,A4)</f>
        <v>5</v>
      </c>
      <c r="L4" s="2" t="str">
        <f>IFERROR(AVERAGEIFS(Master!P$2:P$1695,Master!A$2:A$1695,A4,Master!O$2:O$1695,"Relevant"),"")</f>
        <v/>
      </c>
    </row>
    <row r="5" spans="1:12" ht="15" customHeight="1" x14ac:dyDescent="0.2">
      <c r="A5" s="2">
        <v>4</v>
      </c>
      <c r="B5" s="2" t="s">
        <v>24</v>
      </c>
      <c r="C5" s="2" t="s">
        <v>25</v>
      </c>
      <c r="D5" s="2">
        <v>20001003</v>
      </c>
      <c r="E5" s="2">
        <v>20001004</v>
      </c>
      <c r="F5" s="2">
        <v>1629</v>
      </c>
      <c r="G5" s="2">
        <v>900</v>
      </c>
      <c r="H5" s="2">
        <v>3</v>
      </c>
      <c r="I5" s="2" t="s">
        <v>26</v>
      </c>
      <c r="J5" s="2" t="s">
        <v>27</v>
      </c>
      <c r="K5" s="2">
        <f>COUNTIF(Master!A$2:A$1695,A5)</f>
        <v>0</v>
      </c>
      <c r="L5" s="2" t="str">
        <f>IFERROR(AVERAGEIFS(Master!P$2:P$1695,Master!A$2:A$1695,A5,Master!O$2:O$1695,"Relevant"),"")</f>
        <v/>
      </c>
    </row>
    <row r="6" spans="1:12" ht="15" customHeight="1" x14ac:dyDescent="0.2">
      <c r="A6" s="2">
        <v>5</v>
      </c>
      <c r="B6" s="2" t="s">
        <v>28</v>
      </c>
      <c r="C6" s="2" t="s">
        <v>29</v>
      </c>
      <c r="D6" s="2">
        <v>20000301</v>
      </c>
      <c r="E6" s="2">
        <v>20001130</v>
      </c>
      <c r="F6" s="2">
        <v>9344.7999999999993</v>
      </c>
      <c r="G6" s="2">
        <v>4997.2</v>
      </c>
      <c r="H6" s="2">
        <v>140</v>
      </c>
      <c r="I6" s="2" t="s">
        <v>30</v>
      </c>
      <c r="J6" s="2" t="s">
        <v>31</v>
      </c>
      <c r="K6" s="2">
        <f>COUNTIF(Master!A$2:A$1695,A6)</f>
        <v>1</v>
      </c>
      <c r="L6" s="2" t="str">
        <f>IFERROR(AVERAGEIFS(Master!P$2:P$1695,Master!A$2:A$1695,A6,Master!O$2:O$1695,"Relevant"),"")</f>
        <v/>
      </c>
    </row>
    <row r="7" spans="1:12" ht="15" customHeight="1" x14ac:dyDescent="0.2">
      <c r="A7" s="2">
        <v>6</v>
      </c>
      <c r="B7" s="2" t="s">
        <v>32</v>
      </c>
      <c r="C7" s="2" t="s">
        <v>17</v>
      </c>
      <c r="D7" s="2">
        <v>20010406</v>
      </c>
      <c r="E7" s="2">
        <v>20010411</v>
      </c>
      <c r="F7" s="2">
        <v>5508.7</v>
      </c>
      <c r="G7" s="2">
        <v>3094.8</v>
      </c>
      <c r="H7" s="2">
        <v>3</v>
      </c>
      <c r="I7" s="2" t="s">
        <v>33</v>
      </c>
      <c r="J7" s="2" t="s">
        <v>34</v>
      </c>
      <c r="K7" s="2">
        <f>COUNTIF(Master!A$2:A$1695,A7)</f>
        <v>0</v>
      </c>
      <c r="L7" s="2" t="str">
        <f>IFERROR(AVERAGEIFS(Master!P$2:P$1695,Master!A$2:A$1695,A7,Master!O$2:O$1695,"Relevant"),"")</f>
        <v/>
      </c>
    </row>
    <row r="8" spans="1:12" ht="15" customHeight="1" x14ac:dyDescent="0.2">
      <c r="A8" s="2">
        <v>7</v>
      </c>
      <c r="B8" s="2" t="s">
        <v>35</v>
      </c>
      <c r="C8" s="2" t="s">
        <v>17</v>
      </c>
      <c r="D8" s="2">
        <v>20010430</v>
      </c>
      <c r="E8" s="2">
        <v>20010501</v>
      </c>
      <c r="F8" s="2">
        <v>1194.3</v>
      </c>
      <c r="G8" s="2">
        <v>671</v>
      </c>
      <c r="H8" s="2">
        <v>0</v>
      </c>
      <c r="I8" s="2" t="s">
        <v>36</v>
      </c>
      <c r="J8" s="2" t="s">
        <v>37</v>
      </c>
      <c r="K8" s="2">
        <f>COUNTIF(Master!A$2:A$1695,A8)</f>
        <v>0</v>
      </c>
      <c r="L8" s="2" t="str">
        <f>IFERROR(AVERAGEIFS(Master!P$2:P$1695,Master!A$2:A$1695,A8,Master!O$2:O$1695,"Relevant"),"")</f>
        <v/>
      </c>
    </row>
    <row r="9" spans="1:12" ht="15" customHeight="1" x14ac:dyDescent="0.2">
      <c r="A9" s="2">
        <v>8</v>
      </c>
      <c r="B9" s="2" t="s">
        <v>38</v>
      </c>
      <c r="C9" s="2" t="s">
        <v>39</v>
      </c>
      <c r="D9" s="2">
        <v>20010605</v>
      </c>
      <c r="E9" s="2">
        <v>20010617</v>
      </c>
      <c r="F9" s="2">
        <v>15084</v>
      </c>
      <c r="G9" s="2">
        <v>8522</v>
      </c>
      <c r="H9" s="2">
        <v>43</v>
      </c>
      <c r="I9" s="2" t="s">
        <v>40</v>
      </c>
      <c r="J9" s="2" t="s">
        <v>41</v>
      </c>
      <c r="K9" s="2">
        <f>COUNTIF(Master!A$2:A$1695,A9)</f>
        <v>3</v>
      </c>
      <c r="L9" s="2" t="str">
        <f>IFERROR(AVERAGEIFS(Master!P$2:P$1695,Master!A$2:A$1695,A9,Master!O$2:O$1695,"Relevant"),"")</f>
        <v/>
      </c>
    </row>
    <row r="10" spans="1:12" ht="15" customHeight="1" x14ac:dyDescent="0.2">
      <c r="A10" s="2">
        <v>9</v>
      </c>
      <c r="B10" s="2" t="s">
        <v>42</v>
      </c>
      <c r="C10" s="2" t="s">
        <v>17</v>
      </c>
      <c r="D10" s="2">
        <v>20020427</v>
      </c>
      <c r="E10" s="2">
        <v>20020428</v>
      </c>
      <c r="F10" s="2">
        <v>3663.9</v>
      </c>
      <c r="G10" s="2">
        <v>2093.8000000000002</v>
      </c>
      <c r="H10" s="2">
        <v>7</v>
      </c>
      <c r="I10" s="2" t="s">
        <v>43</v>
      </c>
      <c r="J10" s="2" t="s">
        <v>44</v>
      </c>
      <c r="K10" s="2">
        <f>COUNTIF(Master!A$2:A$1695,A10)</f>
        <v>3</v>
      </c>
      <c r="L10" s="2" t="str">
        <f>IFERROR(AVERAGEIFS(Master!P$2:P$1695,Master!A$2:A$1695,A10,Master!O$2:O$1695,"Relevant"),"")</f>
        <v/>
      </c>
    </row>
    <row r="11" spans="1:12" ht="15" customHeight="1" x14ac:dyDescent="0.2">
      <c r="A11" s="2">
        <v>10</v>
      </c>
      <c r="B11" s="2" t="s">
        <v>45</v>
      </c>
      <c r="C11" s="2" t="s">
        <v>39</v>
      </c>
      <c r="D11" s="2">
        <v>20020801</v>
      </c>
      <c r="E11" s="2">
        <v>20020805</v>
      </c>
      <c r="F11" s="2">
        <v>1932.9</v>
      </c>
      <c r="G11" s="2">
        <v>1104.5</v>
      </c>
      <c r="H11" s="2">
        <v>2</v>
      </c>
      <c r="I11" s="2" t="s">
        <v>46</v>
      </c>
      <c r="J11" s="2" t="s">
        <v>41</v>
      </c>
      <c r="K11" s="2">
        <f>COUNTIF(Master!A$2:A$1695,A11)</f>
        <v>0</v>
      </c>
      <c r="L11" s="2" t="str">
        <f>IFERROR(AVERAGEIFS(Master!P$2:P$1695,Master!A$2:A$1695,A11,Master!O$2:O$1695,"Relevant"),"")</f>
        <v/>
      </c>
    </row>
    <row r="12" spans="1:12" ht="15" customHeight="1" x14ac:dyDescent="0.2">
      <c r="A12" s="2">
        <v>11</v>
      </c>
      <c r="B12" s="2" t="s">
        <v>47</v>
      </c>
      <c r="C12" s="2" t="s">
        <v>39</v>
      </c>
      <c r="D12" s="2">
        <v>20020925</v>
      </c>
      <c r="E12" s="2">
        <v>20020927</v>
      </c>
      <c r="F12" s="2">
        <v>2001</v>
      </c>
      <c r="G12" s="2">
        <v>1150</v>
      </c>
      <c r="H12" s="2">
        <v>5</v>
      </c>
      <c r="I12" s="2" t="s">
        <v>48</v>
      </c>
      <c r="J12" s="2" t="s">
        <v>49</v>
      </c>
      <c r="K12" s="2">
        <f>COUNTIF(Master!A$2:A$1695,A12)</f>
        <v>4</v>
      </c>
      <c r="L12" s="2" t="str">
        <f>IFERROR(AVERAGEIFS(Master!P$2:P$1695,Master!A$2:A$1695,A12,Master!O$2:O$1695,"Relevant"),"")</f>
        <v/>
      </c>
    </row>
    <row r="13" spans="1:12" ht="15" customHeight="1" x14ac:dyDescent="0.2">
      <c r="A13" s="2">
        <v>12</v>
      </c>
      <c r="B13" s="2" t="s">
        <v>50</v>
      </c>
      <c r="C13" s="2" t="s">
        <v>17</v>
      </c>
      <c r="D13" s="2">
        <v>20021109</v>
      </c>
      <c r="E13" s="2">
        <v>20021111</v>
      </c>
      <c r="F13" s="2">
        <v>1252.8</v>
      </c>
      <c r="G13" s="2">
        <v>720</v>
      </c>
      <c r="H13" s="2">
        <v>28</v>
      </c>
      <c r="I13" s="2" t="s">
        <v>51</v>
      </c>
      <c r="J13" s="2" t="s">
        <v>52</v>
      </c>
      <c r="K13" s="2">
        <f>COUNTIF(Master!A$2:A$1695,A13)</f>
        <v>1</v>
      </c>
      <c r="L13" s="2" t="str">
        <f>IFERROR(AVERAGEIFS(Master!P$2:P$1695,Master!A$2:A$1695,A13,Master!O$2:O$1695,"Relevant"),"")</f>
        <v/>
      </c>
    </row>
    <row r="14" spans="1:12" ht="15" customHeight="1" x14ac:dyDescent="0.2">
      <c r="A14" s="2">
        <v>13</v>
      </c>
      <c r="B14" s="2" t="s">
        <v>53</v>
      </c>
      <c r="C14" s="2" t="s">
        <v>21</v>
      </c>
      <c r="D14" s="2">
        <v>20020901</v>
      </c>
      <c r="E14" s="2">
        <v>20021130</v>
      </c>
      <c r="F14" s="2">
        <v>2301.8000000000002</v>
      </c>
      <c r="G14" s="2">
        <v>1322.8</v>
      </c>
      <c r="H14" s="2">
        <v>21</v>
      </c>
      <c r="I14" s="2" t="s">
        <v>22</v>
      </c>
      <c r="J14" s="2" t="s">
        <v>23</v>
      </c>
      <c r="K14" s="2">
        <f>COUNTIF(Master!A$2:A$1695,A14)</f>
        <v>2</v>
      </c>
      <c r="L14" s="2" t="str">
        <f>IFERROR(AVERAGEIFS(Master!P$2:P$1695,Master!A$2:A$1695,A14,Master!O$2:O$1695,"Relevant"),"")</f>
        <v/>
      </c>
    </row>
    <row r="15" spans="1:12" ht="15" customHeight="1" x14ac:dyDescent="0.2">
      <c r="A15" s="2">
        <v>14</v>
      </c>
      <c r="B15" s="2" t="s">
        <v>54</v>
      </c>
      <c r="C15" s="2" t="s">
        <v>29</v>
      </c>
      <c r="D15" s="2">
        <v>20020301</v>
      </c>
      <c r="E15" s="2">
        <v>20021130</v>
      </c>
      <c r="F15" s="2">
        <v>16031.6</v>
      </c>
      <c r="G15" s="2">
        <v>9006.4</v>
      </c>
      <c r="H15" s="2">
        <v>0</v>
      </c>
      <c r="I15" s="2" t="s">
        <v>43</v>
      </c>
      <c r="J15" s="2" t="s">
        <v>44</v>
      </c>
      <c r="K15" s="2">
        <f>COUNTIF(Master!A$2:A$1695,A15)</f>
        <v>4</v>
      </c>
      <c r="L15" s="2" t="str">
        <f>IFERROR(AVERAGEIFS(Master!P$2:P$1695,Master!A$2:A$1695,A15,Master!O$2:O$1695,"Relevant"),"")</f>
        <v/>
      </c>
    </row>
    <row r="16" spans="1:12" ht="15" customHeight="1" x14ac:dyDescent="0.2">
      <c r="A16" s="2">
        <v>15</v>
      </c>
      <c r="B16" s="2" t="s">
        <v>55</v>
      </c>
      <c r="C16" s="2" t="s">
        <v>17</v>
      </c>
      <c r="D16" s="2">
        <v>20030404</v>
      </c>
      <c r="E16" s="2">
        <v>20030407</v>
      </c>
      <c r="F16" s="2">
        <v>3451</v>
      </c>
      <c r="G16" s="2">
        <v>2006.3</v>
      </c>
      <c r="H16" s="2">
        <v>3</v>
      </c>
      <c r="I16" s="2" t="s">
        <v>43</v>
      </c>
      <c r="J16" s="2" t="s">
        <v>44</v>
      </c>
      <c r="K16" s="2">
        <f>COUNTIF(Master!A$2:A$1695,A16)</f>
        <v>0</v>
      </c>
      <c r="L16" s="2" t="str">
        <f>IFERROR(AVERAGEIFS(Master!P$2:P$1695,Master!A$2:A$1695,A16,Master!O$2:O$1695,"Relevant"),"")</f>
        <v/>
      </c>
    </row>
    <row r="17" spans="1:12" ht="15" customHeight="1" x14ac:dyDescent="0.2">
      <c r="A17" s="2">
        <v>16</v>
      </c>
      <c r="B17" s="2" t="s">
        <v>56</v>
      </c>
      <c r="C17" s="2" t="s">
        <v>17</v>
      </c>
      <c r="D17" s="2">
        <v>20030503</v>
      </c>
      <c r="E17" s="2">
        <v>20030510</v>
      </c>
      <c r="F17" s="2">
        <v>7100.9</v>
      </c>
      <c r="G17" s="2">
        <v>4128.3999999999996</v>
      </c>
      <c r="H17" s="2">
        <v>51</v>
      </c>
      <c r="I17" s="2" t="s">
        <v>43</v>
      </c>
      <c r="J17" s="2" t="s">
        <v>44</v>
      </c>
      <c r="K17" s="2">
        <f>COUNTIF(Master!A$2:A$1695,A17)</f>
        <v>6</v>
      </c>
      <c r="L17" s="2" t="str">
        <f>IFERROR(AVERAGEIFS(Master!P$2:P$1695,Master!A$2:A$1695,A17,Master!O$2:O$1695,"Relevant"),"")</f>
        <v/>
      </c>
    </row>
    <row r="18" spans="1:12" ht="15" customHeight="1" x14ac:dyDescent="0.2">
      <c r="A18" s="2">
        <v>17</v>
      </c>
      <c r="B18" s="2" t="s">
        <v>57</v>
      </c>
      <c r="C18" s="2" t="s">
        <v>17</v>
      </c>
      <c r="D18" s="2">
        <v>20030704</v>
      </c>
      <c r="E18" s="2">
        <v>20030709</v>
      </c>
      <c r="F18" s="2">
        <v>1476</v>
      </c>
      <c r="G18" s="2">
        <v>858.1</v>
      </c>
      <c r="H18" s="2">
        <v>7</v>
      </c>
      <c r="I18" s="2" t="s">
        <v>58</v>
      </c>
      <c r="J18" s="2" t="s">
        <v>59</v>
      </c>
      <c r="K18" s="2">
        <f>COUNTIF(Master!A$2:A$1695,A18)</f>
        <v>0</v>
      </c>
      <c r="L18" s="2" t="str">
        <f>IFERROR(AVERAGEIFS(Master!P$2:P$1695,Master!A$2:A$1695,A18,Master!O$2:O$1695,"Relevant"),"")</f>
        <v/>
      </c>
    </row>
    <row r="19" spans="1:12" ht="15" customHeight="1" x14ac:dyDescent="0.2">
      <c r="A19" s="2">
        <v>18</v>
      </c>
      <c r="B19" s="2" t="s">
        <v>60</v>
      </c>
      <c r="C19" s="2" t="s">
        <v>17</v>
      </c>
      <c r="D19" s="2">
        <v>20030721</v>
      </c>
      <c r="E19" s="2">
        <v>20030723</v>
      </c>
      <c r="F19" s="2">
        <v>1734.2</v>
      </c>
      <c r="G19" s="2">
        <v>1008.2</v>
      </c>
      <c r="H19" s="2">
        <v>7</v>
      </c>
      <c r="I19" s="2" t="s">
        <v>61</v>
      </c>
      <c r="J19" s="2" t="s">
        <v>62</v>
      </c>
      <c r="K19" s="2">
        <f>COUNTIF(Master!A$2:A$1695,A19)</f>
        <v>0</v>
      </c>
      <c r="L19" s="2" t="str">
        <f>IFERROR(AVERAGEIFS(Master!P$2:P$1695,Master!A$2:A$1695,A19,Master!O$2:O$1695,"Relevant"),"")</f>
        <v/>
      </c>
    </row>
    <row r="20" spans="1:12" ht="15" customHeight="1" x14ac:dyDescent="0.2">
      <c r="A20" s="2">
        <v>19</v>
      </c>
      <c r="B20" s="2" t="s">
        <v>63</v>
      </c>
      <c r="C20" s="2" t="s">
        <v>39</v>
      </c>
      <c r="D20" s="2">
        <v>20030918</v>
      </c>
      <c r="E20" s="2">
        <v>20030919</v>
      </c>
      <c r="F20" s="2">
        <v>9322.9</v>
      </c>
      <c r="G20" s="2">
        <v>5484</v>
      </c>
      <c r="H20" s="2">
        <v>55</v>
      </c>
      <c r="I20" s="2" t="s">
        <v>64</v>
      </c>
      <c r="J20" s="2" t="s">
        <v>52</v>
      </c>
      <c r="K20" s="2">
        <f>COUNTIF(Master!A$2:A$1695,A20)</f>
        <v>3</v>
      </c>
      <c r="L20" s="2" t="str">
        <f>IFERROR(AVERAGEIFS(Master!P$2:P$1695,Master!A$2:A$1695,A20,Master!O$2:O$1695,"Relevant"),"")</f>
        <v/>
      </c>
    </row>
    <row r="21" spans="1:12" ht="15" customHeight="1" x14ac:dyDescent="0.2">
      <c r="A21" s="2">
        <v>20</v>
      </c>
      <c r="B21" s="2" t="s">
        <v>65</v>
      </c>
      <c r="C21" s="2" t="s">
        <v>21</v>
      </c>
      <c r="D21" s="2">
        <v>20030901</v>
      </c>
      <c r="E21" s="2">
        <v>20031130</v>
      </c>
      <c r="F21" s="2">
        <v>6613.7</v>
      </c>
      <c r="G21" s="2">
        <v>3890.4</v>
      </c>
      <c r="H21" s="2">
        <v>22</v>
      </c>
      <c r="I21" s="2" t="s">
        <v>66</v>
      </c>
      <c r="J21" s="2" t="s">
        <v>67</v>
      </c>
      <c r="K21" s="2">
        <f>COUNTIF(Master!A$2:A$1695,A21)</f>
        <v>9</v>
      </c>
      <c r="L21" s="2" t="str">
        <f>IFERROR(AVERAGEIFS(Master!P$2:P$1695,Master!A$2:A$1695,A21,Master!O$2:O$1695,"Relevant"),"")</f>
        <v/>
      </c>
    </row>
    <row r="22" spans="1:12" ht="15" customHeight="1" x14ac:dyDescent="0.2">
      <c r="A22" s="2">
        <v>21</v>
      </c>
      <c r="B22" s="2" t="s">
        <v>68</v>
      </c>
      <c r="C22" s="2" t="s">
        <v>29</v>
      </c>
      <c r="D22" s="2">
        <v>20030301</v>
      </c>
      <c r="E22" s="2">
        <v>20031130</v>
      </c>
      <c r="F22" s="2">
        <v>8731.1</v>
      </c>
      <c r="G22" s="2">
        <v>5017.7</v>
      </c>
      <c r="H22" s="2">
        <v>35</v>
      </c>
      <c r="I22" s="2" t="s">
        <v>69</v>
      </c>
      <c r="J22" s="2" t="s">
        <v>70</v>
      </c>
      <c r="K22" s="2">
        <f>COUNTIF(Master!A$2:A$1695,A22)</f>
        <v>1</v>
      </c>
      <c r="L22" s="2" t="str">
        <f>IFERROR(AVERAGEIFS(Master!P$2:P$1695,Master!A$2:A$1695,A22,Master!O$2:O$1695,"Relevant"),"")</f>
        <v/>
      </c>
    </row>
    <row r="23" spans="1:12" ht="15" customHeight="1" x14ac:dyDescent="0.2">
      <c r="A23" s="2">
        <v>22</v>
      </c>
      <c r="B23" s="2" t="s">
        <v>71</v>
      </c>
      <c r="C23" s="2" t="s">
        <v>17</v>
      </c>
      <c r="D23" s="2">
        <v>20040521</v>
      </c>
      <c r="E23" s="2">
        <v>20040527</v>
      </c>
      <c r="F23" s="2">
        <v>1693.3</v>
      </c>
      <c r="G23" s="2">
        <v>1013.9</v>
      </c>
      <c r="H23" s="2">
        <v>4</v>
      </c>
      <c r="I23" s="2" t="s">
        <v>43</v>
      </c>
      <c r="J23" s="2" t="s">
        <v>44</v>
      </c>
      <c r="K23" s="2">
        <f>COUNTIF(Master!A$2:A$1695,A23)</f>
        <v>0</v>
      </c>
      <c r="L23" s="2" t="str">
        <f>IFERROR(AVERAGEIFS(Master!P$2:P$1695,Master!A$2:A$1695,A23,Master!O$2:O$1695,"Relevant"),"")</f>
        <v/>
      </c>
    </row>
    <row r="24" spans="1:12" ht="15" customHeight="1" x14ac:dyDescent="0.2">
      <c r="A24" s="2">
        <v>23</v>
      </c>
      <c r="B24" s="2" t="s">
        <v>72</v>
      </c>
      <c r="C24" s="2" t="s">
        <v>17</v>
      </c>
      <c r="D24" s="2">
        <v>20040608</v>
      </c>
      <c r="E24" s="2">
        <v>20040609</v>
      </c>
      <c r="F24" s="2">
        <v>1153.7</v>
      </c>
      <c r="G24" s="2">
        <v>695</v>
      </c>
      <c r="H24" s="2">
        <v>0</v>
      </c>
      <c r="I24" s="2" t="s">
        <v>73</v>
      </c>
      <c r="J24" s="2" t="s">
        <v>74</v>
      </c>
      <c r="K24" s="2">
        <f>COUNTIF(Master!A$2:A$1695,A24)</f>
        <v>0</v>
      </c>
      <c r="L24" s="2" t="str">
        <f>IFERROR(AVERAGEIFS(Master!P$2:P$1695,Master!A$2:A$1695,A24,Master!O$2:O$1695,"Relevant"),"")</f>
        <v/>
      </c>
    </row>
    <row r="25" spans="1:12" ht="15" customHeight="1" x14ac:dyDescent="0.2">
      <c r="A25" s="2">
        <v>24</v>
      </c>
      <c r="B25" s="2" t="s">
        <v>75</v>
      </c>
      <c r="C25" s="2" t="s">
        <v>39</v>
      </c>
      <c r="D25" s="2">
        <v>20040813</v>
      </c>
      <c r="E25" s="2">
        <v>20040814</v>
      </c>
      <c r="F25" s="2">
        <v>26559.200000000001</v>
      </c>
      <c r="G25" s="2">
        <v>15999.5</v>
      </c>
      <c r="H25" s="2">
        <v>35</v>
      </c>
      <c r="I25" s="2" t="s">
        <v>76</v>
      </c>
      <c r="J25" s="2" t="s">
        <v>27</v>
      </c>
      <c r="K25" s="2">
        <f>COUNTIF(Master!A$2:A$1695,A25)</f>
        <v>6</v>
      </c>
      <c r="L25" s="2" t="str">
        <f>IFERROR(AVERAGEIFS(Master!P$2:P$1695,Master!A$2:A$1695,A25,Master!O$2:O$1695,"Relevant"),"")</f>
        <v/>
      </c>
    </row>
    <row r="26" spans="1:12" ht="15" customHeight="1" x14ac:dyDescent="0.2">
      <c r="A26" s="2">
        <v>25</v>
      </c>
      <c r="B26" s="2" t="s">
        <v>77</v>
      </c>
      <c r="C26" s="2" t="s">
        <v>39</v>
      </c>
      <c r="D26" s="2">
        <v>20040903</v>
      </c>
      <c r="E26" s="2">
        <v>20040909</v>
      </c>
      <c r="F26" s="2">
        <v>16268</v>
      </c>
      <c r="G26" s="2">
        <v>9800</v>
      </c>
      <c r="H26" s="2">
        <v>48</v>
      </c>
      <c r="I26" s="2" t="s">
        <v>78</v>
      </c>
      <c r="J26" s="2" t="s">
        <v>27</v>
      </c>
      <c r="K26" s="2">
        <f>COUNTIF(Master!A$2:A$1695,A26)</f>
        <v>5</v>
      </c>
      <c r="L26" s="2" t="str">
        <f>IFERROR(AVERAGEIFS(Master!P$2:P$1695,Master!A$2:A$1695,A26,Master!O$2:O$1695,"Relevant"),"")</f>
        <v/>
      </c>
    </row>
    <row r="27" spans="1:12" ht="15" customHeight="1" x14ac:dyDescent="0.2">
      <c r="A27" s="2">
        <v>26</v>
      </c>
      <c r="B27" s="2" t="s">
        <v>79</v>
      </c>
      <c r="C27" s="2" t="s">
        <v>39</v>
      </c>
      <c r="D27" s="2">
        <v>20040912</v>
      </c>
      <c r="E27" s="2">
        <v>20040921</v>
      </c>
      <c r="F27" s="2">
        <v>34031</v>
      </c>
      <c r="G27" s="2">
        <v>20500.5</v>
      </c>
      <c r="H27" s="2">
        <v>57</v>
      </c>
      <c r="I27" s="2" t="s">
        <v>80</v>
      </c>
      <c r="J27" s="2" t="s">
        <v>15</v>
      </c>
      <c r="K27" s="2">
        <f>COUNTIF(Master!A$2:A$1695,A27)</f>
        <v>7</v>
      </c>
      <c r="L27" s="2" t="str">
        <f>IFERROR(AVERAGEIFS(Master!P$2:P$1695,Master!A$2:A$1695,A27,Master!O$2:O$1695,"Relevant"),"")</f>
        <v/>
      </c>
    </row>
    <row r="28" spans="1:12" ht="15" customHeight="1" x14ac:dyDescent="0.2">
      <c r="A28" s="2">
        <v>27</v>
      </c>
      <c r="B28" s="2" t="s">
        <v>81</v>
      </c>
      <c r="C28" s="2" t="s">
        <v>39</v>
      </c>
      <c r="D28" s="2">
        <v>20040915</v>
      </c>
      <c r="E28" s="2">
        <v>20040929</v>
      </c>
      <c r="F28" s="2">
        <v>12444.5</v>
      </c>
      <c r="G28" s="2">
        <v>7496.5</v>
      </c>
      <c r="H28" s="2">
        <v>28</v>
      </c>
      <c r="I28" s="2" t="s">
        <v>26</v>
      </c>
      <c r="J28" s="2" t="s">
        <v>27</v>
      </c>
      <c r="K28" s="2">
        <f>COUNTIF(Master!A$2:A$1695,A28)</f>
        <v>5</v>
      </c>
      <c r="L28" s="2" t="str">
        <f>IFERROR(AVERAGEIFS(Master!P$2:P$1695,Master!A$2:A$1695,A28,Master!O$2:O$1695,"Relevant"),"")</f>
        <v/>
      </c>
    </row>
    <row r="29" spans="1:12" ht="15" customHeight="1" x14ac:dyDescent="0.2">
      <c r="A29" s="2">
        <v>28</v>
      </c>
      <c r="B29" s="2" t="s">
        <v>82</v>
      </c>
      <c r="C29" s="2" t="s">
        <v>17</v>
      </c>
      <c r="D29" s="2">
        <v>20050324</v>
      </c>
      <c r="E29" s="2">
        <v>20050327</v>
      </c>
      <c r="F29" s="2">
        <v>1410</v>
      </c>
      <c r="G29" s="2">
        <v>865</v>
      </c>
      <c r="H29" s="2">
        <v>0</v>
      </c>
      <c r="I29" s="2" t="s">
        <v>14</v>
      </c>
      <c r="J29" s="2" t="s">
        <v>15</v>
      </c>
      <c r="K29" s="2">
        <f>COUNTIF(Master!A$2:A$1695,A29)</f>
        <v>0</v>
      </c>
      <c r="L29" s="2" t="str">
        <f>IFERROR(AVERAGEIFS(Master!P$2:P$1695,Master!A$2:A$1695,A29,Master!O$2:O$1695,"Relevant"),"")</f>
        <v/>
      </c>
    </row>
    <row r="30" spans="1:12" ht="15" customHeight="1" x14ac:dyDescent="0.2">
      <c r="A30" s="2">
        <v>29</v>
      </c>
      <c r="B30" s="2" t="s">
        <v>83</v>
      </c>
      <c r="C30" s="2" t="s">
        <v>39</v>
      </c>
      <c r="D30" s="2">
        <v>20050709</v>
      </c>
      <c r="E30" s="2">
        <v>20050711</v>
      </c>
      <c r="F30" s="2">
        <v>4017</v>
      </c>
      <c r="G30" s="2">
        <v>2495</v>
      </c>
      <c r="H30" s="2">
        <v>15</v>
      </c>
      <c r="I30" s="2" t="s">
        <v>84</v>
      </c>
      <c r="J30" s="2" t="s">
        <v>15</v>
      </c>
      <c r="K30" s="2">
        <f>COUNTIF(Master!A$2:A$1695,A30)</f>
        <v>6</v>
      </c>
      <c r="L30" s="2" t="str">
        <f>IFERROR(AVERAGEIFS(Master!P$2:P$1695,Master!A$2:A$1695,A30,Master!O$2:O$1695,"Relevant"),"")</f>
        <v/>
      </c>
    </row>
    <row r="31" spans="1:12" ht="15" customHeight="1" x14ac:dyDescent="0.2">
      <c r="A31" s="2">
        <v>30</v>
      </c>
      <c r="B31" s="2" t="s">
        <v>85</v>
      </c>
      <c r="C31" s="2" t="s">
        <v>39</v>
      </c>
      <c r="D31" s="2">
        <v>20050825</v>
      </c>
      <c r="E31" s="2">
        <v>20050830</v>
      </c>
      <c r="F31" s="2">
        <v>201297.5</v>
      </c>
      <c r="G31" s="2">
        <v>125029.5</v>
      </c>
      <c r="H31" s="2">
        <v>1833</v>
      </c>
      <c r="I31" s="2" t="s">
        <v>86</v>
      </c>
      <c r="J31" s="2" t="s">
        <v>19</v>
      </c>
      <c r="K31" s="2">
        <f>COUNTIF(Master!A$2:A$1695,A31)</f>
        <v>7</v>
      </c>
      <c r="L31" s="2" t="str">
        <f>IFERROR(AVERAGEIFS(Master!P$2:P$1695,Master!A$2:A$1695,A31,Master!O$2:O$1695,"Relevant"),"")</f>
        <v/>
      </c>
    </row>
    <row r="32" spans="1:12" ht="15" customHeight="1" x14ac:dyDescent="0.2">
      <c r="A32" s="2">
        <v>31</v>
      </c>
      <c r="B32" s="2" t="s">
        <v>87</v>
      </c>
      <c r="C32" s="2" t="s">
        <v>29</v>
      </c>
      <c r="D32" s="2">
        <v>20050301</v>
      </c>
      <c r="E32" s="2">
        <v>20050831</v>
      </c>
      <c r="F32" s="2">
        <v>2433.6</v>
      </c>
      <c r="G32" s="2">
        <v>1474.8</v>
      </c>
      <c r="H32" s="2">
        <v>0</v>
      </c>
      <c r="I32" s="2" t="s">
        <v>36</v>
      </c>
      <c r="J32" s="2" t="s">
        <v>37</v>
      </c>
      <c r="K32" s="2">
        <f>COUNTIF(Master!A$2:A$1695,A32)</f>
        <v>3</v>
      </c>
      <c r="L32" s="2" t="str">
        <f>IFERROR(AVERAGEIFS(Master!P$2:P$1695,Master!A$2:A$1695,A32,Master!O$2:O$1695,"Relevant"),"")</f>
        <v/>
      </c>
    </row>
    <row r="33" spans="1:12" ht="15" customHeight="1" x14ac:dyDescent="0.2">
      <c r="A33" s="2">
        <v>32</v>
      </c>
      <c r="B33" s="2" t="s">
        <v>88</v>
      </c>
      <c r="C33" s="2" t="s">
        <v>39</v>
      </c>
      <c r="D33" s="2">
        <v>20050920</v>
      </c>
      <c r="E33" s="2">
        <v>20050924</v>
      </c>
      <c r="F33" s="2">
        <v>29415.200000000001</v>
      </c>
      <c r="G33" s="2">
        <v>18500.099999999999</v>
      </c>
      <c r="H33" s="2">
        <v>119</v>
      </c>
      <c r="I33" s="2" t="s">
        <v>40</v>
      </c>
      <c r="J33" s="2" t="s">
        <v>41</v>
      </c>
      <c r="K33" s="2">
        <f>COUNTIF(Master!A$2:A$1695,A33)</f>
        <v>10</v>
      </c>
      <c r="L33" s="2" t="str">
        <f>IFERROR(AVERAGEIFS(Master!P$2:P$1695,Master!A$2:A$1695,A33,Master!O$2:O$1695,"Relevant"),"")</f>
        <v/>
      </c>
    </row>
    <row r="34" spans="1:12" ht="15" customHeight="1" x14ac:dyDescent="0.2">
      <c r="A34" s="2">
        <v>33</v>
      </c>
      <c r="B34" s="2" t="s">
        <v>89</v>
      </c>
      <c r="C34" s="2" t="s">
        <v>39</v>
      </c>
      <c r="D34" s="2">
        <v>20051024</v>
      </c>
      <c r="E34" s="2">
        <v>20051024</v>
      </c>
      <c r="F34" s="2">
        <v>30020</v>
      </c>
      <c r="G34" s="2">
        <v>19000</v>
      </c>
      <c r="H34" s="2">
        <v>35</v>
      </c>
      <c r="I34" s="2" t="s">
        <v>26</v>
      </c>
      <c r="J34" s="2" t="s">
        <v>27</v>
      </c>
      <c r="K34" s="2">
        <f>COUNTIF(Master!A$2:A$1695,A34)</f>
        <v>3</v>
      </c>
      <c r="L34" s="2" t="str">
        <f>IFERROR(AVERAGEIFS(Master!P$2:P$1695,Master!A$2:A$1695,A34,Master!O$2:O$1695,"Relevant"),"")</f>
        <v/>
      </c>
    </row>
    <row r="35" spans="1:12" ht="15" customHeight="1" x14ac:dyDescent="0.2">
      <c r="A35" s="2">
        <v>34</v>
      </c>
      <c r="B35" s="2" t="s">
        <v>90</v>
      </c>
      <c r="C35" s="2" t="s">
        <v>17</v>
      </c>
      <c r="D35" s="2">
        <v>20060308</v>
      </c>
      <c r="E35" s="2">
        <v>20060313</v>
      </c>
      <c r="F35" s="2">
        <v>2113.3000000000002</v>
      </c>
      <c r="G35" s="2">
        <v>1337.5</v>
      </c>
      <c r="H35" s="2">
        <v>10</v>
      </c>
      <c r="I35" s="2" t="s">
        <v>43</v>
      </c>
      <c r="J35" s="2" t="s">
        <v>44</v>
      </c>
      <c r="K35" s="2">
        <f>COUNTIF(Master!A$2:A$1695,A35)</f>
        <v>0</v>
      </c>
      <c r="L35" s="2" t="str">
        <f>IFERROR(AVERAGEIFS(Master!P$2:P$1695,Master!A$2:A$1695,A35,Master!O$2:O$1695,"Relevant"),"")</f>
        <v/>
      </c>
    </row>
    <row r="36" spans="1:12" ht="15" customHeight="1" x14ac:dyDescent="0.2">
      <c r="A36" s="2">
        <v>35</v>
      </c>
      <c r="B36" s="2" t="s">
        <v>91</v>
      </c>
      <c r="C36" s="2" t="s">
        <v>17</v>
      </c>
      <c r="D36" s="2">
        <v>20060406</v>
      </c>
      <c r="E36" s="2">
        <v>20060408</v>
      </c>
      <c r="F36" s="2">
        <v>2518.1999999999998</v>
      </c>
      <c r="G36" s="2">
        <v>1603.8</v>
      </c>
      <c r="H36" s="2">
        <v>10</v>
      </c>
      <c r="I36" s="2" t="s">
        <v>92</v>
      </c>
      <c r="J36" s="2" t="s">
        <v>34</v>
      </c>
      <c r="K36" s="2">
        <f>COUNTIF(Master!A$2:A$1695,A36)</f>
        <v>0</v>
      </c>
      <c r="L36" s="2" t="str">
        <f>IFERROR(AVERAGEIFS(Master!P$2:P$1695,Master!A$2:A$1695,A36,Master!O$2:O$1695,"Relevant"),"")</f>
        <v/>
      </c>
    </row>
    <row r="37" spans="1:12" ht="15" customHeight="1" x14ac:dyDescent="0.2">
      <c r="A37" s="2">
        <v>36</v>
      </c>
      <c r="B37" s="2" t="s">
        <v>93</v>
      </c>
      <c r="C37" s="2" t="s">
        <v>17</v>
      </c>
      <c r="D37" s="2">
        <v>20060413</v>
      </c>
      <c r="E37" s="2">
        <v>20060416</v>
      </c>
      <c r="F37" s="2">
        <v>3804.9</v>
      </c>
      <c r="G37" s="2">
        <v>2423.5</v>
      </c>
      <c r="H37" s="2">
        <v>27</v>
      </c>
      <c r="I37" s="2" t="s">
        <v>36</v>
      </c>
      <c r="J37" s="2" t="s">
        <v>37</v>
      </c>
      <c r="K37" s="2">
        <f>COUNTIF(Master!A$2:A$1695,A37)</f>
        <v>3</v>
      </c>
      <c r="L37" s="2" t="str">
        <f>IFERROR(AVERAGEIFS(Master!P$2:P$1695,Master!A$2:A$1695,A37,Master!O$2:O$1695,"Relevant"),"")</f>
        <v/>
      </c>
    </row>
    <row r="38" spans="1:12" ht="15" customHeight="1" x14ac:dyDescent="0.2">
      <c r="A38" s="2">
        <v>37</v>
      </c>
      <c r="B38" s="2" t="s">
        <v>94</v>
      </c>
      <c r="C38" s="2" t="s">
        <v>25</v>
      </c>
      <c r="D38" s="2">
        <v>20060625</v>
      </c>
      <c r="E38" s="2">
        <v>20060628</v>
      </c>
      <c r="F38" s="2">
        <v>2358.5</v>
      </c>
      <c r="G38" s="2">
        <v>1521.6</v>
      </c>
      <c r="H38" s="2">
        <v>20</v>
      </c>
      <c r="I38" s="2" t="s">
        <v>95</v>
      </c>
      <c r="J38" s="2" t="s">
        <v>96</v>
      </c>
      <c r="K38" s="2">
        <f>COUNTIF(Master!A$2:A$1695,A38)</f>
        <v>3</v>
      </c>
      <c r="L38" s="2" t="str">
        <f>IFERROR(AVERAGEIFS(Master!P$2:P$1695,Master!A$2:A$1695,A38,Master!O$2:O$1695,"Relevant"),"")</f>
        <v/>
      </c>
    </row>
    <row r="39" spans="1:12" ht="15" customHeight="1" x14ac:dyDescent="0.2">
      <c r="A39" s="2">
        <v>38</v>
      </c>
      <c r="B39" s="2" t="s">
        <v>97</v>
      </c>
      <c r="C39" s="2" t="s">
        <v>17</v>
      </c>
      <c r="D39" s="2">
        <v>20060823</v>
      </c>
      <c r="E39" s="2">
        <v>20060824</v>
      </c>
      <c r="F39" s="2">
        <v>1176.5999999999999</v>
      </c>
      <c r="G39" s="2">
        <v>759</v>
      </c>
      <c r="H39" s="2">
        <v>1</v>
      </c>
      <c r="I39" s="2" t="s">
        <v>36</v>
      </c>
      <c r="J39" s="2" t="s">
        <v>37</v>
      </c>
      <c r="K39" s="2">
        <f>COUNTIF(Master!A$2:A$1695,A39)</f>
        <v>0</v>
      </c>
      <c r="L39" s="2" t="str">
        <f>IFERROR(AVERAGEIFS(Master!P$2:P$1695,Master!A$2:A$1695,A39,Master!O$2:O$1695,"Relevant"),"")</f>
        <v/>
      </c>
    </row>
    <row r="40" spans="1:12" ht="15" customHeight="1" x14ac:dyDescent="0.2">
      <c r="A40" s="2">
        <v>39</v>
      </c>
      <c r="B40" s="2" t="s">
        <v>98</v>
      </c>
      <c r="C40" s="2" t="s">
        <v>29</v>
      </c>
      <c r="D40" s="2">
        <v>20060301</v>
      </c>
      <c r="E40" s="2">
        <v>20060831</v>
      </c>
      <c r="F40" s="2">
        <v>9536.7000000000007</v>
      </c>
      <c r="G40" s="2">
        <v>5997.9</v>
      </c>
      <c r="H40" s="2">
        <v>0</v>
      </c>
      <c r="I40" s="2" t="s">
        <v>99</v>
      </c>
      <c r="J40" s="2" t="s">
        <v>100</v>
      </c>
      <c r="K40" s="2">
        <f>COUNTIF(Master!A$2:A$1695,A40)</f>
        <v>0</v>
      </c>
      <c r="L40" s="2" t="str">
        <f>IFERROR(AVERAGEIFS(Master!P$2:P$1695,Master!A$2:A$1695,A40,Master!O$2:O$1695,"Relevant"),"")</f>
        <v/>
      </c>
    </row>
    <row r="41" spans="1:12" ht="15" customHeight="1" x14ac:dyDescent="0.2">
      <c r="A41" s="2">
        <v>40</v>
      </c>
      <c r="B41" s="2" t="s">
        <v>101</v>
      </c>
      <c r="C41" s="2" t="s">
        <v>17</v>
      </c>
      <c r="D41" s="2">
        <v>20061002</v>
      </c>
      <c r="E41" s="2">
        <v>20061005</v>
      </c>
      <c r="F41" s="2">
        <v>1371.3</v>
      </c>
      <c r="G41" s="2">
        <v>879</v>
      </c>
      <c r="H41" s="2">
        <v>1</v>
      </c>
      <c r="I41" s="2" t="s">
        <v>102</v>
      </c>
      <c r="J41" s="2" t="s">
        <v>103</v>
      </c>
      <c r="K41" s="2">
        <f>COUNTIF(Master!A$2:A$1695,A41)</f>
        <v>0</v>
      </c>
      <c r="L41" s="2" t="str">
        <f>IFERROR(AVERAGEIFS(Master!P$2:P$1695,Master!A$2:A$1695,A41,Master!O$2:O$1695,"Relevant"),"")</f>
        <v/>
      </c>
    </row>
    <row r="42" spans="1:12" ht="15" customHeight="1" x14ac:dyDescent="0.2">
      <c r="A42" s="2">
        <v>41</v>
      </c>
      <c r="B42" s="2" t="s">
        <v>104</v>
      </c>
      <c r="C42" s="2" t="s">
        <v>21</v>
      </c>
      <c r="D42" s="2">
        <v>20060101</v>
      </c>
      <c r="E42" s="2">
        <v>20061231</v>
      </c>
      <c r="F42" s="2">
        <v>2332.8000000000002</v>
      </c>
      <c r="G42" s="2">
        <v>1467.1</v>
      </c>
      <c r="H42" s="2">
        <v>28</v>
      </c>
      <c r="I42" s="2" t="s">
        <v>43</v>
      </c>
      <c r="J42" s="2" t="s">
        <v>44</v>
      </c>
      <c r="K42" s="2">
        <f>COUNTIF(Master!A$2:A$1695,A42)</f>
        <v>2</v>
      </c>
      <c r="L42" s="2" t="str">
        <f>IFERROR(AVERAGEIFS(Master!P$2:P$1695,Master!A$2:A$1695,A42,Master!O$2:O$1695,"Relevant"),"")</f>
        <v/>
      </c>
    </row>
    <row r="43" spans="1:12" ht="15" customHeight="1" x14ac:dyDescent="0.2">
      <c r="A43" s="2">
        <v>42</v>
      </c>
      <c r="B43" s="2" t="s">
        <v>105</v>
      </c>
      <c r="C43" s="2" t="s">
        <v>106</v>
      </c>
      <c r="D43" s="2">
        <v>20070111</v>
      </c>
      <c r="E43" s="2">
        <v>20070117</v>
      </c>
      <c r="F43" s="2">
        <v>2184</v>
      </c>
      <c r="G43" s="2">
        <v>1400</v>
      </c>
      <c r="H43" s="2">
        <v>1</v>
      </c>
      <c r="I43" s="2" t="s">
        <v>66</v>
      </c>
      <c r="J43" s="2" t="s">
        <v>67</v>
      </c>
      <c r="K43" s="2">
        <f>COUNTIF(Master!A$2:A$1695,A43)</f>
        <v>4</v>
      </c>
      <c r="L43" s="2" t="str">
        <f>IFERROR(AVERAGEIFS(Master!P$2:P$1695,Master!A$2:A$1695,A43,Master!O$2:O$1695,"Relevant"),"")</f>
        <v/>
      </c>
    </row>
    <row r="44" spans="1:12" ht="15" customHeight="1" x14ac:dyDescent="0.2">
      <c r="A44" s="2">
        <v>43</v>
      </c>
      <c r="B44" s="2" t="s">
        <v>107</v>
      </c>
      <c r="C44" s="2" t="s">
        <v>106</v>
      </c>
      <c r="D44" s="2">
        <v>20070404</v>
      </c>
      <c r="E44" s="2">
        <v>20070410</v>
      </c>
      <c r="F44" s="2">
        <v>3188.5</v>
      </c>
      <c r="G44" s="2">
        <v>2044</v>
      </c>
      <c r="H44" s="2">
        <v>0</v>
      </c>
      <c r="I44" s="2" t="s">
        <v>108</v>
      </c>
      <c r="J44" s="2" t="s">
        <v>109</v>
      </c>
      <c r="K44" s="2">
        <f>COUNTIF(Master!A$2:A$1695,A44)</f>
        <v>0</v>
      </c>
      <c r="L44" s="2" t="str">
        <f>IFERROR(AVERAGEIFS(Master!P$2:P$1695,Master!A$2:A$1695,A44,Master!O$2:O$1695,"Relevant"),"")</f>
        <v/>
      </c>
    </row>
    <row r="45" spans="1:12" ht="15" customHeight="1" x14ac:dyDescent="0.2">
      <c r="A45" s="2">
        <v>44</v>
      </c>
      <c r="B45" s="2" t="s">
        <v>110</v>
      </c>
      <c r="C45" s="2" t="s">
        <v>17</v>
      </c>
      <c r="D45" s="2">
        <v>20070413</v>
      </c>
      <c r="E45" s="2">
        <v>20070417</v>
      </c>
      <c r="F45" s="2">
        <v>3836.9</v>
      </c>
      <c r="G45" s="2">
        <v>2507.8000000000002</v>
      </c>
      <c r="H45" s="2">
        <v>9</v>
      </c>
      <c r="I45" s="2" t="s">
        <v>61</v>
      </c>
      <c r="J45" s="2" t="s">
        <v>62</v>
      </c>
      <c r="K45" s="2">
        <f>COUNTIF(Master!A$2:A$1695,A45)</f>
        <v>3</v>
      </c>
      <c r="L45" s="2" t="str">
        <f>IFERROR(AVERAGEIFS(Master!P$2:P$1695,Master!A$2:A$1695,A45,Master!O$2:O$1695,"Relevant"),"")</f>
        <v/>
      </c>
    </row>
    <row r="46" spans="1:12" ht="15" customHeight="1" x14ac:dyDescent="0.2">
      <c r="A46" s="2">
        <v>45</v>
      </c>
      <c r="B46" s="2" t="s">
        <v>111</v>
      </c>
      <c r="C46" s="2" t="s">
        <v>21</v>
      </c>
      <c r="D46" s="2">
        <v>20070601</v>
      </c>
      <c r="E46" s="2">
        <v>20070831</v>
      </c>
      <c r="F46" s="2">
        <v>4139.3999999999996</v>
      </c>
      <c r="G46" s="2">
        <v>2741.3</v>
      </c>
      <c r="H46" s="2">
        <v>12</v>
      </c>
      <c r="I46" s="2" t="s">
        <v>22</v>
      </c>
      <c r="J46" s="2" t="s">
        <v>23</v>
      </c>
      <c r="K46" s="2">
        <f>COUNTIF(Master!A$2:A$1695,A46)</f>
        <v>2</v>
      </c>
      <c r="L46" s="2" t="str">
        <f>IFERROR(AVERAGEIFS(Master!P$2:P$1695,Master!A$2:A$1695,A46,Master!O$2:O$1695,"Relevant"),"")</f>
        <v/>
      </c>
    </row>
    <row r="47" spans="1:12" ht="15" customHeight="1" x14ac:dyDescent="0.2">
      <c r="A47" s="2">
        <v>46</v>
      </c>
      <c r="B47" s="2" t="s">
        <v>112</v>
      </c>
      <c r="C47" s="2" t="s">
        <v>29</v>
      </c>
      <c r="D47" s="2">
        <v>20070601</v>
      </c>
      <c r="E47" s="2">
        <v>20071130</v>
      </c>
      <c r="F47" s="2">
        <v>5519.7</v>
      </c>
      <c r="G47" s="2">
        <v>3538.3</v>
      </c>
      <c r="H47" s="2">
        <v>15</v>
      </c>
      <c r="I47" s="2" t="s">
        <v>113</v>
      </c>
      <c r="J47" s="2" t="s">
        <v>114</v>
      </c>
      <c r="K47" s="2">
        <f>COUNTIF(Master!A$2:A$1695,A47)</f>
        <v>7</v>
      </c>
      <c r="L47" s="2" t="str">
        <f>IFERROR(AVERAGEIFS(Master!P$2:P$1695,Master!A$2:A$1695,A47,Master!O$2:O$1695,"Relevant"),"")</f>
        <v/>
      </c>
    </row>
    <row r="48" spans="1:12" ht="15" customHeight="1" x14ac:dyDescent="0.2">
      <c r="A48" s="2">
        <v>47</v>
      </c>
      <c r="B48" s="2" t="s">
        <v>115</v>
      </c>
      <c r="C48" s="2" t="s">
        <v>17</v>
      </c>
      <c r="D48" s="2">
        <v>20080104</v>
      </c>
      <c r="E48" s="2">
        <v>20080109</v>
      </c>
      <c r="F48" s="2">
        <v>1463.3</v>
      </c>
      <c r="G48" s="2">
        <v>982</v>
      </c>
      <c r="H48" s="2">
        <v>12</v>
      </c>
      <c r="I48" s="2" t="s">
        <v>116</v>
      </c>
      <c r="J48" s="2" t="s">
        <v>117</v>
      </c>
      <c r="K48" s="2">
        <f>COUNTIF(Master!A$2:A$1695,A48)</f>
        <v>0</v>
      </c>
      <c r="L48" s="2" t="str">
        <f>IFERROR(AVERAGEIFS(Master!P$2:P$1695,Master!A$2:A$1695,A48,Master!O$2:O$1695,"Relevant"),"")</f>
        <v/>
      </c>
    </row>
    <row r="49" spans="1:12" ht="15" customHeight="1" x14ac:dyDescent="0.2">
      <c r="A49" s="2">
        <v>48</v>
      </c>
      <c r="B49" s="2" t="s">
        <v>118</v>
      </c>
      <c r="C49" s="2" t="s">
        <v>17</v>
      </c>
      <c r="D49" s="2">
        <v>20080205</v>
      </c>
      <c r="E49" s="2">
        <v>20080206</v>
      </c>
      <c r="F49" s="2">
        <v>1805.3</v>
      </c>
      <c r="G49" s="2">
        <v>1211.5999999999999</v>
      </c>
      <c r="H49" s="2">
        <v>57</v>
      </c>
      <c r="I49" s="2" t="s">
        <v>14</v>
      </c>
      <c r="J49" s="2" t="s">
        <v>15</v>
      </c>
      <c r="K49" s="2">
        <f>COUNTIF(Master!A$2:A$1695,A49)</f>
        <v>0</v>
      </c>
      <c r="L49" s="2" t="str">
        <f>IFERROR(AVERAGEIFS(Master!P$2:P$1695,Master!A$2:A$1695,A49,Master!O$2:O$1695,"Relevant"),"")</f>
        <v/>
      </c>
    </row>
    <row r="50" spans="1:12" ht="15" customHeight="1" x14ac:dyDescent="0.2">
      <c r="A50" s="2">
        <v>49</v>
      </c>
      <c r="B50" s="2" t="s">
        <v>119</v>
      </c>
      <c r="C50" s="2" t="s">
        <v>17</v>
      </c>
      <c r="D50" s="2">
        <v>20080314</v>
      </c>
      <c r="E50" s="2">
        <v>20080315</v>
      </c>
      <c r="F50" s="2">
        <v>1673.9</v>
      </c>
      <c r="G50" s="2">
        <v>1131</v>
      </c>
      <c r="H50" s="2">
        <v>5</v>
      </c>
      <c r="I50" s="2" t="s">
        <v>14</v>
      </c>
      <c r="J50" s="2" t="s">
        <v>15</v>
      </c>
      <c r="K50" s="2">
        <f>COUNTIF(Master!A$2:A$1695,A50)</f>
        <v>2</v>
      </c>
      <c r="L50" s="2" t="str">
        <f>IFERROR(AVERAGEIFS(Master!P$2:P$1695,Master!A$2:A$1695,A50,Master!O$2:O$1695,"Relevant"),"")</f>
        <v/>
      </c>
    </row>
    <row r="51" spans="1:12" ht="15" customHeight="1" x14ac:dyDescent="0.2">
      <c r="A51" s="2">
        <v>50</v>
      </c>
      <c r="B51" s="2" t="s">
        <v>120</v>
      </c>
      <c r="C51" s="2" t="s">
        <v>17</v>
      </c>
      <c r="D51" s="2">
        <v>20080409</v>
      </c>
      <c r="E51" s="2">
        <v>20080411</v>
      </c>
      <c r="F51" s="2">
        <v>1528.3</v>
      </c>
      <c r="G51" s="2">
        <v>1039.5999999999999</v>
      </c>
      <c r="H51" s="2">
        <v>2</v>
      </c>
      <c r="I51" s="2" t="s">
        <v>18</v>
      </c>
      <c r="J51" s="2" t="s">
        <v>19</v>
      </c>
      <c r="K51" s="2">
        <f>COUNTIF(Master!A$2:A$1695,A51)</f>
        <v>0</v>
      </c>
      <c r="L51" s="2" t="str">
        <f>IFERROR(AVERAGEIFS(Master!P$2:P$1695,Master!A$2:A$1695,A51,Master!O$2:O$1695,"Relevant"),"")</f>
        <v/>
      </c>
    </row>
    <row r="52" spans="1:12" ht="15" customHeight="1" x14ac:dyDescent="0.2">
      <c r="A52" s="2">
        <v>51</v>
      </c>
      <c r="B52" s="2" t="s">
        <v>121</v>
      </c>
      <c r="C52" s="2" t="s">
        <v>17</v>
      </c>
      <c r="D52" s="2">
        <v>20080522</v>
      </c>
      <c r="E52" s="2">
        <v>20080527</v>
      </c>
      <c r="F52" s="2">
        <v>4423.1000000000004</v>
      </c>
      <c r="G52" s="2">
        <v>3029.5</v>
      </c>
      <c r="H52" s="2">
        <v>13</v>
      </c>
      <c r="I52" s="2" t="s">
        <v>36</v>
      </c>
      <c r="J52" s="2" t="s">
        <v>37</v>
      </c>
      <c r="K52" s="2">
        <f>COUNTIF(Master!A$2:A$1695,A52)</f>
        <v>1</v>
      </c>
      <c r="L52" s="2" t="str">
        <f>IFERROR(AVERAGEIFS(Master!P$2:P$1695,Master!A$2:A$1695,A52,Master!O$2:O$1695,"Relevant"),"")</f>
        <v/>
      </c>
    </row>
    <row r="53" spans="1:12" ht="15" customHeight="1" x14ac:dyDescent="0.2">
      <c r="A53" s="2">
        <v>52</v>
      </c>
      <c r="B53" s="2" t="s">
        <v>122</v>
      </c>
      <c r="C53" s="2" t="s">
        <v>17</v>
      </c>
      <c r="D53" s="2">
        <v>20080606</v>
      </c>
      <c r="E53" s="2">
        <v>20080612</v>
      </c>
      <c r="F53" s="2">
        <v>2355.6999999999998</v>
      </c>
      <c r="G53" s="2">
        <v>1635.9</v>
      </c>
      <c r="H53" s="2">
        <v>18</v>
      </c>
      <c r="I53" s="2" t="s">
        <v>36</v>
      </c>
      <c r="J53" s="2" t="s">
        <v>37</v>
      </c>
      <c r="K53" s="2">
        <f>COUNTIF(Master!A$2:A$1695,A53)</f>
        <v>1</v>
      </c>
      <c r="L53" s="2" t="str">
        <f>IFERROR(AVERAGEIFS(Master!P$2:P$1695,Master!A$2:A$1695,A53,Master!O$2:O$1695,"Relevant"),"")</f>
        <v/>
      </c>
    </row>
    <row r="54" spans="1:12" ht="15" customHeight="1" x14ac:dyDescent="0.2">
      <c r="A54" s="2">
        <v>53</v>
      </c>
      <c r="B54" s="2" t="s">
        <v>123</v>
      </c>
      <c r="C54" s="2" t="s">
        <v>25</v>
      </c>
      <c r="D54" s="2">
        <v>20080401</v>
      </c>
      <c r="E54" s="2">
        <v>20080630</v>
      </c>
      <c r="F54" s="2">
        <v>14838</v>
      </c>
      <c r="G54" s="2">
        <v>9958.4</v>
      </c>
      <c r="H54" s="2">
        <v>24</v>
      </c>
      <c r="I54" s="2" t="s">
        <v>36</v>
      </c>
      <c r="J54" s="2" t="s">
        <v>37</v>
      </c>
      <c r="K54" s="2">
        <f>COUNTIF(Master!A$2:A$1695,A54)</f>
        <v>20</v>
      </c>
      <c r="L54" s="2" t="str">
        <f>IFERROR(AVERAGEIFS(Master!P$2:P$1695,Master!A$2:A$1695,A54,Master!O$2:O$1695,"Relevant"),"")</f>
        <v/>
      </c>
    </row>
    <row r="55" spans="1:12" ht="15" customHeight="1" x14ac:dyDescent="0.2">
      <c r="A55" s="2">
        <v>54</v>
      </c>
      <c r="B55" s="2" t="s">
        <v>124</v>
      </c>
      <c r="C55" s="2" t="s">
        <v>39</v>
      </c>
      <c r="D55" s="2">
        <v>20080723</v>
      </c>
      <c r="E55" s="2">
        <v>20080725</v>
      </c>
      <c r="F55" s="2">
        <v>1812.2</v>
      </c>
      <c r="G55" s="2">
        <v>1267.3</v>
      </c>
      <c r="H55" s="2">
        <v>3</v>
      </c>
      <c r="I55" s="2" t="s">
        <v>125</v>
      </c>
      <c r="J55" s="2" t="s">
        <v>41</v>
      </c>
      <c r="K55" s="2">
        <f>COUNTIF(Master!A$2:A$1695,A55)</f>
        <v>6</v>
      </c>
      <c r="L55" s="2" t="str">
        <f>IFERROR(AVERAGEIFS(Master!P$2:P$1695,Master!A$2:A$1695,A55,Master!O$2:O$1695,"Relevant"),"")</f>
        <v/>
      </c>
    </row>
    <row r="56" spans="1:12" ht="15" customHeight="1" x14ac:dyDescent="0.2">
      <c r="A56" s="2">
        <v>55</v>
      </c>
      <c r="B56" s="2" t="s">
        <v>126</v>
      </c>
      <c r="C56" s="2" t="s">
        <v>39</v>
      </c>
      <c r="D56" s="2">
        <v>20080831</v>
      </c>
      <c r="E56" s="2">
        <v>20080903</v>
      </c>
      <c r="F56" s="2">
        <v>8635.7000000000007</v>
      </c>
      <c r="G56" s="2">
        <v>5997</v>
      </c>
      <c r="H56" s="2">
        <v>53</v>
      </c>
      <c r="I56" s="2" t="s">
        <v>46</v>
      </c>
      <c r="J56" s="2" t="s">
        <v>41</v>
      </c>
      <c r="K56" s="2">
        <f>COUNTIF(Master!A$2:A$1695,A56)</f>
        <v>8</v>
      </c>
      <c r="L56" s="2" t="str">
        <f>IFERROR(AVERAGEIFS(Master!P$2:P$1695,Master!A$2:A$1695,A56,Master!O$2:O$1695,"Relevant"),"")</f>
        <v/>
      </c>
    </row>
    <row r="57" spans="1:12" ht="15" customHeight="1" x14ac:dyDescent="0.2">
      <c r="A57" s="2">
        <v>56</v>
      </c>
      <c r="B57" s="2" t="s">
        <v>127</v>
      </c>
      <c r="C57" s="2" t="s">
        <v>39</v>
      </c>
      <c r="D57" s="2">
        <v>20080912</v>
      </c>
      <c r="E57" s="2">
        <v>20080914</v>
      </c>
      <c r="F57" s="2">
        <v>43198.400000000001</v>
      </c>
      <c r="G57" s="2">
        <v>29998.799999999999</v>
      </c>
      <c r="H57" s="2">
        <v>112</v>
      </c>
      <c r="I57" s="2" t="s">
        <v>40</v>
      </c>
      <c r="J57" s="2" t="s">
        <v>41</v>
      </c>
      <c r="K57" s="2">
        <f>COUNTIF(Master!A$2:A$1695,A57)</f>
        <v>7</v>
      </c>
      <c r="L57" s="2" t="str">
        <f>IFERROR(AVERAGEIFS(Master!P$2:P$1695,Master!A$2:A$1695,A57,Master!O$2:O$1695,"Relevant"),"")</f>
        <v/>
      </c>
    </row>
    <row r="58" spans="1:12" ht="15" customHeight="1" x14ac:dyDescent="0.2">
      <c r="A58" s="2">
        <v>57</v>
      </c>
      <c r="B58" s="2" t="s">
        <v>128</v>
      </c>
      <c r="C58" s="2" t="s">
        <v>21</v>
      </c>
      <c r="D58" s="2">
        <v>20080901</v>
      </c>
      <c r="E58" s="2">
        <v>20081130</v>
      </c>
      <c r="F58" s="2">
        <v>1777</v>
      </c>
      <c r="G58" s="2">
        <v>1234</v>
      </c>
      <c r="H58" s="2">
        <v>16</v>
      </c>
      <c r="I58" s="2" t="s">
        <v>43</v>
      </c>
      <c r="J58" s="2" t="s">
        <v>44</v>
      </c>
      <c r="K58" s="2">
        <f>COUNTIF(Master!A$2:A$1695,A58)</f>
        <v>0</v>
      </c>
      <c r="L58" s="2" t="str">
        <f>IFERROR(AVERAGEIFS(Master!P$2:P$1695,Master!A$2:A$1695,A58,Master!O$2:O$1695,"Relevant"),"")</f>
        <v/>
      </c>
    </row>
    <row r="59" spans="1:12" ht="15" customHeight="1" x14ac:dyDescent="0.2">
      <c r="A59" s="2">
        <v>58</v>
      </c>
      <c r="B59" s="2" t="s">
        <v>129</v>
      </c>
      <c r="C59" s="2" t="s">
        <v>29</v>
      </c>
      <c r="D59" s="2">
        <v>20080101</v>
      </c>
      <c r="E59" s="2">
        <v>20081231</v>
      </c>
      <c r="F59" s="2">
        <v>10444.700000000001</v>
      </c>
      <c r="G59" s="2">
        <v>7009.8</v>
      </c>
      <c r="H59" s="2">
        <v>0</v>
      </c>
      <c r="I59" s="2" t="s">
        <v>43</v>
      </c>
      <c r="J59" s="2" t="s">
        <v>44</v>
      </c>
      <c r="K59" s="2">
        <f>COUNTIF(Master!A$2:A$1695,A59)</f>
        <v>2</v>
      </c>
      <c r="L59" s="2" t="str">
        <f>IFERROR(AVERAGEIFS(Master!P$2:P$1695,Master!A$2:A$1695,A59,Master!O$2:O$1695,"Relevant"),"")</f>
        <v/>
      </c>
    </row>
    <row r="60" spans="1:12" ht="15" customHeight="1" x14ac:dyDescent="0.2">
      <c r="A60" s="2">
        <v>59</v>
      </c>
      <c r="B60" s="2" t="s">
        <v>130</v>
      </c>
      <c r="C60" s="2" t="s">
        <v>17</v>
      </c>
      <c r="D60" s="2">
        <v>20090210</v>
      </c>
      <c r="E60" s="2">
        <v>20090211</v>
      </c>
      <c r="F60" s="2">
        <v>2592.9</v>
      </c>
      <c r="G60" s="2">
        <v>1740.2</v>
      </c>
      <c r="H60" s="2">
        <v>10</v>
      </c>
      <c r="I60" s="2" t="s">
        <v>131</v>
      </c>
      <c r="J60" s="2" t="s">
        <v>34</v>
      </c>
      <c r="K60" s="2">
        <f>COUNTIF(Master!A$2:A$1695,A60)</f>
        <v>0</v>
      </c>
      <c r="L60" s="2" t="str">
        <f>IFERROR(AVERAGEIFS(Master!P$2:P$1695,Master!A$2:A$1695,A60,Master!O$2:O$1695,"Relevant"),"")</f>
        <v/>
      </c>
    </row>
    <row r="61" spans="1:12" ht="15" customHeight="1" x14ac:dyDescent="0.2">
      <c r="A61" s="2">
        <v>60</v>
      </c>
      <c r="B61" s="2" t="s">
        <v>132</v>
      </c>
      <c r="C61" s="2" t="s">
        <v>17</v>
      </c>
      <c r="D61" s="2">
        <v>20090325</v>
      </c>
      <c r="E61" s="2">
        <v>20090328</v>
      </c>
      <c r="F61" s="2">
        <v>2427.9</v>
      </c>
      <c r="G61" s="2">
        <v>1640.5</v>
      </c>
      <c r="H61" s="2">
        <v>0</v>
      </c>
      <c r="I61" s="2" t="s">
        <v>92</v>
      </c>
      <c r="J61" s="2" t="s">
        <v>34</v>
      </c>
      <c r="K61" s="2">
        <f>COUNTIF(Master!A$2:A$1695,A61)</f>
        <v>2</v>
      </c>
      <c r="L61" s="2" t="str">
        <f>IFERROR(AVERAGEIFS(Master!P$2:P$1695,Master!A$2:A$1695,A61,Master!O$2:O$1695,"Relevant"),"")</f>
        <v/>
      </c>
    </row>
    <row r="62" spans="1:12" ht="15" customHeight="1" x14ac:dyDescent="0.2">
      <c r="A62" s="2">
        <v>61</v>
      </c>
      <c r="B62" s="2" t="s">
        <v>133</v>
      </c>
      <c r="C62" s="2" t="s">
        <v>17</v>
      </c>
      <c r="D62" s="2">
        <v>20090409</v>
      </c>
      <c r="E62" s="2">
        <v>20090410</v>
      </c>
      <c r="F62" s="2">
        <v>2116.4</v>
      </c>
      <c r="G62" s="2">
        <v>1430.1</v>
      </c>
      <c r="H62" s="2">
        <v>6</v>
      </c>
      <c r="I62" s="2" t="s">
        <v>134</v>
      </c>
      <c r="J62" s="2" t="s">
        <v>19</v>
      </c>
      <c r="K62" s="2">
        <f>COUNTIF(Master!A$2:A$1695,A62)</f>
        <v>1</v>
      </c>
      <c r="L62" s="2" t="str">
        <f>IFERROR(AVERAGEIFS(Master!P$2:P$1695,Master!A$2:A$1695,A62,Master!O$2:O$1695,"Relevant"),"")</f>
        <v/>
      </c>
    </row>
    <row r="63" spans="1:12" ht="15" customHeight="1" x14ac:dyDescent="0.2">
      <c r="A63" s="2">
        <v>62</v>
      </c>
      <c r="B63" s="2" t="s">
        <v>135</v>
      </c>
      <c r="C63" s="2" t="s">
        <v>17</v>
      </c>
      <c r="D63" s="2">
        <v>20090507</v>
      </c>
      <c r="E63" s="2">
        <v>20090509</v>
      </c>
      <c r="F63" s="2">
        <v>1274.2</v>
      </c>
      <c r="G63" s="2">
        <v>861</v>
      </c>
      <c r="H63" s="2">
        <v>7</v>
      </c>
      <c r="I63" s="2" t="s">
        <v>102</v>
      </c>
      <c r="J63" s="2" t="s">
        <v>103</v>
      </c>
      <c r="K63" s="2">
        <f>COUNTIF(Master!A$2:A$1695,A63)</f>
        <v>1</v>
      </c>
      <c r="L63" s="2" t="str">
        <f>IFERROR(AVERAGEIFS(Master!P$2:P$1695,Master!A$2:A$1695,A63,Master!O$2:O$1695,"Relevant"),"")</f>
        <v/>
      </c>
    </row>
    <row r="64" spans="1:12" ht="15" customHeight="1" x14ac:dyDescent="0.2">
      <c r="A64" s="2">
        <v>63</v>
      </c>
      <c r="B64" s="2" t="s">
        <v>136</v>
      </c>
      <c r="C64" s="2" t="s">
        <v>17</v>
      </c>
      <c r="D64" s="2">
        <v>20090609</v>
      </c>
      <c r="E64" s="2">
        <v>20090612</v>
      </c>
      <c r="F64" s="2">
        <v>1939</v>
      </c>
      <c r="G64" s="2">
        <v>1328.1</v>
      </c>
      <c r="H64" s="2">
        <v>0</v>
      </c>
      <c r="I64" s="2" t="s">
        <v>137</v>
      </c>
      <c r="J64" s="2" t="s">
        <v>138</v>
      </c>
      <c r="K64" s="2">
        <f>COUNTIF(Master!A$2:A$1695,A64)</f>
        <v>0</v>
      </c>
      <c r="L64" s="2" t="str">
        <f>IFERROR(AVERAGEIFS(Master!P$2:P$1695,Master!A$2:A$1695,A64,Master!O$2:O$1695,"Relevant"),"")</f>
        <v/>
      </c>
    </row>
    <row r="65" spans="1:12" ht="15" customHeight="1" x14ac:dyDescent="0.2">
      <c r="A65" s="2">
        <v>64</v>
      </c>
      <c r="B65" s="2" t="s">
        <v>139</v>
      </c>
      <c r="C65" s="2" t="s">
        <v>17</v>
      </c>
      <c r="D65" s="2">
        <v>20090720</v>
      </c>
      <c r="E65" s="2">
        <v>20090720</v>
      </c>
      <c r="F65" s="2">
        <v>1470</v>
      </c>
      <c r="G65" s="2">
        <v>1000</v>
      </c>
      <c r="H65" s="2">
        <v>0</v>
      </c>
      <c r="I65" s="2" t="s">
        <v>73</v>
      </c>
      <c r="J65" s="2" t="s">
        <v>74</v>
      </c>
      <c r="K65" s="2">
        <f>COUNTIF(Master!A$2:A$1695,A65)</f>
        <v>0</v>
      </c>
      <c r="L65" s="2" t="str">
        <f>IFERROR(AVERAGEIFS(Master!P$2:P$1695,Master!A$2:A$1695,A65,Master!O$2:O$1695,"Relevant"),"")</f>
        <v/>
      </c>
    </row>
    <row r="66" spans="1:12" ht="15" customHeight="1" x14ac:dyDescent="0.2">
      <c r="A66" s="2">
        <v>65</v>
      </c>
      <c r="B66" s="2" t="s">
        <v>140</v>
      </c>
      <c r="C66" s="2" t="s">
        <v>25</v>
      </c>
      <c r="D66" s="2">
        <v>20090919</v>
      </c>
      <c r="E66" s="2">
        <v>20090922</v>
      </c>
      <c r="F66" s="2">
        <v>1311.8</v>
      </c>
      <c r="G66" s="2">
        <v>898.5</v>
      </c>
      <c r="H66" s="2">
        <v>10</v>
      </c>
      <c r="I66" s="2" t="s">
        <v>141</v>
      </c>
      <c r="J66" s="2" t="s">
        <v>142</v>
      </c>
      <c r="K66" s="2">
        <f>COUNTIF(Master!A$2:A$1695,A66)</f>
        <v>1</v>
      </c>
      <c r="L66" s="2" t="str">
        <f>IFERROR(AVERAGEIFS(Master!P$2:P$1695,Master!A$2:A$1695,A66,Master!O$2:O$1695,"Relevant"),"")</f>
        <v/>
      </c>
    </row>
    <row r="67" spans="1:12" ht="15" customHeight="1" x14ac:dyDescent="0.2">
      <c r="A67" s="2">
        <v>66</v>
      </c>
      <c r="B67" s="2" t="s">
        <v>143</v>
      </c>
      <c r="C67" s="2" t="s">
        <v>21</v>
      </c>
      <c r="D67" s="2">
        <v>20090601</v>
      </c>
      <c r="E67" s="2">
        <v>20091130</v>
      </c>
      <c r="F67" s="2">
        <v>1477.4</v>
      </c>
      <c r="G67" s="2">
        <v>1011.9</v>
      </c>
      <c r="H67" s="2">
        <v>10</v>
      </c>
      <c r="I67" s="2" t="s">
        <v>22</v>
      </c>
      <c r="J67" s="2" t="s">
        <v>23</v>
      </c>
      <c r="K67" s="2">
        <f>COUNTIF(Master!A$2:A$1695,A67)</f>
        <v>2</v>
      </c>
      <c r="L67" s="2" t="str">
        <f>IFERROR(AVERAGEIFS(Master!P$2:P$1695,Master!A$2:A$1695,A67,Master!O$2:O$1695,"Relevant"),"")</f>
        <v/>
      </c>
    </row>
    <row r="68" spans="1:12" ht="15" customHeight="1" x14ac:dyDescent="0.2">
      <c r="A68" s="2">
        <v>67</v>
      </c>
      <c r="B68" s="2" t="s">
        <v>144</v>
      </c>
      <c r="C68" s="2" t="s">
        <v>29</v>
      </c>
      <c r="D68" s="2">
        <v>20090101</v>
      </c>
      <c r="E68" s="2">
        <v>20091231</v>
      </c>
      <c r="F68" s="2">
        <v>5203.2</v>
      </c>
      <c r="G68" s="2">
        <v>3492</v>
      </c>
      <c r="H68" s="2">
        <v>0</v>
      </c>
      <c r="I68" s="2" t="s">
        <v>145</v>
      </c>
      <c r="J68" s="2" t="s">
        <v>146</v>
      </c>
      <c r="K68" s="2">
        <f>COUNTIF(Master!A$2:A$1695,A68)</f>
        <v>0</v>
      </c>
      <c r="L68" s="2" t="str">
        <f>IFERROR(AVERAGEIFS(Master!P$2:P$1695,Master!A$2:A$1695,A68,Master!O$2:O$1695,"Relevant"),"")</f>
        <v/>
      </c>
    </row>
    <row r="69" spans="1:12" ht="15" customHeight="1" x14ac:dyDescent="0.2">
      <c r="A69" s="2">
        <v>68</v>
      </c>
      <c r="B69" s="2" t="s">
        <v>147</v>
      </c>
      <c r="C69" s="2" t="s">
        <v>13</v>
      </c>
      <c r="D69" s="2">
        <v>20100209</v>
      </c>
      <c r="E69" s="2">
        <v>20100211</v>
      </c>
      <c r="F69" s="2">
        <v>1192.8</v>
      </c>
      <c r="G69" s="2">
        <v>817</v>
      </c>
      <c r="H69" s="2">
        <v>3</v>
      </c>
      <c r="I69" s="2" t="s">
        <v>95</v>
      </c>
      <c r="J69" s="2" t="s">
        <v>96</v>
      </c>
      <c r="K69" s="2">
        <f>COUNTIF(Master!A$2:A$1695,A69)</f>
        <v>0</v>
      </c>
      <c r="L69" s="2" t="str">
        <f>IFERROR(AVERAGEIFS(Master!P$2:P$1695,Master!A$2:A$1695,A69,Master!O$2:O$1695,"Relevant"),"")</f>
        <v/>
      </c>
    </row>
    <row r="70" spans="1:12" ht="15" customHeight="1" x14ac:dyDescent="0.2">
      <c r="A70" s="2">
        <v>69</v>
      </c>
      <c r="B70" s="2" t="s">
        <v>148</v>
      </c>
      <c r="C70" s="2" t="s">
        <v>25</v>
      </c>
      <c r="D70" s="2">
        <v>20100301</v>
      </c>
      <c r="E70" s="2">
        <v>20100331</v>
      </c>
      <c r="F70" s="2">
        <v>2692.6</v>
      </c>
      <c r="G70" s="2">
        <v>1844.2</v>
      </c>
      <c r="H70" s="2">
        <v>11</v>
      </c>
      <c r="I70" s="2" t="s">
        <v>95</v>
      </c>
      <c r="J70" s="2" t="s">
        <v>96</v>
      </c>
      <c r="K70" s="2">
        <f>COUNTIF(Master!A$2:A$1695,A70)</f>
        <v>2</v>
      </c>
      <c r="L70" s="2" t="str">
        <f>IFERROR(AVERAGEIFS(Master!P$2:P$1695,Master!A$2:A$1695,A70,Master!O$2:O$1695,"Relevant"),"")</f>
        <v/>
      </c>
    </row>
    <row r="71" spans="1:12" ht="15" customHeight="1" x14ac:dyDescent="0.2">
      <c r="A71" s="2">
        <v>70</v>
      </c>
      <c r="B71" s="2" t="s">
        <v>149</v>
      </c>
      <c r="C71" s="2" t="s">
        <v>25</v>
      </c>
      <c r="D71" s="2">
        <v>20100430</v>
      </c>
      <c r="E71" s="2">
        <v>20100502</v>
      </c>
      <c r="F71" s="2">
        <v>3308.8</v>
      </c>
      <c r="G71" s="2">
        <v>2266.3000000000002</v>
      </c>
      <c r="H71" s="2">
        <v>32</v>
      </c>
      <c r="I71" s="2" t="s">
        <v>61</v>
      </c>
      <c r="J71" s="2" t="s">
        <v>62</v>
      </c>
      <c r="K71" s="2">
        <f>COUNTIF(Master!A$2:A$1695,A71)</f>
        <v>1</v>
      </c>
      <c r="L71" s="2" t="str">
        <f>IFERROR(AVERAGEIFS(Master!P$2:P$1695,Master!A$2:A$1695,A71,Master!O$2:O$1695,"Relevant"),"")</f>
        <v/>
      </c>
    </row>
    <row r="72" spans="1:12" ht="15" customHeight="1" x14ac:dyDescent="0.2">
      <c r="A72" s="2">
        <v>71</v>
      </c>
      <c r="B72" s="2" t="s">
        <v>150</v>
      </c>
      <c r="C72" s="2" t="s">
        <v>17</v>
      </c>
      <c r="D72" s="2">
        <v>20100510</v>
      </c>
      <c r="E72" s="2">
        <v>20100512</v>
      </c>
      <c r="F72" s="2">
        <v>4834</v>
      </c>
      <c r="G72" s="2">
        <v>3333.8</v>
      </c>
      <c r="H72" s="2">
        <v>3</v>
      </c>
      <c r="I72" s="2" t="s">
        <v>151</v>
      </c>
      <c r="J72" s="2" t="s">
        <v>152</v>
      </c>
      <c r="K72" s="2">
        <f>COUNTIF(Master!A$2:A$1695,A72)</f>
        <v>0</v>
      </c>
      <c r="L72" s="2" t="str">
        <f>IFERROR(AVERAGEIFS(Master!P$2:P$1695,Master!A$2:A$1695,A72,Master!O$2:O$1695,"Relevant"),"")</f>
        <v/>
      </c>
    </row>
    <row r="73" spans="1:12" ht="15" customHeight="1" x14ac:dyDescent="0.2">
      <c r="A73" s="2">
        <v>72</v>
      </c>
      <c r="B73" s="2" t="s">
        <v>153</v>
      </c>
      <c r="C73" s="2" t="s">
        <v>17</v>
      </c>
      <c r="D73" s="2">
        <v>20100610</v>
      </c>
      <c r="E73" s="2">
        <v>20100615</v>
      </c>
      <c r="F73" s="2">
        <v>1306.7</v>
      </c>
      <c r="G73" s="2">
        <v>901</v>
      </c>
      <c r="H73" s="2">
        <v>2</v>
      </c>
      <c r="I73" s="2" t="s">
        <v>154</v>
      </c>
      <c r="J73" s="2" t="s">
        <v>155</v>
      </c>
      <c r="K73" s="2">
        <f>COUNTIF(Master!A$2:A$1695,A73)</f>
        <v>0</v>
      </c>
      <c r="L73" s="2" t="str">
        <f>IFERROR(AVERAGEIFS(Master!P$2:P$1695,Master!A$2:A$1695,A73,Master!O$2:O$1695,"Relevant"),"")</f>
        <v/>
      </c>
    </row>
    <row r="74" spans="1:12" ht="15" customHeight="1" x14ac:dyDescent="0.2">
      <c r="A74" s="2">
        <v>73</v>
      </c>
      <c r="B74" s="2" t="s">
        <v>156</v>
      </c>
      <c r="C74" s="2" t="s">
        <v>17</v>
      </c>
      <c r="D74" s="2">
        <v>20100720</v>
      </c>
      <c r="E74" s="2">
        <v>20100723</v>
      </c>
      <c r="F74" s="2">
        <v>1375.1</v>
      </c>
      <c r="G74" s="2">
        <v>948.3</v>
      </c>
      <c r="H74" s="2">
        <v>0</v>
      </c>
      <c r="I74" s="2" t="s">
        <v>157</v>
      </c>
      <c r="J74" s="2" t="s">
        <v>158</v>
      </c>
      <c r="K74" s="2">
        <f>COUNTIF(Master!A$2:A$1695,A74)</f>
        <v>0</v>
      </c>
      <c r="L74" s="2" t="str">
        <f>IFERROR(AVERAGEIFS(Master!P$2:P$1695,Master!A$2:A$1695,A74,Master!O$2:O$1695,"Relevant"),"")</f>
        <v/>
      </c>
    </row>
    <row r="75" spans="1:12" ht="15" customHeight="1" x14ac:dyDescent="0.2">
      <c r="A75" s="2">
        <v>74</v>
      </c>
      <c r="B75" s="2" t="s">
        <v>159</v>
      </c>
      <c r="C75" s="2" t="s">
        <v>17</v>
      </c>
      <c r="D75" s="2">
        <v>20101005</v>
      </c>
      <c r="E75" s="2">
        <v>20101006</v>
      </c>
      <c r="F75" s="2">
        <v>5472</v>
      </c>
      <c r="G75" s="2">
        <v>3800</v>
      </c>
      <c r="H75" s="2">
        <v>0</v>
      </c>
      <c r="I75" s="2" t="s">
        <v>160</v>
      </c>
      <c r="J75" s="2" t="s">
        <v>161</v>
      </c>
      <c r="K75" s="2">
        <f>COUNTIF(Master!A$2:A$1695,A75)</f>
        <v>0</v>
      </c>
      <c r="L75" s="2" t="str">
        <f>IFERROR(AVERAGEIFS(Master!P$2:P$1695,Master!A$2:A$1695,A75,Master!O$2:O$1695,"Relevant"),"")</f>
        <v/>
      </c>
    </row>
    <row r="76" spans="1:12" ht="15" customHeight="1" x14ac:dyDescent="0.2">
      <c r="A76" s="2">
        <v>75</v>
      </c>
      <c r="B76" s="2" t="s">
        <v>162</v>
      </c>
      <c r="C76" s="2" t="s">
        <v>13</v>
      </c>
      <c r="D76" s="2">
        <v>20110201</v>
      </c>
      <c r="E76" s="2">
        <v>20110203</v>
      </c>
      <c r="F76" s="2">
        <v>2565.6999999999998</v>
      </c>
      <c r="G76" s="2">
        <v>1794.2</v>
      </c>
      <c r="H76" s="2">
        <v>36</v>
      </c>
      <c r="I76" s="2" t="s">
        <v>43</v>
      </c>
      <c r="J76" s="2" t="s">
        <v>44</v>
      </c>
      <c r="K76" s="2">
        <f>COUNTIF(Master!A$2:A$1695,A76)</f>
        <v>2</v>
      </c>
      <c r="L76" s="2" t="str">
        <f>IFERROR(AVERAGEIFS(Master!P$2:P$1695,Master!A$2:A$1695,A76,Master!O$2:O$1695,"Relevant"),"")</f>
        <v/>
      </c>
    </row>
    <row r="77" spans="1:12" ht="15" customHeight="1" x14ac:dyDescent="0.2">
      <c r="A77" s="2">
        <v>76</v>
      </c>
      <c r="B77" s="2" t="s">
        <v>163</v>
      </c>
      <c r="C77" s="2" t="s">
        <v>17</v>
      </c>
      <c r="D77" s="2">
        <v>20110404</v>
      </c>
      <c r="E77" s="2">
        <v>20110405</v>
      </c>
      <c r="F77" s="2">
        <v>3885.3</v>
      </c>
      <c r="G77" s="2">
        <v>2775.2</v>
      </c>
      <c r="H77" s="2">
        <v>9</v>
      </c>
      <c r="I77" s="2" t="s">
        <v>92</v>
      </c>
      <c r="J77" s="2" t="s">
        <v>34</v>
      </c>
      <c r="K77" s="2">
        <f>COUNTIF(Master!A$2:A$1695,A77)</f>
        <v>0</v>
      </c>
      <c r="L77" s="2" t="str">
        <f>IFERROR(AVERAGEIFS(Master!P$2:P$1695,Master!A$2:A$1695,A77,Master!O$2:O$1695,"Relevant"),"")</f>
        <v/>
      </c>
    </row>
    <row r="78" spans="1:12" ht="15" customHeight="1" x14ac:dyDescent="0.2">
      <c r="A78" s="2">
        <v>77</v>
      </c>
      <c r="B78" s="2" t="s">
        <v>164</v>
      </c>
      <c r="C78" s="2" t="s">
        <v>17</v>
      </c>
      <c r="D78" s="2">
        <v>20110408</v>
      </c>
      <c r="E78" s="2">
        <v>20110411</v>
      </c>
      <c r="F78" s="2">
        <v>3051</v>
      </c>
      <c r="G78" s="2">
        <v>2179.3000000000002</v>
      </c>
      <c r="H78" s="2">
        <v>0</v>
      </c>
      <c r="I78" s="2" t="s">
        <v>92</v>
      </c>
      <c r="J78" s="2" t="s">
        <v>34</v>
      </c>
      <c r="K78" s="2">
        <f>COUNTIF(Master!A$2:A$1695,A78)</f>
        <v>0</v>
      </c>
      <c r="L78" s="2" t="str">
        <f>IFERROR(AVERAGEIFS(Master!P$2:P$1695,Master!A$2:A$1695,A78,Master!O$2:O$1695,"Relevant"),"")</f>
        <v/>
      </c>
    </row>
    <row r="79" spans="1:12" ht="15" customHeight="1" x14ac:dyDescent="0.2">
      <c r="A79" s="2">
        <v>78</v>
      </c>
      <c r="B79" s="2" t="s">
        <v>165</v>
      </c>
      <c r="C79" s="2" t="s">
        <v>17</v>
      </c>
      <c r="D79" s="2">
        <v>20110414</v>
      </c>
      <c r="E79" s="2">
        <v>20110416</v>
      </c>
      <c r="F79" s="2">
        <v>2882.9</v>
      </c>
      <c r="G79" s="2">
        <v>2059.1999999999998</v>
      </c>
      <c r="H79" s="2">
        <v>38</v>
      </c>
      <c r="I79" s="2" t="s">
        <v>92</v>
      </c>
      <c r="J79" s="2" t="s">
        <v>34</v>
      </c>
      <c r="K79" s="2">
        <f>COUNTIF(Master!A$2:A$1695,A79)</f>
        <v>0</v>
      </c>
      <c r="L79" s="2" t="str">
        <f>IFERROR(AVERAGEIFS(Master!P$2:P$1695,Master!A$2:A$1695,A79,Master!O$2:O$1695,"Relevant"),"")</f>
        <v/>
      </c>
    </row>
    <row r="80" spans="1:12" ht="15" customHeight="1" x14ac:dyDescent="0.2">
      <c r="A80" s="2">
        <v>79</v>
      </c>
      <c r="B80" s="2" t="s">
        <v>166</v>
      </c>
      <c r="C80" s="2" t="s">
        <v>17</v>
      </c>
      <c r="D80" s="2">
        <v>20110419</v>
      </c>
      <c r="E80" s="2">
        <v>20110420</v>
      </c>
      <c r="F80" s="2">
        <v>1452.8</v>
      </c>
      <c r="G80" s="2">
        <v>1037.5</v>
      </c>
      <c r="H80" s="2">
        <v>0</v>
      </c>
      <c r="I80" s="2" t="s">
        <v>167</v>
      </c>
      <c r="J80" s="2" t="s">
        <v>109</v>
      </c>
      <c r="K80" s="2">
        <f>COUNTIF(Master!A$2:A$1695,A80)</f>
        <v>0</v>
      </c>
      <c r="L80" s="2" t="str">
        <f>IFERROR(AVERAGEIFS(Master!P$2:P$1695,Master!A$2:A$1695,A80,Master!O$2:O$1695,"Relevant"),"")</f>
        <v/>
      </c>
    </row>
    <row r="81" spans="1:12" ht="15" customHeight="1" x14ac:dyDescent="0.2">
      <c r="A81" s="2">
        <v>80</v>
      </c>
      <c r="B81" s="2" t="s">
        <v>168</v>
      </c>
      <c r="C81" s="2" t="s">
        <v>17</v>
      </c>
      <c r="D81" s="2">
        <v>20110425</v>
      </c>
      <c r="E81" s="2">
        <v>20110428</v>
      </c>
      <c r="F81" s="2">
        <v>14310.7</v>
      </c>
      <c r="G81" s="2">
        <v>10222</v>
      </c>
      <c r="H81" s="2">
        <v>321</v>
      </c>
      <c r="I81" s="2" t="s">
        <v>92</v>
      </c>
      <c r="J81" s="2" t="s">
        <v>34</v>
      </c>
      <c r="K81" s="2">
        <f>COUNTIF(Master!A$2:A$1695,A81)</f>
        <v>0</v>
      </c>
      <c r="L81" s="2" t="str">
        <f>IFERROR(AVERAGEIFS(Master!P$2:P$1695,Master!A$2:A$1695,A81,Master!O$2:O$1695,"Relevant"),"")</f>
        <v/>
      </c>
    </row>
    <row r="82" spans="1:12" ht="15" customHeight="1" x14ac:dyDescent="0.2">
      <c r="A82" s="2">
        <v>81</v>
      </c>
      <c r="B82" s="2" t="s">
        <v>169</v>
      </c>
      <c r="C82" s="2" t="s">
        <v>17</v>
      </c>
      <c r="D82" s="2">
        <v>20110522</v>
      </c>
      <c r="E82" s="2">
        <v>20110527</v>
      </c>
      <c r="F82" s="2">
        <v>12735.6</v>
      </c>
      <c r="G82" s="2">
        <v>9096.7999999999993</v>
      </c>
      <c r="H82" s="2">
        <v>177</v>
      </c>
      <c r="I82" s="2" t="s">
        <v>92</v>
      </c>
      <c r="J82" s="2" t="s">
        <v>34</v>
      </c>
      <c r="K82" s="2">
        <f>COUNTIF(Master!A$2:A$1695,A82)</f>
        <v>3</v>
      </c>
      <c r="L82" s="2" t="str">
        <f>IFERROR(AVERAGEIFS(Master!P$2:P$1695,Master!A$2:A$1695,A82,Master!O$2:O$1695,"Relevant"),"")</f>
        <v/>
      </c>
    </row>
    <row r="83" spans="1:12" ht="15" customHeight="1" x14ac:dyDescent="0.2">
      <c r="A83" s="2">
        <v>82</v>
      </c>
      <c r="B83" s="2" t="s">
        <v>170</v>
      </c>
      <c r="C83" s="2" t="s">
        <v>25</v>
      </c>
      <c r="D83" s="2">
        <v>20110401</v>
      </c>
      <c r="E83" s="2">
        <v>20110531</v>
      </c>
      <c r="F83" s="2">
        <v>4270.1000000000004</v>
      </c>
      <c r="G83" s="2">
        <v>2986</v>
      </c>
      <c r="H83" s="2">
        <v>7</v>
      </c>
      <c r="I83" s="2" t="s">
        <v>171</v>
      </c>
      <c r="J83" s="2" t="s">
        <v>172</v>
      </c>
      <c r="K83" s="2">
        <f>COUNTIF(Master!A$2:A$1695,A83)</f>
        <v>11</v>
      </c>
      <c r="L83" s="2" t="str">
        <f>IFERROR(AVERAGEIFS(Master!P$2:P$1695,Master!A$2:A$1695,A83,Master!O$2:O$1695,"Relevant"),"")</f>
        <v/>
      </c>
    </row>
    <row r="84" spans="1:12" ht="15" customHeight="1" x14ac:dyDescent="0.2">
      <c r="A84" s="2">
        <v>83</v>
      </c>
      <c r="B84" s="2" t="s">
        <v>173</v>
      </c>
      <c r="C84" s="2" t="s">
        <v>17</v>
      </c>
      <c r="D84" s="2">
        <v>20110618</v>
      </c>
      <c r="E84" s="2">
        <v>20110622</v>
      </c>
      <c r="F84" s="2">
        <v>2152.3000000000002</v>
      </c>
      <c r="G84" s="2">
        <v>1537.3</v>
      </c>
      <c r="H84" s="2">
        <v>3</v>
      </c>
      <c r="I84" s="2" t="s">
        <v>92</v>
      </c>
      <c r="J84" s="2" t="s">
        <v>34</v>
      </c>
      <c r="K84" s="2">
        <f>COUNTIF(Master!A$2:A$1695,A84)</f>
        <v>0</v>
      </c>
      <c r="L84" s="2" t="str">
        <f>IFERROR(AVERAGEIFS(Master!P$2:P$1695,Master!A$2:A$1695,A84,Master!O$2:O$1695,"Relevant"),"")</f>
        <v/>
      </c>
    </row>
    <row r="85" spans="1:12" ht="15" customHeight="1" x14ac:dyDescent="0.2">
      <c r="A85" s="2">
        <v>84</v>
      </c>
      <c r="B85" s="2" t="s">
        <v>174</v>
      </c>
      <c r="C85" s="2" t="s">
        <v>25</v>
      </c>
      <c r="D85" s="2">
        <v>20110501</v>
      </c>
      <c r="E85" s="2">
        <v>20110630</v>
      </c>
      <c r="F85" s="2">
        <v>2863.3</v>
      </c>
      <c r="G85" s="2">
        <v>2002.3</v>
      </c>
      <c r="H85" s="2">
        <v>5</v>
      </c>
      <c r="I85" s="2" t="s">
        <v>175</v>
      </c>
      <c r="J85" s="2" t="s">
        <v>176</v>
      </c>
      <c r="K85" s="2">
        <f>COUNTIF(Master!A$2:A$1695,A85)</f>
        <v>18</v>
      </c>
      <c r="L85" s="2" t="str">
        <f>IFERROR(AVERAGEIFS(Master!P$2:P$1695,Master!A$2:A$1695,A85,Master!O$2:O$1695,"Relevant"),"")</f>
        <v/>
      </c>
    </row>
    <row r="86" spans="1:12" ht="15" customHeight="1" x14ac:dyDescent="0.2">
      <c r="A86" s="2">
        <v>85</v>
      </c>
      <c r="B86" s="2" t="s">
        <v>177</v>
      </c>
      <c r="C86" s="2" t="s">
        <v>17</v>
      </c>
      <c r="D86" s="2">
        <v>20110701</v>
      </c>
      <c r="E86" s="2">
        <v>20110701</v>
      </c>
      <c r="F86" s="2">
        <v>1243.2</v>
      </c>
      <c r="G86" s="2">
        <v>888</v>
      </c>
      <c r="H86" s="2">
        <v>0</v>
      </c>
      <c r="I86" s="2" t="s">
        <v>36</v>
      </c>
      <c r="J86" s="2" t="s">
        <v>37</v>
      </c>
      <c r="K86" s="2">
        <f>COUNTIF(Master!A$2:A$1695,A86)</f>
        <v>0</v>
      </c>
      <c r="L86" s="2" t="str">
        <f>IFERROR(AVERAGEIFS(Master!P$2:P$1695,Master!A$2:A$1695,A86,Master!O$2:O$1695,"Relevant"),"")</f>
        <v/>
      </c>
    </row>
    <row r="87" spans="1:12" ht="15" customHeight="1" x14ac:dyDescent="0.2">
      <c r="A87" s="2">
        <v>86</v>
      </c>
      <c r="B87" s="2" t="s">
        <v>178</v>
      </c>
      <c r="C87" s="2" t="s">
        <v>17</v>
      </c>
      <c r="D87" s="2">
        <v>20110710</v>
      </c>
      <c r="E87" s="2">
        <v>20110711</v>
      </c>
      <c r="F87" s="2">
        <v>1729.1</v>
      </c>
      <c r="G87" s="2">
        <v>1235</v>
      </c>
      <c r="H87" s="2">
        <v>2</v>
      </c>
      <c r="I87" s="2" t="s">
        <v>179</v>
      </c>
      <c r="J87" s="2" t="s">
        <v>180</v>
      </c>
      <c r="K87" s="2">
        <f>COUNTIF(Master!A$2:A$1695,A87)</f>
        <v>0</v>
      </c>
      <c r="L87" s="2" t="str">
        <f>IFERROR(AVERAGEIFS(Master!P$2:P$1695,Master!A$2:A$1695,A87,Master!O$2:O$1695,"Relevant"),"")</f>
        <v/>
      </c>
    </row>
    <row r="88" spans="1:12" ht="15" customHeight="1" x14ac:dyDescent="0.2">
      <c r="A88" s="2">
        <v>87</v>
      </c>
      <c r="B88" s="2" t="s">
        <v>181</v>
      </c>
      <c r="C88" s="2" t="s">
        <v>17</v>
      </c>
      <c r="D88" s="2">
        <v>20110817</v>
      </c>
      <c r="E88" s="2">
        <v>20110818</v>
      </c>
      <c r="F88" s="2">
        <v>1600.4</v>
      </c>
      <c r="G88" s="2">
        <v>1151.4000000000001</v>
      </c>
      <c r="H88" s="2">
        <v>0</v>
      </c>
      <c r="I88" s="2" t="s">
        <v>92</v>
      </c>
      <c r="J88" s="2" t="s">
        <v>34</v>
      </c>
      <c r="K88" s="2">
        <f>COUNTIF(Master!A$2:A$1695,A88)</f>
        <v>0</v>
      </c>
      <c r="L88" s="2" t="str">
        <f>IFERROR(AVERAGEIFS(Master!P$2:P$1695,Master!A$2:A$1695,A88,Master!O$2:O$1695,"Relevant"),"")</f>
        <v/>
      </c>
    </row>
    <row r="89" spans="1:12" ht="15" customHeight="1" x14ac:dyDescent="0.2">
      <c r="A89" s="2">
        <v>88</v>
      </c>
      <c r="B89" s="2" t="s">
        <v>182</v>
      </c>
      <c r="C89" s="2" t="s">
        <v>39</v>
      </c>
      <c r="D89" s="2">
        <v>20110826</v>
      </c>
      <c r="E89" s="2">
        <v>20110828</v>
      </c>
      <c r="F89" s="2">
        <v>18756.7</v>
      </c>
      <c r="G89" s="2">
        <v>13494</v>
      </c>
      <c r="H89" s="2">
        <v>45</v>
      </c>
      <c r="I89" s="2" t="s">
        <v>183</v>
      </c>
      <c r="J89" s="2" t="s">
        <v>52</v>
      </c>
      <c r="K89" s="2">
        <f>COUNTIF(Master!A$2:A$1695,A89)</f>
        <v>10</v>
      </c>
      <c r="L89" s="2" t="str">
        <f>IFERROR(AVERAGEIFS(Master!P$2:P$1695,Master!A$2:A$1695,A89,Master!O$2:O$1695,"Relevant"),"")</f>
        <v/>
      </c>
    </row>
    <row r="90" spans="1:12" ht="15" customHeight="1" x14ac:dyDescent="0.2">
      <c r="A90" s="2">
        <v>89</v>
      </c>
      <c r="B90" s="2" t="s">
        <v>184</v>
      </c>
      <c r="C90" s="2" t="s">
        <v>29</v>
      </c>
      <c r="D90" s="2">
        <v>20110301</v>
      </c>
      <c r="E90" s="2">
        <v>20110831</v>
      </c>
      <c r="F90" s="2">
        <v>17109.5</v>
      </c>
      <c r="G90" s="2">
        <v>11964.8</v>
      </c>
      <c r="H90" s="2">
        <v>95</v>
      </c>
      <c r="I90" s="2" t="s">
        <v>185</v>
      </c>
      <c r="J90" s="2" t="s">
        <v>186</v>
      </c>
      <c r="K90" s="2">
        <f>COUNTIF(Master!A$2:A$1695,A90)</f>
        <v>5</v>
      </c>
      <c r="L90" s="2" t="str">
        <f>IFERROR(AVERAGEIFS(Master!P$2:P$1695,Master!A$2:A$1695,A90,Master!O$2:O$1695,"Relevant"),"")</f>
        <v/>
      </c>
    </row>
    <row r="91" spans="1:12" ht="15" customHeight="1" x14ac:dyDescent="0.2">
      <c r="A91" s="2">
        <v>90</v>
      </c>
      <c r="B91" s="2" t="s">
        <v>187</v>
      </c>
      <c r="C91" s="2" t="s">
        <v>39</v>
      </c>
      <c r="D91" s="2">
        <v>20110901</v>
      </c>
      <c r="E91" s="2">
        <v>20110905</v>
      </c>
      <c r="F91" s="2">
        <v>3492.4</v>
      </c>
      <c r="G91" s="2">
        <v>2512.5</v>
      </c>
      <c r="H91" s="2">
        <v>21</v>
      </c>
      <c r="I91" s="2" t="s">
        <v>188</v>
      </c>
      <c r="J91" s="2" t="s">
        <v>189</v>
      </c>
      <c r="K91" s="2">
        <f>COUNTIF(Master!A$2:A$1695,A91)</f>
        <v>15</v>
      </c>
      <c r="L91" s="2" t="str">
        <f>IFERROR(AVERAGEIFS(Master!P$2:P$1695,Master!A$2:A$1695,A91,Master!O$2:O$1695,"Relevant"),"")</f>
        <v/>
      </c>
    </row>
    <row r="92" spans="1:12" ht="15" customHeight="1" x14ac:dyDescent="0.2">
      <c r="A92" s="2">
        <v>91</v>
      </c>
      <c r="B92" s="2" t="s">
        <v>190</v>
      </c>
      <c r="C92" s="2" t="s">
        <v>13</v>
      </c>
      <c r="D92" s="2">
        <v>20111029</v>
      </c>
      <c r="E92" s="2">
        <v>20111030</v>
      </c>
      <c r="F92" s="2">
        <v>1285.8</v>
      </c>
      <c r="G92" s="2">
        <v>925</v>
      </c>
      <c r="H92" s="2">
        <v>1</v>
      </c>
      <c r="I92" s="2" t="s">
        <v>95</v>
      </c>
      <c r="J92" s="2" t="s">
        <v>96</v>
      </c>
      <c r="K92" s="2">
        <f>COUNTIF(Master!A$2:A$1695,A92)</f>
        <v>1</v>
      </c>
      <c r="L92" s="2" t="str">
        <f>IFERROR(AVERAGEIFS(Master!P$2:P$1695,Master!A$2:A$1695,A92,Master!O$2:O$1695,"Relevant"),"")</f>
        <v/>
      </c>
    </row>
    <row r="93" spans="1:12" ht="15" customHeight="1" x14ac:dyDescent="0.2">
      <c r="A93" s="2">
        <v>92</v>
      </c>
      <c r="B93" s="2" t="s">
        <v>191</v>
      </c>
      <c r="C93" s="2" t="s">
        <v>21</v>
      </c>
      <c r="D93" s="2">
        <v>20110601</v>
      </c>
      <c r="E93" s="2">
        <v>20111130</v>
      </c>
      <c r="F93" s="2">
        <v>2549.1</v>
      </c>
      <c r="G93" s="2">
        <v>1820.8</v>
      </c>
      <c r="H93" s="2">
        <v>5</v>
      </c>
      <c r="I93" s="2" t="s">
        <v>192</v>
      </c>
      <c r="J93" s="2" t="s">
        <v>193</v>
      </c>
      <c r="K93" s="2">
        <f>COUNTIF(Master!A$2:A$1695,A93)</f>
        <v>2</v>
      </c>
      <c r="L93" s="2" t="str">
        <f>IFERROR(AVERAGEIFS(Master!P$2:P$1695,Master!A$2:A$1695,A93,Master!O$2:O$1695,"Relevant"),"")</f>
        <v/>
      </c>
    </row>
    <row r="94" spans="1:12" ht="15" customHeight="1" x14ac:dyDescent="0.2">
      <c r="A94" s="2">
        <v>93</v>
      </c>
      <c r="B94" s="2" t="s">
        <v>194</v>
      </c>
      <c r="C94" s="2" t="s">
        <v>17</v>
      </c>
      <c r="D94" s="2">
        <v>20120302</v>
      </c>
      <c r="E94" s="2">
        <v>20120303</v>
      </c>
      <c r="F94" s="2">
        <v>4317.8999999999996</v>
      </c>
      <c r="G94" s="2">
        <v>3128.8</v>
      </c>
      <c r="H94" s="2">
        <v>42</v>
      </c>
      <c r="I94" s="2" t="s">
        <v>131</v>
      </c>
      <c r="J94" s="2" t="s">
        <v>34</v>
      </c>
      <c r="K94" s="2">
        <f>COUNTIF(Master!A$2:A$1695,A94)</f>
        <v>0</v>
      </c>
      <c r="L94" s="2" t="str">
        <f>IFERROR(AVERAGEIFS(Master!P$2:P$1695,Master!A$2:A$1695,A94,Master!O$2:O$1695,"Relevant"),"")</f>
        <v/>
      </c>
    </row>
    <row r="95" spans="1:12" ht="15" customHeight="1" x14ac:dyDescent="0.2">
      <c r="A95" s="2">
        <v>94</v>
      </c>
      <c r="B95" s="2" t="s">
        <v>195</v>
      </c>
      <c r="C95" s="2" t="s">
        <v>17</v>
      </c>
      <c r="D95" s="2">
        <v>20120402</v>
      </c>
      <c r="E95" s="2">
        <v>20120403</v>
      </c>
      <c r="F95" s="2">
        <v>1390.9</v>
      </c>
      <c r="G95" s="2">
        <v>1015.3</v>
      </c>
      <c r="H95" s="2">
        <v>0</v>
      </c>
      <c r="I95" s="2" t="s">
        <v>125</v>
      </c>
      <c r="J95" s="2" t="s">
        <v>41</v>
      </c>
      <c r="K95" s="2">
        <f>COUNTIF(Master!A$2:A$1695,A95)</f>
        <v>7</v>
      </c>
      <c r="L95" s="2" t="str">
        <f>IFERROR(AVERAGEIFS(Master!P$2:P$1695,Master!A$2:A$1695,A95,Master!O$2:O$1695,"Relevant"),"")</f>
        <v/>
      </c>
    </row>
    <row r="96" spans="1:12" ht="15" customHeight="1" x14ac:dyDescent="0.2">
      <c r="A96" s="2">
        <v>95</v>
      </c>
      <c r="B96" s="2" t="s">
        <v>196</v>
      </c>
      <c r="C96" s="2" t="s">
        <v>17</v>
      </c>
      <c r="D96" s="2">
        <v>20120413</v>
      </c>
      <c r="E96" s="2">
        <v>20120414</v>
      </c>
      <c r="F96" s="2">
        <v>1539.4</v>
      </c>
      <c r="G96" s="2">
        <v>1123.5999999999999</v>
      </c>
      <c r="H96" s="2">
        <v>6</v>
      </c>
      <c r="I96" s="2" t="s">
        <v>36</v>
      </c>
      <c r="J96" s="2" t="s">
        <v>37</v>
      </c>
      <c r="K96" s="2">
        <f>COUNTIF(Master!A$2:A$1695,A96)</f>
        <v>12</v>
      </c>
      <c r="L96" s="2" t="str">
        <f>IFERROR(AVERAGEIFS(Master!P$2:P$1695,Master!A$2:A$1695,A96,Master!O$2:O$1695,"Relevant"),"")</f>
        <v/>
      </c>
    </row>
    <row r="97" spans="1:12" ht="15" customHeight="1" x14ac:dyDescent="0.2">
      <c r="A97" s="2">
        <v>96</v>
      </c>
      <c r="B97" s="2" t="s">
        <v>197</v>
      </c>
      <c r="C97" s="2" t="s">
        <v>17</v>
      </c>
      <c r="D97" s="2">
        <v>20120428</v>
      </c>
      <c r="E97" s="2">
        <v>20120501</v>
      </c>
      <c r="F97" s="2">
        <v>4488.6000000000004</v>
      </c>
      <c r="G97" s="2">
        <v>3276.3</v>
      </c>
      <c r="H97" s="2">
        <v>1</v>
      </c>
      <c r="I97" s="2" t="s">
        <v>33</v>
      </c>
      <c r="J97" s="2" t="s">
        <v>34</v>
      </c>
      <c r="K97" s="2">
        <f>COUNTIF(Master!A$2:A$1695,A97)</f>
        <v>0</v>
      </c>
      <c r="L97" s="2" t="str">
        <f>IFERROR(AVERAGEIFS(Master!P$2:P$1695,Master!A$2:A$1695,A97,Master!O$2:O$1695,"Relevant"),"")</f>
        <v/>
      </c>
    </row>
    <row r="98" spans="1:12" ht="15" customHeight="1" x14ac:dyDescent="0.2">
      <c r="A98" s="2">
        <v>97</v>
      </c>
      <c r="B98" s="2" t="s">
        <v>198</v>
      </c>
      <c r="C98" s="2" t="s">
        <v>17</v>
      </c>
      <c r="D98" s="2">
        <v>20120525</v>
      </c>
      <c r="E98" s="2">
        <v>20120530</v>
      </c>
      <c r="F98" s="2">
        <v>3156.1</v>
      </c>
      <c r="G98" s="2">
        <v>2303.6999999999998</v>
      </c>
      <c r="H98" s="2">
        <v>1</v>
      </c>
      <c r="I98" s="2" t="s">
        <v>199</v>
      </c>
      <c r="J98" s="2" t="s">
        <v>200</v>
      </c>
      <c r="K98" s="2">
        <f>COUNTIF(Master!A$2:A$1695,A98)</f>
        <v>0</v>
      </c>
      <c r="L98" s="2" t="str">
        <f>IFERROR(AVERAGEIFS(Master!P$2:P$1695,Master!A$2:A$1695,A98,Master!O$2:O$1695,"Relevant"),"")</f>
        <v/>
      </c>
    </row>
    <row r="99" spans="1:12" ht="15" customHeight="1" x14ac:dyDescent="0.2">
      <c r="A99" s="2">
        <v>98</v>
      </c>
      <c r="B99" s="2" t="s">
        <v>201</v>
      </c>
      <c r="C99" s="2" t="s">
        <v>17</v>
      </c>
      <c r="D99" s="2">
        <v>20120606</v>
      </c>
      <c r="E99" s="2">
        <v>20120612</v>
      </c>
      <c r="F99" s="2">
        <v>3559</v>
      </c>
      <c r="G99" s="2">
        <v>2597.8000000000002</v>
      </c>
      <c r="H99" s="2">
        <v>0</v>
      </c>
      <c r="I99" s="2" t="s">
        <v>202</v>
      </c>
      <c r="J99" s="2" t="s">
        <v>193</v>
      </c>
      <c r="K99" s="2">
        <f>COUNTIF(Master!A$2:A$1695,A99)</f>
        <v>0</v>
      </c>
      <c r="L99" s="2" t="str">
        <f>IFERROR(AVERAGEIFS(Master!P$2:P$1695,Master!A$2:A$1695,A99,Master!O$2:O$1695,"Relevant"),"")</f>
        <v/>
      </c>
    </row>
    <row r="100" spans="1:12" ht="15" customHeight="1" x14ac:dyDescent="0.2">
      <c r="A100" s="2">
        <v>99</v>
      </c>
      <c r="B100" s="2" t="s">
        <v>203</v>
      </c>
      <c r="C100" s="2" t="s">
        <v>17</v>
      </c>
      <c r="D100" s="2">
        <v>20120629</v>
      </c>
      <c r="E100" s="2">
        <v>20120702</v>
      </c>
      <c r="F100" s="2">
        <v>3957</v>
      </c>
      <c r="G100" s="2">
        <v>2888.4</v>
      </c>
      <c r="H100" s="2">
        <v>28</v>
      </c>
      <c r="I100" s="2" t="s">
        <v>204</v>
      </c>
      <c r="J100" s="2" t="s">
        <v>205</v>
      </c>
      <c r="K100" s="2">
        <f>COUNTIF(Master!A$2:A$1695,A100)</f>
        <v>1</v>
      </c>
      <c r="L100" s="2" t="str">
        <f>IFERROR(AVERAGEIFS(Master!P$2:P$1695,Master!A$2:A$1695,A100,Master!O$2:O$1695,"Relevant"),"")</f>
        <v/>
      </c>
    </row>
    <row r="101" spans="1:12" ht="15" customHeight="1" x14ac:dyDescent="0.2">
      <c r="A101" s="2">
        <v>100</v>
      </c>
      <c r="B101" s="2" t="s">
        <v>206</v>
      </c>
      <c r="C101" s="2" t="s">
        <v>39</v>
      </c>
      <c r="D101" s="2">
        <v>20120826</v>
      </c>
      <c r="E101" s="2">
        <v>20120831</v>
      </c>
      <c r="F101" s="2">
        <v>3786.1</v>
      </c>
      <c r="G101" s="2">
        <v>2763.5</v>
      </c>
      <c r="H101" s="2">
        <v>9</v>
      </c>
      <c r="I101" s="2" t="s">
        <v>207</v>
      </c>
      <c r="J101" s="2" t="s">
        <v>49</v>
      </c>
      <c r="K101" s="2">
        <f>COUNTIF(Master!A$2:A$1695,A101)</f>
        <v>17</v>
      </c>
      <c r="L101" s="2" t="str">
        <f>IFERROR(AVERAGEIFS(Master!P$2:P$1695,Master!A$2:A$1695,A101,Master!O$2:O$1695,"Relevant"),"")</f>
        <v/>
      </c>
    </row>
    <row r="102" spans="1:12" ht="15" customHeight="1" x14ac:dyDescent="0.2">
      <c r="A102" s="2">
        <v>101</v>
      </c>
      <c r="B102" s="2" t="s">
        <v>208</v>
      </c>
      <c r="C102" s="2" t="s">
        <v>39</v>
      </c>
      <c r="D102" s="2">
        <v>20121030</v>
      </c>
      <c r="E102" s="2">
        <v>20121031</v>
      </c>
      <c r="F102" s="2">
        <v>88453.9</v>
      </c>
      <c r="G102" s="2">
        <v>65039.6</v>
      </c>
      <c r="H102" s="2">
        <v>159</v>
      </c>
      <c r="I102" s="2" t="s">
        <v>209</v>
      </c>
      <c r="J102" s="2" t="s">
        <v>210</v>
      </c>
      <c r="K102" s="2">
        <f>COUNTIF(Master!A$2:A$1695,A102)</f>
        <v>4</v>
      </c>
      <c r="L102" s="2" t="str">
        <f>IFERROR(AVERAGEIFS(Master!P$2:P$1695,Master!A$2:A$1695,A102,Master!O$2:O$1695,"Relevant"),"")</f>
        <v/>
      </c>
    </row>
    <row r="103" spans="1:12" ht="15" customHeight="1" x14ac:dyDescent="0.2">
      <c r="A103" s="2">
        <v>102</v>
      </c>
      <c r="B103" s="2" t="s">
        <v>211</v>
      </c>
      <c r="C103" s="2" t="s">
        <v>21</v>
      </c>
      <c r="D103" s="2">
        <v>20120601</v>
      </c>
      <c r="E103" s="2">
        <v>20121130</v>
      </c>
      <c r="F103" s="2">
        <v>2381.6999999999998</v>
      </c>
      <c r="G103" s="2">
        <v>1738.5</v>
      </c>
      <c r="H103" s="2">
        <v>8</v>
      </c>
      <c r="I103" s="2" t="s">
        <v>22</v>
      </c>
      <c r="J103" s="2" t="s">
        <v>23</v>
      </c>
      <c r="K103" s="2">
        <f>COUNTIF(Master!A$2:A$1695,A103)</f>
        <v>16</v>
      </c>
      <c r="L103" s="2" t="str">
        <f>IFERROR(AVERAGEIFS(Master!P$2:P$1695,Master!A$2:A$1695,A103,Master!O$2:O$1695,"Relevant"),"")</f>
        <v/>
      </c>
    </row>
    <row r="104" spans="1:12" ht="15" customHeight="1" x14ac:dyDescent="0.2">
      <c r="A104" s="2">
        <v>103</v>
      </c>
      <c r="B104" s="2" t="s">
        <v>212</v>
      </c>
      <c r="C104" s="2" t="s">
        <v>29</v>
      </c>
      <c r="D104" s="2">
        <v>20120101</v>
      </c>
      <c r="E104" s="2">
        <v>20121231</v>
      </c>
      <c r="F104" s="2">
        <v>41705.199999999997</v>
      </c>
      <c r="G104" s="2">
        <v>30003.599999999999</v>
      </c>
      <c r="H104" s="2">
        <v>123</v>
      </c>
      <c r="I104" s="2" t="s">
        <v>43</v>
      </c>
      <c r="J104" s="2" t="s">
        <v>44</v>
      </c>
      <c r="K104" s="2">
        <f>COUNTIF(Master!A$2:A$1695,A104)</f>
        <v>11</v>
      </c>
      <c r="L104" s="2" t="str">
        <f>IFERROR(AVERAGEIFS(Master!P$2:P$1695,Master!A$2:A$1695,A104,Master!O$2:O$1695,"Relevant"),"")</f>
        <v/>
      </c>
    </row>
    <row r="105" spans="1:12" ht="15" customHeight="1" x14ac:dyDescent="0.2">
      <c r="A105" s="2">
        <v>104</v>
      </c>
      <c r="B105" s="2" t="s">
        <v>213</v>
      </c>
      <c r="C105" s="2" t="s">
        <v>17</v>
      </c>
      <c r="D105" s="2">
        <v>20130224</v>
      </c>
      <c r="E105" s="2">
        <v>20130225</v>
      </c>
      <c r="F105" s="2">
        <v>1253.9000000000001</v>
      </c>
      <c r="G105" s="2">
        <v>922</v>
      </c>
      <c r="H105" s="2">
        <v>1</v>
      </c>
      <c r="I105" s="2" t="s">
        <v>18</v>
      </c>
      <c r="J105" s="2" t="s">
        <v>19</v>
      </c>
      <c r="K105" s="2">
        <f>COUNTIF(Master!A$2:A$1695,A105)</f>
        <v>0</v>
      </c>
      <c r="L105" s="2" t="str">
        <f>IFERROR(AVERAGEIFS(Master!P$2:P$1695,Master!A$2:A$1695,A105,Master!O$2:O$1695,"Relevant"),"")</f>
        <v/>
      </c>
    </row>
    <row r="106" spans="1:12" ht="15" customHeight="1" x14ac:dyDescent="0.2">
      <c r="A106" s="2">
        <v>105</v>
      </c>
      <c r="B106" s="2" t="s">
        <v>214</v>
      </c>
      <c r="C106" s="2" t="s">
        <v>17</v>
      </c>
      <c r="D106" s="2">
        <v>20130318</v>
      </c>
      <c r="E106" s="2">
        <v>20130318</v>
      </c>
      <c r="F106" s="2">
        <v>2747.2</v>
      </c>
      <c r="G106" s="2">
        <v>2020</v>
      </c>
      <c r="H106" s="2">
        <v>1</v>
      </c>
      <c r="I106" s="2" t="s">
        <v>14</v>
      </c>
      <c r="J106" s="2" t="s">
        <v>15</v>
      </c>
      <c r="K106" s="2">
        <f>COUNTIF(Master!A$2:A$1695,A106)</f>
        <v>1</v>
      </c>
      <c r="L106" s="2" t="str">
        <f>IFERROR(AVERAGEIFS(Master!P$2:P$1695,Master!A$2:A$1695,A106,Master!O$2:O$1695,"Relevant"),"")</f>
        <v/>
      </c>
    </row>
    <row r="107" spans="1:12" ht="15" customHeight="1" x14ac:dyDescent="0.2">
      <c r="A107" s="2">
        <v>106</v>
      </c>
      <c r="B107" s="2" t="s">
        <v>215</v>
      </c>
      <c r="C107" s="2" t="s">
        <v>17</v>
      </c>
      <c r="D107" s="2">
        <v>20130407</v>
      </c>
      <c r="E107" s="2">
        <v>20130411</v>
      </c>
      <c r="F107" s="2">
        <v>1963.8</v>
      </c>
      <c r="G107" s="2">
        <v>1444</v>
      </c>
      <c r="H107" s="2">
        <v>1</v>
      </c>
      <c r="I107" s="2" t="s">
        <v>58</v>
      </c>
      <c r="J107" s="2" t="s">
        <v>59</v>
      </c>
      <c r="K107" s="2">
        <f>COUNTIF(Master!A$2:A$1695,A107)</f>
        <v>1</v>
      </c>
      <c r="L107" s="2" t="str">
        <f>IFERROR(AVERAGEIFS(Master!P$2:P$1695,Master!A$2:A$1695,A107,Master!O$2:O$1695,"Relevant"),"")</f>
        <v/>
      </c>
    </row>
    <row r="108" spans="1:12" ht="15" customHeight="1" x14ac:dyDescent="0.2">
      <c r="A108" s="2">
        <v>107</v>
      </c>
      <c r="B108" s="2" t="s">
        <v>216</v>
      </c>
      <c r="C108" s="2" t="s">
        <v>25</v>
      </c>
      <c r="D108" s="2">
        <v>20130416</v>
      </c>
      <c r="E108" s="2">
        <v>20130419</v>
      </c>
      <c r="F108" s="2">
        <v>1464.7</v>
      </c>
      <c r="G108" s="2">
        <v>1077</v>
      </c>
      <c r="H108" s="2">
        <v>4</v>
      </c>
      <c r="I108" s="2" t="s">
        <v>217</v>
      </c>
      <c r="J108" s="2" t="s">
        <v>218</v>
      </c>
      <c r="K108" s="2">
        <f>COUNTIF(Master!A$2:A$1695,A108)</f>
        <v>0</v>
      </c>
      <c r="L108" s="2" t="str">
        <f>IFERROR(AVERAGEIFS(Master!P$2:P$1695,Master!A$2:A$1695,A108,Master!O$2:O$1695,"Relevant"),"")</f>
        <v/>
      </c>
    </row>
    <row r="109" spans="1:12" ht="15" customHeight="1" x14ac:dyDescent="0.2">
      <c r="A109" s="2">
        <v>108</v>
      </c>
      <c r="B109" s="2" t="s">
        <v>219</v>
      </c>
      <c r="C109" s="2" t="s">
        <v>17</v>
      </c>
      <c r="D109" s="2">
        <v>20130518</v>
      </c>
      <c r="E109" s="2">
        <v>20130522</v>
      </c>
      <c r="F109" s="2">
        <v>3240.5</v>
      </c>
      <c r="G109" s="2">
        <v>2400.3000000000002</v>
      </c>
      <c r="H109" s="2">
        <v>27</v>
      </c>
      <c r="I109" s="2" t="s">
        <v>220</v>
      </c>
      <c r="J109" s="2" t="s">
        <v>155</v>
      </c>
      <c r="K109" s="2">
        <f>COUNTIF(Master!A$2:A$1695,A109)</f>
        <v>5</v>
      </c>
      <c r="L109" s="2" t="str">
        <f>IFERROR(AVERAGEIFS(Master!P$2:P$1695,Master!A$2:A$1695,A109,Master!O$2:O$1695,"Relevant"),"")</f>
        <v/>
      </c>
    </row>
    <row r="110" spans="1:12" ht="15" customHeight="1" x14ac:dyDescent="0.2">
      <c r="A110" s="2">
        <v>109</v>
      </c>
      <c r="B110" s="2" t="s">
        <v>221</v>
      </c>
      <c r="C110" s="2" t="s">
        <v>17</v>
      </c>
      <c r="D110" s="2">
        <v>20130527</v>
      </c>
      <c r="E110" s="2">
        <v>20130531</v>
      </c>
      <c r="F110" s="2">
        <v>2448.4</v>
      </c>
      <c r="G110" s="2">
        <v>1813.5</v>
      </c>
      <c r="H110" s="2">
        <v>10</v>
      </c>
      <c r="I110" s="2" t="s">
        <v>222</v>
      </c>
      <c r="J110" s="2" t="s">
        <v>223</v>
      </c>
      <c r="K110" s="2">
        <f>COUNTIF(Master!A$2:A$1695,A110)</f>
        <v>2</v>
      </c>
      <c r="L110" s="2" t="str">
        <f>IFERROR(AVERAGEIFS(Master!P$2:P$1695,Master!A$2:A$1695,A110,Master!O$2:O$1695,"Relevant"),"")</f>
        <v/>
      </c>
    </row>
    <row r="111" spans="1:12" ht="15" customHeight="1" x14ac:dyDescent="0.2">
      <c r="A111" s="2">
        <v>110</v>
      </c>
      <c r="B111" s="2" t="s">
        <v>224</v>
      </c>
      <c r="C111" s="2" t="s">
        <v>17</v>
      </c>
      <c r="D111" s="2">
        <v>20130806</v>
      </c>
      <c r="E111" s="2">
        <v>20130807</v>
      </c>
      <c r="F111" s="2">
        <v>1406.7</v>
      </c>
      <c r="G111" s="2">
        <v>1041.9000000000001</v>
      </c>
      <c r="H111" s="2">
        <v>0</v>
      </c>
      <c r="I111" s="2" t="s">
        <v>36</v>
      </c>
      <c r="J111" s="2" t="s">
        <v>37</v>
      </c>
      <c r="K111" s="2">
        <f>COUNTIF(Master!A$2:A$1695,A111)</f>
        <v>0</v>
      </c>
      <c r="L111" s="2" t="str">
        <f>IFERROR(AVERAGEIFS(Master!P$2:P$1695,Master!A$2:A$1695,A111,Master!O$2:O$1695,"Relevant"),"")</f>
        <v/>
      </c>
    </row>
    <row r="112" spans="1:12" ht="15" customHeight="1" x14ac:dyDescent="0.2">
      <c r="A112" s="2">
        <v>111</v>
      </c>
      <c r="B112" s="2" t="s">
        <v>225</v>
      </c>
      <c r="C112" s="2" t="s">
        <v>25</v>
      </c>
      <c r="D112" s="2">
        <v>20130910</v>
      </c>
      <c r="E112" s="2">
        <v>20130916</v>
      </c>
      <c r="F112" s="2">
        <v>2036.5</v>
      </c>
      <c r="G112" s="2">
        <v>1508.5</v>
      </c>
      <c r="H112" s="2">
        <v>9</v>
      </c>
      <c r="I112" s="2" t="s">
        <v>73</v>
      </c>
      <c r="J112" s="2" t="s">
        <v>74</v>
      </c>
      <c r="K112" s="2">
        <f>COUNTIF(Master!A$2:A$1695,A112)</f>
        <v>11</v>
      </c>
      <c r="L112" s="2" t="str">
        <f>IFERROR(AVERAGEIFS(Master!P$2:P$1695,Master!A$2:A$1695,A112,Master!O$2:O$1695,"Relevant"),"")</f>
        <v/>
      </c>
    </row>
    <row r="113" spans="1:12" ht="15" customHeight="1" x14ac:dyDescent="0.2">
      <c r="A113" s="2">
        <v>112</v>
      </c>
      <c r="B113" s="2" t="s">
        <v>226</v>
      </c>
      <c r="C113" s="2" t="s">
        <v>17</v>
      </c>
      <c r="D113" s="2">
        <v>20131117</v>
      </c>
      <c r="E113" s="2">
        <v>20131117</v>
      </c>
      <c r="F113" s="2">
        <v>1472.2</v>
      </c>
      <c r="G113" s="2">
        <v>1090.5999999999999</v>
      </c>
      <c r="H113" s="2">
        <v>8</v>
      </c>
      <c r="I113" s="2" t="s">
        <v>227</v>
      </c>
      <c r="J113" s="2" t="s">
        <v>34</v>
      </c>
      <c r="K113" s="2">
        <f>COUNTIF(Master!A$2:A$1695,A113)</f>
        <v>6</v>
      </c>
      <c r="L113" s="2" t="str">
        <f>IFERROR(AVERAGEIFS(Master!P$2:P$1695,Master!A$2:A$1695,A113,Master!O$2:O$1695,"Relevant"),"")</f>
        <v/>
      </c>
    </row>
    <row r="114" spans="1:12" ht="15" customHeight="1" x14ac:dyDescent="0.2">
      <c r="A114" s="2">
        <v>113</v>
      </c>
      <c r="B114" s="2" t="s">
        <v>228</v>
      </c>
      <c r="C114" s="2" t="s">
        <v>29</v>
      </c>
      <c r="D114" s="2">
        <v>20130301</v>
      </c>
      <c r="E114" s="2">
        <v>20131130</v>
      </c>
      <c r="F114" s="2">
        <v>14283.6</v>
      </c>
      <c r="G114" s="2">
        <v>10425.9</v>
      </c>
      <c r="H114" s="2">
        <v>53</v>
      </c>
      <c r="I114" s="2" t="s">
        <v>229</v>
      </c>
      <c r="J114" s="2" t="s">
        <v>230</v>
      </c>
      <c r="K114" s="2">
        <f>COUNTIF(Master!A$2:A$1695,A114)</f>
        <v>10</v>
      </c>
      <c r="L114" s="2" t="str">
        <f>IFERROR(AVERAGEIFS(Master!P$2:P$1695,Master!A$2:A$1695,A114,Master!O$2:O$1695,"Relevant"),"")</f>
        <v/>
      </c>
    </row>
    <row r="115" spans="1:12" ht="15" customHeight="1" x14ac:dyDescent="0.2">
      <c r="A115" s="2">
        <v>114</v>
      </c>
      <c r="B115" s="2" t="s">
        <v>231</v>
      </c>
      <c r="C115" s="2" t="s">
        <v>13</v>
      </c>
      <c r="D115" s="2">
        <v>20140105</v>
      </c>
      <c r="E115" s="2">
        <v>20140108</v>
      </c>
      <c r="F115" s="2">
        <v>2933.4</v>
      </c>
      <c r="G115" s="2">
        <v>2172.6999999999998</v>
      </c>
      <c r="H115" s="2">
        <v>16</v>
      </c>
      <c r="I115" s="2" t="s">
        <v>232</v>
      </c>
      <c r="J115" s="2" t="s">
        <v>233</v>
      </c>
      <c r="K115" s="2">
        <f>COUNTIF(Master!A$2:A$1695,A115)</f>
        <v>1</v>
      </c>
      <c r="L115" s="2" t="str">
        <f>IFERROR(AVERAGEIFS(Master!P$2:P$1695,Master!A$2:A$1695,A115,Master!O$2:O$1695,"Relevant"),"")</f>
        <v/>
      </c>
    </row>
    <row r="116" spans="1:12" ht="15" customHeight="1" x14ac:dyDescent="0.2">
      <c r="A116" s="2">
        <v>115</v>
      </c>
      <c r="B116" s="2" t="s">
        <v>234</v>
      </c>
      <c r="C116" s="2" t="s">
        <v>17</v>
      </c>
      <c r="D116" s="2">
        <v>20140402</v>
      </c>
      <c r="E116" s="2">
        <v>20140403</v>
      </c>
      <c r="F116" s="2">
        <v>1908.1</v>
      </c>
      <c r="G116" s="2">
        <v>1424</v>
      </c>
      <c r="H116" s="2">
        <v>0</v>
      </c>
      <c r="I116" s="2" t="s">
        <v>235</v>
      </c>
      <c r="J116" s="2" t="s">
        <v>146</v>
      </c>
      <c r="K116" s="2">
        <f>COUNTIF(Master!A$2:A$1695,A116)</f>
        <v>0</v>
      </c>
      <c r="L116" s="2" t="str">
        <f>IFERROR(AVERAGEIFS(Master!P$2:P$1695,Master!A$2:A$1695,A116,Master!O$2:O$1695,"Relevant"),"")</f>
        <v/>
      </c>
    </row>
    <row r="117" spans="1:12" ht="15" customHeight="1" x14ac:dyDescent="0.2">
      <c r="A117" s="2">
        <v>116</v>
      </c>
      <c r="B117" s="2" t="s">
        <v>236</v>
      </c>
      <c r="C117" s="2" t="s">
        <v>17</v>
      </c>
      <c r="D117" s="2">
        <v>20140412</v>
      </c>
      <c r="E117" s="2">
        <v>20140413</v>
      </c>
      <c r="F117" s="2">
        <v>1221.0999999999999</v>
      </c>
      <c r="G117" s="2">
        <v>918</v>
      </c>
      <c r="H117" s="2">
        <v>0</v>
      </c>
      <c r="I117" s="2" t="s">
        <v>102</v>
      </c>
      <c r="J117" s="2" t="s">
        <v>103</v>
      </c>
      <c r="K117" s="2">
        <f>COUNTIF(Master!A$2:A$1695,A117)</f>
        <v>1</v>
      </c>
      <c r="L117" s="2" t="str">
        <f>IFERROR(AVERAGEIFS(Master!P$2:P$1695,Master!A$2:A$1695,A117,Master!O$2:O$1695,"Relevant"),"")</f>
        <v/>
      </c>
    </row>
    <row r="118" spans="1:12" ht="15" customHeight="1" x14ac:dyDescent="0.2">
      <c r="A118" s="2">
        <v>117</v>
      </c>
      <c r="B118" s="2" t="s">
        <v>237</v>
      </c>
      <c r="C118" s="2" t="s">
        <v>17</v>
      </c>
      <c r="D118" s="2">
        <v>20140427</v>
      </c>
      <c r="E118" s="2">
        <v>20140501</v>
      </c>
      <c r="F118" s="2">
        <v>2309.1999999999998</v>
      </c>
      <c r="G118" s="2">
        <v>1736.1</v>
      </c>
      <c r="H118" s="2">
        <v>33</v>
      </c>
      <c r="I118" s="2" t="s">
        <v>232</v>
      </c>
      <c r="J118" s="2" t="s">
        <v>233</v>
      </c>
      <c r="K118" s="2">
        <f>COUNTIF(Master!A$2:A$1695,A118)</f>
        <v>6</v>
      </c>
      <c r="L118" s="2" t="str">
        <f>IFERROR(AVERAGEIFS(Master!P$2:P$1695,Master!A$2:A$1695,A118,Master!O$2:O$1695,"Relevant"),"")</f>
        <v/>
      </c>
    </row>
    <row r="119" spans="1:12" ht="15" customHeight="1" x14ac:dyDescent="0.2">
      <c r="A119" s="2">
        <v>118</v>
      </c>
      <c r="B119" s="2" t="s">
        <v>238</v>
      </c>
      <c r="C119" s="2" t="s">
        <v>17</v>
      </c>
      <c r="D119" s="2">
        <v>20140510</v>
      </c>
      <c r="E119" s="2">
        <v>20140514</v>
      </c>
      <c r="F119" s="2">
        <v>1134.5</v>
      </c>
      <c r="G119" s="2">
        <v>853</v>
      </c>
      <c r="H119" s="2">
        <v>0</v>
      </c>
      <c r="I119" s="2" t="s">
        <v>102</v>
      </c>
      <c r="J119" s="2" t="s">
        <v>103</v>
      </c>
      <c r="K119" s="2">
        <f>COUNTIF(Master!A$2:A$1695,A119)</f>
        <v>2</v>
      </c>
      <c r="L119" s="2" t="str">
        <f>IFERROR(AVERAGEIFS(Master!P$2:P$1695,Master!A$2:A$1695,A119,Master!O$2:O$1695,"Relevant"),"")</f>
        <v/>
      </c>
    </row>
    <row r="120" spans="1:12" ht="15" customHeight="1" x14ac:dyDescent="0.2">
      <c r="A120" s="2">
        <v>119</v>
      </c>
      <c r="B120" s="2" t="s">
        <v>239</v>
      </c>
      <c r="C120" s="2" t="s">
        <v>17</v>
      </c>
      <c r="D120" s="2">
        <v>20140518</v>
      </c>
      <c r="E120" s="2">
        <v>20140523</v>
      </c>
      <c r="F120" s="2">
        <v>4938.6000000000004</v>
      </c>
      <c r="G120" s="2">
        <v>3713.2</v>
      </c>
      <c r="H120" s="2">
        <v>0</v>
      </c>
      <c r="I120" s="2" t="s">
        <v>240</v>
      </c>
      <c r="J120" s="2" t="s">
        <v>241</v>
      </c>
      <c r="K120" s="2">
        <f>COUNTIF(Master!A$2:A$1695,A120)</f>
        <v>0</v>
      </c>
      <c r="L120" s="2" t="str">
        <f>IFERROR(AVERAGEIFS(Master!P$2:P$1695,Master!A$2:A$1695,A120,Master!O$2:O$1695,"Relevant"),"")</f>
        <v/>
      </c>
    </row>
    <row r="121" spans="1:12" ht="15" customHeight="1" x14ac:dyDescent="0.2">
      <c r="A121" s="2">
        <v>120</v>
      </c>
      <c r="B121" s="2" t="s">
        <v>242</v>
      </c>
      <c r="C121" s="2" t="s">
        <v>17</v>
      </c>
      <c r="D121" s="2">
        <v>20140603</v>
      </c>
      <c r="E121" s="2">
        <v>20140605</v>
      </c>
      <c r="F121" s="2">
        <v>2533.4</v>
      </c>
      <c r="G121" s="2">
        <v>1919.2</v>
      </c>
      <c r="H121" s="2">
        <v>2</v>
      </c>
      <c r="I121" s="2" t="s">
        <v>243</v>
      </c>
      <c r="J121" s="2" t="s">
        <v>59</v>
      </c>
      <c r="K121" s="2">
        <f>COUNTIF(Master!A$2:A$1695,A121)</f>
        <v>0</v>
      </c>
      <c r="L121" s="2" t="str">
        <f>IFERROR(AVERAGEIFS(Master!P$2:P$1695,Master!A$2:A$1695,A121,Master!O$2:O$1695,"Relevant"),"")</f>
        <v/>
      </c>
    </row>
    <row r="122" spans="1:12" ht="15" customHeight="1" x14ac:dyDescent="0.2">
      <c r="A122" s="2">
        <v>121</v>
      </c>
      <c r="B122" s="2" t="s">
        <v>244</v>
      </c>
      <c r="C122" s="2" t="s">
        <v>25</v>
      </c>
      <c r="D122" s="2">
        <v>20140811</v>
      </c>
      <c r="E122" s="2">
        <v>20140813</v>
      </c>
      <c r="F122" s="2">
        <v>1361.9</v>
      </c>
      <c r="G122" s="2">
        <v>1031.7</v>
      </c>
      <c r="H122" s="2">
        <v>2</v>
      </c>
      <c r="I122" s="2" t="s">
        <v>245</v>
      </c>
      <c r="J122" s="2" t="s">
        <v>210</v>
      </c>
      <c r="K122" s="2">
        <f>COUNTIF(Master!A$2:A$1695,A122)</f>
        <v>2</v>
      </c>
      <c r="L122" s="2" t="str">
        <f>IFERROR(AVERAGEIFS(Master!P$2:P$1695,Master!A$2:A$1695,A122,Master!O$2:O$1695,"Relevant"),"")</f>
        <v/>
      </c>
    </row>
    <row r="123" spans="1:12" ht="15" customHeight="1" x14ac:dyDescent="0.2">
      <c r="A123" s="2">
        <v>122</v>
      </c>
      <c r="B123" s="2" t="s">
        <v>246</v>
      </c>
      <c r="C123" s="2" t="s">
        <v>17</v>
      </c>
      <c r="D123" s="2">
        <v>20140929</v>
      </c>
      <c r="E123" s="2">
        <v>20141002</v>
      </c>
      <c r="F123" s="2">
        <v>1862.6</v>
      </c>
      <c r="G123" s="2">
        <v>1400.4</v>
      </c>
      <c r="H123" s="2">
        <v>0</v>
      </c>
      <c r="I123" s="2" t="s">
        <v>247</v>
      </c>
      <c r="J123" s="2" t="s">
        <v>146</v>
      </c>
      <c r="K123" s="2">
        <f>COUNTIF(Master!A$2:A$1695,A123)</f>
        <v>0</v>
      </c>
      <c r="L123" s="2" t="str">
        <f>IFERROR(AVERAGEIFS(Master!P$2:P$1695,Master!A$2:A$1695,A123,Master!O$2:O$1695,"Relevant"),"")</f>
        <v/>
      </c>
    </row>
    <row r="124" spans="1:12" ht="15" customHeight="1" x14ac:dyDescent="0.2">
      <c r="A124" s="2">
        <v>123</v>
      </c>
      <c r="B124" s="2" t="s">
        <v>248</v>
      </c>
      <c r="C124" s="2" t="s">
        <v>29</v>
      </c>
      <c r="D124" s="2">
        <v>20140101</v>
      </c>
      <c r="E124" s="2">
        <v>20141231</v>
      </c>
      <c r="F124" s="2">
        <v>5334.8</v>
      </c>
      <c r="G124" s="2">
        <v>3951.7</v>
      </c>
      <c r="H124" s="2">
        <v>0</v>
      </c>
      <c r="I124" s="2" t="s">
        <v>22</v>
      </c>
      <c r="J124" s="2" t="s">
        <v>23</v>
      </c>
      <c r="K124" s="2">
        <f>COUNTIF(Master!A$2:A$1695,A124)</f>
        <v>13</v>
      </c>
      <c r="L124" s="2" t="str">
        <f>IFERROR(AVERAGEIFS(Master!P$2:P$1695,Master!A$2:A$1695,A124,Master!O$2:O$1695,"Relevant"),"")</f>
        <v/>
      </c>
    </row>
    <row r="125" spans="1:12" ht="15" customHeight="1" x14ac:dyDescent="0.2">
      <c r="A125" s="2">
        <v>124</v>
      </c>
      <c r="B125" s="2" t="s">
        <v>249</v>
      </c>
      <c r="C125" s="2" t="s">
        <v>13</v>
      </c>
      <c r="D125" s="2">
        <v>20150214</v>
      </c>
      <c r="E125" s="2">
        <v>20150220</v>
      </c>
      <c r="F125" s="2">
        <v>3969.3</v>
      </c>
      <c r="G125" s="2">
        <v>2962.1</v>
      </c>
      <c r="H125" s="2">
        <v>30</v>
      </c>
      <c r="I125" s="2" t="s">
        <v>250</v>
      </c>
      <c r="J125" s="2" t="s">
        <v>251</v>
      </c>
      <c r="K125" s="2">
        <f>COUNTIF(Master!A$2:A$1695,A125)</f>
        <v>10</v>
      </c>
      <c r="L125" s="2" t="str">
        <f>IFERROR(AVERAGEIFS(Master!P$2:P$1695,Master!A$2:A$1695,A125,Master!O$2:O$1695,"Relevant"),"")</f>
        <v/>
      </c>
    </row>
    <row r="126" spans="1:12" ht="15" customHeight="1" x14ac:dyDescent="0.2">
      <c r="A126" s="2">
        <v>125</v>
      </c>
      <c r="B126" s="2" t="s">
        <v>252</v>
      </c>
      <c r="C126" s="2" t="s">
        <v>17</v>
      </c>
      <c r="D126" s="2">
        <v>20150407</v>
      </c>
      <c r="E126" s="2">
        <v>20150409</v>
      </c>
      <c r="F126" s="2">
        <v>2069</v>
      </c>
      <c r="G126" s="2">
        <v>1555.6</v>
      </c>
      <c r="H126" s="2">
        <v>2</v>
      </c>
      <c r="I126" s="2" t="s">
        <v>33</v>
      </c>
      <c r="J126" s="2" t="s">
        <v>34</v>
      </c>
      <c r="K126" s="2">
        <f>COUNTIF(Master!A$2:A$1695,A126)</f>
        <v>1</v>
      </c>
      <c r="L126" s="2" t="str">
        <f>IFERROR(AVERAGEIFS(Master!P$2:P$1695,Master!A$2:A$1695,A126,Master!O$2:O$1695,"Relevant"),"")</f>
        <v/>
      </c>
    </row>
    <row r="127" spans="1:12" ht="15" customHeight="1" x14ac:dyDescent="0.2">
      <c r="A127" s="2">
        <v>126</v>
      </c>
      <c r="B127" s="2" t="s">
        <v>253</v>
      </c>
      <c r="C127" s="2" t="s">
        <v>17</v>
      </c>
      <c r="D127" s="2">
        <v>20150418</v>
      </c>
      <c r="E127" s="2">
        <v>20150420</v>
      </c>
      <c r="F127" s="2">
        <v>1707.6</v>
      </c>
      <c r="G127" s="2">
        <v>1283.9000000000001</v>
      </c>
      <c r="H127" s="2">
        <v>0</v>
      </c>
      <c r="I127" s="2" t="s">
        <v>134</v>
      </c>
      <c r="J127" s="2" t="s">
        <v>19</v>
      </c>
      <c r="K127" s="2">
        <f>COUNTIF(Master!A$2:A$1695,A127)</f>
        <v>0</v>
      </c>
      <c r="L127" s="2" t="str">
        <f>IFERROR(AVERAGEIFS(Master!P$2:P$1695,Master!A$2:A$1695,A127,Master!O$2:O$1695,"Relevant"),"")</f>
        <v/>
      </c>
    </row>
    <row r="128" spans="1:12" ht="15" customHeight="1" x14ac:dyDescent="0.2">
      <c r="A128" s="2">
        <v>127</v>
      </c>
      <c r="B128" s="2" t="s">
        <v>254</v>
      </c>
      <c r="C128" s="2" t="s">
        <v>17</v>
      </c>
      <c r="D128" s="2">
        <v>20150424</v>
      </c>
      <c r="E128" s="2">
        <v>20150425</v>
      </c>
      <c r="F128" s="2">
        <v>1255.8</v>
      </c>
      <c r="G128" s="2">
        <v>944</v>
      </c>
      <c r="H128" s="2">
        <v>3</v>
      </c>
      <c r="I128" s="2" t="s">
        <v>134</v>
      </c>
      <c r="J128" s="2" t="s">
        <v>19</v>
      </c>
      <c r="K128" s="2">
        <f>COUNTIF(Master!A$2:A$1695,A128)</f>
        <v>1</v>
      </c>
      <c r="L128" s="2" t="str">
        <f>IFERROR(AVERAGEIFS(Master!P$2:P$1695,Master!A$2:A$1695,A128,Master!O$2:O$1695,"Relevant"),"")</f>
        <v/>
      </c>
    </row>
    <row r="129" spans="1:12" ht="15" customHeight="1" x14ac:dyDescent="0.2">
      <c r="A129" s="2">
        <v>128</v>
      </c>
      <c r="B129" s="2" t="s">
        <v>255</v>
      </c>
      <c r="C129" s="2" t="s">
        <v>17</v>
      </c>
      <c r="D129" s="2">
        <v>20150506</v>
      </c>
      <c r="E129" s="2">
        <v>20150510</v>
      </c>
      <c r="F129" s="2">
        <v>1691.9</v>
      </c>
      <c r="G129" s="2">
        <v>1272.0999999999999</v>
      </c>
      <c r="H129" s="2">
        <v>4</v>
      </c>
      <c r="I129" s="2" t="s">
        <v>256</v>
      </c>
      <c r="J129" s="2" t="s">
        <v>186</v>
      </c>
      <c r="K129" s="2">
        <f>COUNTIF(Master!A$2:A$1695,A129)</f>
        <v>12</v>
      </c>
      <c r="L129" s="2" t="str">
        <f>IFERROR(AVERAGEIFS(Master!P$2:P$1695,Master!A$2:A$1695,A129,Master!O$2:O$1695,"Relevant"),"")</f>
        <v/>
      </c>
    </row>
    <row r="130" spans="1:12" ht="15" customHeight="1" x14ac:dyDescent="0.2">
      <c r="A130" s="2">
        <v>129</v>
      </c>
      <c r="B130" s="2" t="s">
        <v>257</v>
      </c>
      <c r="C130" s="2" t="s">
        <v>25</v>
      </c>
      <c r="D130" s="2">
        <v>20150523</v>
      </c>
      <c r="E130" s="2">
        <v>20150526</v>
      </c>
      <c r="F130" s="2">
        <v>3375.6</v>
      </c>
      <c r="G130" s="2">
        <v>2500.4</v>
      </c>
      <c r="H130" s="2">
        <v>31</v>
      </c>
      <c r="I130" s="2" t="s">
        <v>258</v>
      </c>
      <c r="J130" s="2" t="s">
        <v>41</v>
      </c>
      <c r="K130" s="2">
        <f>COUNTIF(Master!A$2:A$1695,A130)</f>
        <v>12</v>
      </c>
      <c r="L130" s="2" t="str">
        <f>IFERROR(AVERAGEIFS(Master!P$2:P$1695,Master!A$2:A$1695,A130,Master!O$2:O$1695,"Relevant"),"")</f>
        <v/>
      </c>
    </row>
    <row r="131" spans="1:12" ht="15" customHeight="1" x14ac:dyDescent="0.2">
      <c r="A131" s="2">
        <v>130</v>
      </c>
      <c r="B131" s="2" t="s">
        <v>259</v>
      </c>
      <c r="C131" s="2" t="s">
        <v>17</v>
      </c>
      <c r="D131" s="2">
        <v>20150621</v>
      </c>
      <c r="E131" s="2">
        <v>20150625</v>
      </c>
      <c r="F131" s="2">
        <v>1547.1</v>
      </c>
      <c r="G131" s="2">
        <v>1172</v>
      </c>
      <c r="H131" s="2">
        <v>1</v>
      </c>
      <c r="I131" s="2" t="s">
        <v>260</v>
      </c>
      <c r="J131" s="2" t="s">
        <v>261</v>
      </c>
      <c r="K131" s="2">
        <f>COUNTIF(Master!A$2:A$1695,A131)</f>
        <v>1</v>
      </c>
      <c r="L131" s="2" t="str">
        <f>IFERROR(AVERAGEIFS(Master!P$2:P$1695,Master!A$2:A$1695,A131,Master!O$2:O$1695,"Relevant"),"")</f>
        <v/>
      </c>
    </row>
    <row r="132" spans="1:12" ht="15" customHeight="1" x14ac:dyDescent="0.2">
      <c r="A132" s="2">
        <v>131</v>
      </c>
      <c r="B132" s="2" t="s">
        <v>262</v>
      </c>
      <c r="C132" s="2" t="s">
        <v>25</v>
      </c>
      <c r="D132" s="2">
        <v>20151001</v>
      </c>
      <c r="E132" s="2">
        <v>20151005</v>
      </c>
      <c r="F132" s="2">
        <v>2657.6</v>
      </c>
      <c r="G132" s="2">
        <v>1998.2</v>
      </c>
      <c r="H132" s="2">
        <v>25</v>
      </c>
      <c r="I132" s="2" t="s">
        <v>51</v>
      </c>
      <c r="J132" s="2" t="s">
        <v>52</v>
      </c>
      <c r="K132" s="2">
        <f>COUNTIF(Master!A$2:A$1695,A132)</f>
        <v>5</v>
      </c>
      <c r="L132" s="2" t="str">
        <f>IFERROR(AVERAGEIFS(Master!P$2:P$1695,Master!A$2:A$1695,A132,Master!O$2:O$1695,"Relevant"),"")</f>
        <v/>
      </c>
    </row>
    <row r="133" spans="1:12" ht="15" customHeight="1" x14ac:dyDescent="0.2">
      <c r="A133" s="2">
        <v>132</v>
      </c>
      <c r="B133" s="2" t="s">
        <v>263</v>
      </c>
      <c r="C133" s="2" t="s">
        <v>21</v>
      </c>
      <c r="D133" s="2">
        <v>20150601</v>
      </c>
      <c r="E133" s="2">
        <v>20151130</v>
      </c>
      <c r="F133" s="2">
        <v>3996.9</v>
      </c>
      <c r="G133" s="2">
        <v>3028</v>
      </c>
      <c r="H133" s="2">
        <v>12</v>
      </c>
      <c r="I133" s="2" t="s">
        <v>22</v>
      </c>
      <c r="J133" s="2" t="s">
        <v>23</v>
      </c>
      <c r="K133" s="2">
        <f>COUNTIF(Master!A$2:A$1695,A133)</f>
        <v>13</v>
      </c>
      <c r="L133" s="2" t="str">
        <f>IFERROR(AVERAGEIFS(Master!P$2:P$1695,Master!A$2:A$1695,A133,Master!O$2:O$1695,"Relevant"),"")</f>
        <v/>
      </c>
    </row>
    <row r="134" spans="1:12" ht="15" customHeight="1" x14ac:dyDescent="0.2">
      <c r="A134" s="2">
        <v>133</v>
      </c>
      <c r="B134" s="2" t="s">
        <v>264</v>
      </c>
      <c r="C134" s="2" t="s">
        <v>17</v>
      </c>
      <c r="D134" s="2">
        <v>20151226</v>
      </c>
      <c r="E134" s="2">
        <v>20151229</v>
      </c>
      <c r="F134" s="2">
        <v>2609.3000000000002</v>
      </c>
      <c r="G134" s="2">
        <v>1961.9</v>
      </c>
      <c r="H134" s="2">
        <v>50</v>
      </c>
      <c r="I134" s="2" t="s">
        <v>265</v>
      </c>
      <c r="J134" s="2" t="s">
        <v>103</v>
      </c>
      <c r="K134" s="2">
        <f>COUNTIF(Master!A$2:A$1695,A134)</f>
        <v>15</v>
      </c>
      <c r="L134" s="2" t="str">
        <f>IFERROR(AVERAGEIFS(Master!P$2:P$1695,Master!A$2:A$1695,A134,Master!O$2:O$1695,"Relevant"),"")</f>
        <v/>
      </c>
    </row>
    <row r="135" spans="1:12" ht="15" customHeight="1" x14ac:dyDescent="0.2">
      <c r="A135" s="2">
        <v>134</v>
      </c>
      <c r="B135" s="2" t="s">
        <v>266</v>
      </c>
      <c r="C135" s="2" t="s">
        <v>29</v>
      </c>
      <c r="D135" s="2">
        <v>20150101</v>
      </c>
      <c r="E135" s="2">
        <v>20151231</v>
      </c>
      <c r="F135" s="2">
        <v>6029.3</v>
      </c>
      <c r="G135" s="2">
        <v>4466</v>
      </c>
      <c r="H135" s="2">
        <v>0</v>
      </c>
      <c r="I135" s="2" t="s">
        <v>22</v>
      </c>
      <c r="J135" s="2" t="s">
        <v>23</v>
      </c>
      <c r="K135" s="2">
        <f>COUNTIF(Master!A$2:A$1695,A135)</f>
        <v>23</v>
      </c>
      <c r="L135" s="2" t="str">
        <f>IFERROR(AVERAGEIFS(Master!P$2:P$1695,Master!A$2:A$1695,A135,Master!O$2:O$1695,"Relevant"),"")</f>
        <v/>
      </c>
    </row>
    <row r="136" spans="1:12" ht="15" customHeight="1" x14ac:dyDescent="0.2">
      <c r="A136" s="2">
        <v>135</v>
      </c>
      <c r="B136" s="2" t="s">
        <v>267</v>
      </c>
      <c r="C136" s="2" t="s">
        <v>17</v>
      </c>
      <c r="D136" s="2">
        <v>20160222</v>
      </c>
      <c r="E136" s="2">
        <v>20160224</v>
      </c>
      <c r="F136" s="2">
        <v>1383.5</v>
      </c>
      <c r="G136" s="2">
        <v>1040</v>
      </c>
      <c r="H136" s="2">
        <v>10</v>
      </c>
      <c r="I136" s="2" t="s">
        <v>268</v>
      </c>
      <c r="J136" s="2" t="s">
        <v>269</v>
      </c>
      <c r="K136" s="2">
        <f>COUNTIF(Master!A$2:A$1695,A136)</f>
        <v>6</v>
      </c>
      <c r="L136" s="2" t="str">
        <f>IFERROR(AVERAGEIFS(Master!P$2:P$1695,Master!A$2:A$1695,A136,Master!O$2:O$1695,"Relevant"),"")</f>
        <v/>
      </c>
    </row>
    <row r="137" spans="1:12" ht="15" customHeight="1" x14ac:dyDescent="0.2">
      <c r="A137" s="2">
        <v>136</v>
      </c>
      <c r="B137" s="2" t="s">
        <v>270</v>
      </c>
      <c r="C137" s="2" t="s">
        <v>25</v>
      </c>
      <c r="D137" s="2">
        <v>20160308</v>
      </c>
      <c r="E137" s="2">
        <v>20160312</v>
      </c>
      <c r="F137" s="2">
        <v>3052.1</v>
      </c>
      <c r="G137" s="2">
        <v>2294.8000000000002</v>
      </c>
      <c r="H137" s="2">
        <v>5</v>
      </c>
      <c r="I137" s="2" t="s">
        <v>40</v>
      </c>
      <c r="J137" s="2" t="s">
        <v>41</v>
      </c>
      <c r="K137" s="2">
        <f>COUNTIF(Master!A$2:A$1695,A137)</f>
        <v>4</v>
      </c>
      <c r="L137" s="2" t="str">
        <f>IFERROR(AVERAGEIFS(Master!P$2:P$1695,Master!A$2:A$1695,A137,Master!O$2:O$1695,"Relevant"),"")</f>
        <v/>
      </c>
    </row>
    <row r="138" spans="1:12" ht="15" customHeight="1" x14ac:dyDescent="0.2">
      <c r="A138" s="2">
        <v>137</v>
      </c>
      <c r="B138" s="2" t="s">
        <v>271</v>
      </c>
      <c r="C138" s="2" t="s">
        <v>17</v>
      </c>
      <c r="D138" s="2">
        <v>20160317</v>
      </c>
      <c r="E138" s="2">
        <v>20160318</v>
      </c>
      <c r="F138" s="2">
        <v>1597.6</v>
      </c>
      <c r="G138" s="2">
        <v>1210.3</v>
      </c>
      <c r="H138" s="2">
        <v>1</v>
      </c>
      <c r="I138" s="2" t="s">
        <v>18</v>
      </c>
      <c r="J138" s="2" t="s">
        <v>19</v>
      </c>
      <c r="K138" s="2">
        <f>COUNTIF(Master!A$2:A$1695,A138)</f>
        <v>1</v>
      </c>
      <c r="L138" s="2" t="str">
        <f>IFERROR(AVERAGEIFS(Master!P$2:P$1695,Master!A$2:A$1695,A138,Master!O$2:O$1695,"Relevant"),"")</f>
        <v/>
      </c>
    </row>
    <row r="139" spans="1:12" ht="15" customHeight="1" x14ac:dyDescent="0.2">
      <c r="A139" s="2">
        <v>138</v>
      </c>
      <c r="B139" s="2" t="s">
        <v>272</v>
      </c>
      <c r="C139" s="2" t="s">
        <v>17</v>
      </c>
      <c r="D139" s="2">
        <v>20160323</v>
      </c>
      <c r="E139" s="2">
        <v>20160324</v>
      </c>
      <c r="F139" s="2">
        <v>2725.5</v>
      </c>
      <c r="G139" s="2">
        <v>2064.8000000000002</v>
      </c>
      <c r="H139" s="2">
        <v>0</v>
      </c>
      <c r="I139" s="2" t="s">
        <v>125</v>
      </c>
      <c r="J139" s="2" t="s">
        <v>41</v>
      </c>
      <c r="K139" s="2">
        <f>COUNTIF(Master!A$2:A$1695,A139)</f>
        <v>0</v>
      </c>
      <c r="L139" s="2" t="str">
        <f>IFERROR(AVERAGEIFS(Master!P$2:P$1695,Master!A$2:A$1695,A139,Master!O$2:O$1695,"Relevant"),"")</f>
        <v/>
      </c>
    </row>
    <row r="140" spans="1:12" ht="15" customHeight="1" x14ac:dyDescent="0.2">
      <c r="A140" s="2">
        <v>139</v>
      </c>
      <c r="B140" s="2" t="s">
        <v>273</v>
      </c>
      <c r="C140" s="2" t="s">
        <v>17</v>
      </c>
      <c r="D140" s="2">
        <v>20160410</v>
      </c>
      <c r="E140" s="2">
        <v>20160412</v>
      </c>
      <c r="F140" s="2">
        <v>4618.1000000000004</v>
      </c>
      <c r="G140" s="2">
        <v>3498.6</v>
      </c>
      <c r="H140" s="2">
        <v>0</v>
      </c>
      <c r="I140" s="2" t="s">
        <v>265</v>
      </c>
      <c r="J140" s="2" t="s">
        <v>103</v>
      </c>
      <c r="K140" s="2">
        <f>COUNTIF(Master!A$2:A$1695,A140)</f>
        <v>3</v>
      </c>
      <c r="L140" s="2" t="str">
        <f>IFERROR(AVERAGEIFS(Master!P$2:P$1695,Master!A$2:A$1695,A140,Master!O$2:O$1695,"Relevant"),"")</f>
        <v/>
      </c>
    </row>
    <row r="141" spans="1:12" ht="15" customHeight="1" x14ac:dyDescent="0.2">
      <c r="A141" s="2">
        <v>140</v>
      </c>
      <c r="B141" s="2" t="s">
        <v>274</v>
      </c>
      <c r="C141" s="2" t="s">
        <v>25</v>
      </c>
      <c r="D141" s="2">
        <v>20160417</v>
      </c>
      <c r="E141" s="2">
        <v>20160418</v>
      </c>
      <c r="F141" s="2">
        <v>3559.1</v>
      </c>
      <c r="G141" s="2">
        <v>2676</v>
      </c>
      <c r="H141" s="2">
        <v>8</v>
      </c>
      <c r="I141" s="2" t="s">
        <v>125</v>
      </c>
      <c r="J141" s="2" t="s">
        <v>41</v>
      </c>
      <c r="K141" s="2">
        <f>COUNTIF(Master!A$2:A$1695,A141)</f>
        <v>1</v>
      </c>
      <c r="L141" s="2" t="str">
        <f>IFERROR(AVERAGEIFS(Master!P$2:P$1695,Master!A$2:A$1695,A141,Master!O$2:O$1695,"Relevant"),"")</f>
        <v/>
      </c>
    </row>
    <row r="142" spans="1:12" ht="15" customHeight="1" x14ac:dyDescent="0.2">
      <c r="A142" s="2">
        <v>141</v>
      </c>
      <c r="B142" s="2" t="s">
        <v>275</v>
      </c>
      <c r="C142" s="2" t="s">
        <v>17</v>
      </c>
      <c r="D142" s="2">
        <v>20160426</v>
      </c>
      <c r="E142" s="2">
        <v>20160502</v>
      </c>
      <c r="F142" s="2">
        <v>3160.8</v>
      </c>
      <c r="G142" s="2">
        <v>2394.5</v>
      </c>
      <c r="H142" s="2">
        <v>6</v>
      </c>
      <c r="I142" s="2" t="s">
        <v>134</v>
      </c>
      <c r="J142" s="2" t="s">
        <v>19</v>
      </c>
      <c r="K142" s="2">
        <f>COUNTIF(Master!A$2:A$1695,A142)</f>
        <v>1</v>
      </c>
      <c r="L142" s="2" t="str">
        <f>IFERROR(AVERAGEIFS(Master!P$2:P$1695,Master!A$2:A$1695,A142,Master!O$2:O$1695,"Relevant"),"")</f>
        <v/>
      </c>
    </row>
    <row r="143" spans="1:12" ht="15" customHeight="1" x14ac:dyDescent="0.2">
      <c r="A143" s="2">
        <v>142</v>
      </c>
      <c r="B143" s="2" t="s">
        <v>276</v>
      </c>
      <c r="C143" s="2" t="s">
        <v>17</v>
      </c>
      <c r="D143" s="2">
        <v>20160508</v>
      </c>
      <c r="E143" s="2">
        <v>20160511</v>
      </c>
      <c r="F143" s="2">
        <v>2252.9</v>
      </c>
      <c r="G143" s="2">
        <v>1719.6</v>
      </c>
      <c r="H143" s="2">
        <v>2</v>
      </c>
      <c r="I143" s="2" t="s">
        <v>58</v>
      </c>
      <c r="J143" s="2" t="s">
        <v>59</v>
      </c>
      <c r="K143" s="2">
        <f>COUNTIF(Master!A$2:A$1695,A143)</f>
        <v>3</v>
      </c>
      <c r="L143" s="2" t="str">
        <f>IFERROR(AVERAGEIFS(Master!P$2:P$1695,Master!A$2:A$1695,A143,Master!O$2:O$1695,"Relevant"),"")</f>
        <v/>
      </c>
    </row>
    <row r="144" spans="1:12" ht="15" customHeight="1" x14ac:dyDescent="0.2">
      <c r="A144" s="2">
        <v>143</v>
      </c>
      <c r="B144" s="2" t="s">
        <v>277</v>
      </c>
      <c r="C144" s="2" t="s">
        <v>17</v>
      </c>
      <c r="D144" s="2">
        <v>20160521</v>
      </c>
      <c r="E144" s="2">
        <v>20160526</v>
      </c>
      <c r="F144" s="2">
        <v>1501.5</v>
      </c>
      <c r="G144" s="2">
        <v>1146.3</v>
      </c>
      <c r="H144" s="2">
        <v>0</v>
      </c>
      <c r="I144" s="2" t="s">
        <v>243</v>
      </c>
      <c r="J144" s="2" t="s">
        <v>59</v>
      </c>
      <c r="K144" s="2">
        <f>COUNTIF(Master!A$2:A$1695,A144)</f>
        <v>2</v>
      </c>
      <c r="L144" s="2" t="str">
        <f>IFERROR(AVERAGEIFS(Master!P$2:P$1695,Master!A$2:A$1695,A144,Master!O$2:O$1695,"Relevant"),"")</f>
        <v/>
      </c>
    </row>
    <row r="145" spans="1:12" ht="15" customHeight="1" x14ac:dyDescent="0.2">
      <c r="A145" s="2">
        <v>144</v>
      </c>
      <c r="B145" s="2" t="s">
        <v>278</v>
      </c>
      <c r="C145" s="2" t="s">
        <v>25</v>
      </c>
      <c r="D145" s="2">
        <v>20160622</v>
      </c>
      <c r="E145" s="2">
        <v>20160624</v>
      </c>
      <c r="F145" s="2">
        <v>1288.5</v>
      </c>
      <c r="G145" s="2">
        <v>968.8</v>
      </c>
      <c r="H145" s="2">
        <v>23</v>
      </c>
      <c r="I145" s="2" t="s">
        <v>279</v>
      </c>
      <c r="J145" s="2" t="s">
        <v>280</v>
      </c>
      <c r="K145" s="2">
        <f>COUNTIF(Master!A$2:A$1695,A145)</f>
        <v>3</v>
      </c>
      <c r="L145" s="2" t="str">
        <f>IFERROR(AVERAGEIFS(Master!P$2:P$1695,Master!A$2:A$1695,A145,Master!O$2:O$1695,"Relevant"),"")</f>
        <v/>
      </c>
    </row>
    <row r="146" spans="1:12" ht="15" customHeight="1" x14ac:dyDescent="0.2">
      <c r="A146" s="2">
        <v>145</v>
      </c>
      <c r="B146" s="2" t="s">
        <v>281</v>
      </c>
      <c r="C146" s="2" t="s">
        <v>17</v>
      </c>
      <c r="D146" s="2">
        <v>20160728</v>
      </c>
      <c r="E146" s="2">
        <v>20160730</v>
      </c>
      <c r="F146" s="2">
        <v>1920</v>
      </c>
      <c r="G146" s="2">
        <v>1465.6</v>
      </c>
      <c r="H146" s="2">
        <v>0</v>
      </c>
      <c r="I146" s="2" t="s">
        <v>282</v>
      </c>
      <c r="J146" s="2" t="s">
        <v>283</v>
      </c>
      <c r="K146" s="2">
        <f>COUNTIF(Master!A$2:A$1695,A146)</f>
        <v>0</v>
      </c>
      <c r="L146" s="2" t="str">
        <f>IFERROR(AVERAGEIFS(Master!P$2:P$1695,Master!A$2:A$1695,A146,Master!O$2:O$1695,"Relevant"),"")</f>
        <v/>
      </c>
    </row>
    <row r="147" spans="1:12" ht="15" customHeight="1" x14ac:dyDescent="0.2">
      <c r="A147" s="2">
        <v>146</v>
      </c>
      <c r="B147" s="2" t="s">
        <v>284</v>
      </c>
      <c r="C147" s="2" t="s">
        <v>25</v>
      </c>
      <c r="D147" s="2">
        <v>20160812</v>
      </c>
      <c r="E147" s="2">
        <v>20160815</v>
      </c>
      <c r="F147" s="2">
        <v>13300</v>
      </c>
      <c r="G147" s="2">
        <v>10000</v>
      </c>
      <c r="H147" s="2">
        <v>13</v>
      </c>
      <c r="I147" s="2" t="s">
        <v>46</v>
      </c>
      <c r="J147" s="2" t="s">
        <v>41</v>
      </c>
      <c r="K147" s="2">
        <f>COUNTIF(Master!A$2:A$1695,A147)</f>
        <v>23</v>
      </c>
      <c r="L147" s="2" t="str">
        <f>IFERROR(AVERAGEIFS(Master!P$2:P$1695,Master!A$2:A$1695,A147,Master!O$2:O$1695,"Relevant"),"")</f>
        <v/>
      </c>
    </row>
    <row r="148" spans="1:12" ht="15" customHeight="1" x14ac:dyDescent="0.2">
      <c r="A148" s="2">
        <v>147</v>
      </c>
      <c r="B148" s="2" t="s">
        <v>285</v>
      </c>
      <c r="C148" s="2" t="s">
        <v>39</v>
      </c>
      <c r="D148" s="2">
        <v>20161008</v>
      </c>
      <c r="E148" s="2">
        <v>20161012</v>
      </c>
      <c r="F148" s="2">
        <v>13100</v>
      </c>
      <c r="G148" s="2">
        <v>10000</v>
      </c>
      <c r="H148" s="2">
        <v>49</v>
      </c>
      <c r="I148" s="2" t="s">
        <v>78</v>
      </c>
      <c r="J148" s="2" t="s">
        <v>27</v>
      </c>
      <c r="K148" s="2">
        <f>COUNTIF(Master!A$2:A$1695,A148)</f>
        <v>15</v>
      </c>
      <c r="L148" s="2" t="str">
        <f>IFERROR(AVERAGEIFS(Master!P$2:P$1695,Master!A$2:A$1695,A148,Master!O$2:O$1695,"Relevant"),"")</f>
        <v/>
      </c>
    </row>
    <row r="149" spans="1:12" ht="15" customHeight="1" x14ac:dyDescent="0.2">
      <c r="A149" s="2">
        <v>148</v>
      </c>
      <c r="B149" s="2" t="s">
        <v>286</v>
      </c>
      <c r="C149" s="2" t="s">
        <v>21</v>
      </c>
      <c r="D149" s="2">
        <v>20160601</v>
      </c>
      <c r="E149" s="2">
        <v>20161231</v>
      </c>
      <c r="F149" s="2">
        <v>3137.5</v>
      </c>
      <c r="G149" s="2">
        <v>2395</v>
      </c>
      <c r="H149" s="2">
        <v>21</v>
      </c>
      <c r="I149" s="2" t="s">
        <v>287</v>
      </c>
      <c r="J149" s="2" t="s">
        <v>288</v>
      </c>
      <c r="K149" s="2">
        <f>COUNTIF(Master!A$2:A$1695,A149)</f>
        <v>12</v>
      </c>
      <c r="L149" s="2" t="str">
        <f>IFERROR(AVERAGEIFS(Master!P$2:P$1695,Master!A$2:A$1695,A149,Master!O$2:O$1695,"Relevant"),"")</f>
        <v/>
      </c>
    </row>
    <row r="150" spans="1:12" ht="15" customHeight="1" x14ac:dyDescent="0.2">
      <c r="A150" s="2">
        <v>149</v>
      </c>
      <c r="B150" s="2" t="s">
        <v>289</v>
      </c>
      <c r="C150" s="2" t="s">
        <v>29</v>
      </c>
      <c r="D150" s="2">
        <v>20160101</v>
      </c>
      <c r="E150" s="2">
        <v>20161231</v>
      </c>
      <c r="F150" s="2">
        <v>4580</v>
      </c>
      <c r="G150" s="2">
        <v>3443.5</v>
      </c>
      <c r="H150" s="2">
        <v>0</v>
      </c>
      <c r="I150" s="2" t="s">
        <v>290</v>
      </c>
      <c r="J150" s="2" t="s">
        <v>291</v>
      </c>
      <c r="K150" s="2">
        <f>COUNTIF(Master!A$2:A$1695,A150)</f>
        <v>4</v>
      </c>
      <c r="L150" s="2" t="str">
        <f>IFERROR(AVERAGEIFS(Master!P$2:P$1695,Master!A$2:A$1695,A150,Master!O$2:O$1695,"Relevant"),"")</f>
        <v/>
      </c>
    </row>
    <row r="151" spans="1:12" ht="15" customHeight="1" x14ac:dyDescent="0.2">
      <c r="A151" s="2">
        <v>150</v>
      </c>
      <c r="B151" s="2" t="s">
        <v>292</v>
      </c>
      <c r="C151" s="2" t="s">
        <v>17</v>
      </c>
      <c r="D151" s="2">
        <v>20170120</v>
      </c>
      <c r="E151" s="2">
        <v>20170122</v>
      </c>
      <c r="F151" s="2">
        <v>1436.5</v>
      </c>
      <c r="G151" s="2">
        <v>1105</v>
      </c>
      <c r="H151" s="2">
        <v>24</v>
      </c>
      <c r="I151" s="2" t="s">
        <v>293</v>
      </c>
      <c r="J151" s="2" t="s">
        <v>294</v>
      </c>
      <c r="K151" s="2">
        <f>COUNTIF(Master!A$2:A$1695,A151)</f>
        <v>3</v>
      </c>
      <c r="L151" s="2" t="str">
        <f>IFERROR(AVERAGEIFS(Master!P$2:P$1695,Master!A$2:A$1695,A151,Master!O$2:O$1695,"Relevant"),"")</f>
        <v/>
      </c>
    </row>
    <row r="152" spans="1:12" ht="15" customHeight="1" x14ac:dyDescent="0.2">
      <c r="A152" s="2">
        <v>151</v>
      </c>
      <c r="B152" s="2" t="s">
        <v>295</v>
      </c>
      <c r="C152" s="2" t="s">
        <v>25</v>
      </c>
      <c r="D152" s="2">
        <v>20170208</v>
      </c>
      <c r="E152" s="2">
        <v>20170222</v>
      </c>
      <c r="F152" s="2">
        <v>1950</v>
      </c>
      <c r="G152" s="2">
        <v>1500</v>
      </c>
      <c r="H152" s="2">
        <v>5</v>
      </c>
      <c r="I152" s="2" t="s">
        <v>66</v>
      </c>
      <c r="J152" s="2" t="s">
        <v>67</v>
      </c>
      <c r="K152" s="2">
        <f>COUNTIF(Master!A$2:A$1695,A152)</f>
        <v>6</v>
      </c>
      <c r="L152" s="2" t="str">
        <f>IFERROR(AVERAGEIFS(Master!P$2:P$1695,Master!A$2:A$1695,A152,Master!O$2:O$1695,"Relevant"),"")</f>
        <v/>
      </c>
    </row>
    <row r="153" spans="1:12" ht="15" customHeight="1" x14ac:dyDescent="0.2">
      <c r="A153" s="2">
        <v>152</v>
      </c>
      <c r="B153" s="2" t="s">
        <v>296</v>
      </c>
      <c r="C153" s="2" t="s">
        <v>17</v>
      </c>
      <c r="D153" s="2">
        <v>20170228</v>
      </c>
      <c r="E153" s="2">
        <v>20170301</v>
      </c>
      <c r="F153" s="2">
        <v>2347.8000000000002</v>
      </c>
      <c r="G153" s="2">
        <v>1806</v>
      </c>
      <c r="H153" s="2">
        <v>6</v>
      </c>
      <c r="I153" s="2" t="s">
        <v>297</v>
      </c>
      <c r="J153" s="2" t="s">
        <v>109</v>
      </c>
      <c r="K153" s="2">
        <f>COUNTIF(Master!A$2:A$1695,A153)</f>
        <v>2</v>
      </c>
      <c r="L153" s="2" t="str">
        <f>IFERROR(AVERAGEIFS(Master!P$2:P$1695,Master!A$2:A$1695,A153,Master!O$2:O$1695,"Relevant"),"")</f>
        <v/>
      </c>
    </row>
    <row r="154" spans="1:12" ht="15" customHeight="1" x14ac:dyDescent="0.2">
      <c r="A154" s="2">
        <v>153</v>
      </c>
      <c r="B154" s="2" t="s">
        <v>298</v>
      </c>
      <c r="C154" s="2" t="s">
        <v>17</v>
      </c>
      <c r="D154" s="2">
        <v>20170306</v>
      </c>
      <c r="E154" s="2">
        <v>20170308</v>
      </c>
      <c r="F154" s="2">
        <v>2828.8</v>
      </c>
      <c r="G154" s="2">
        <v>2176</v>
      </c>
      <c r="H154" s="2">
        <v>2</v>
      </c>
      <c r="I154" s="2" t="s">
        <v>36</v>
      </c>
      <c r="J154" s="2" t="s">
        <v>37</v>
      </c>
      <c r="K154" s="2">
        <f>COUNTIF(Master!A$2:A$1695,A154)</f>
        <v>2</v>
      </c>
      <c r="L154" s="2" t="str">
        <f>IFERROR(AVERAGEIFS(Master!P$2:P$1695,Master!A$2:A$1695,A154,Master!O$2:O$1695,"Relevant"),"")</f>
        <v/>
      </c>
    </row>
    <row r="155" spans="1:12" ht="15" customHeight="1" x14ac:dyDescent="0.2">
      <c r="A155" s="2">
        <v>154</v>
      </c>
      <c r="B155" s="2" t="s">
        <v>299</v>
      </c>
      <c r="C155" s="2" t="s">
        <v>106</v>
      </c>
      <c r="D155" s="2">
        <v>20170314</v>
      </c>
      <c r="E155" s="2">
        <v>20170316</v>
      </c>
      <c r="F155" s="2">
        <v>1300</v>
      </c>
      <c r="G155" s="2">
        <v>1000</v>
      </c>
      <c r="H155" s="2">
        <v>0</v>
      </c>
      <c r="I155" s="2" t="s">
        <v>14</v>
      </c>
      <c r="J155" s="2" t="s">
        <v>15</v>
      </c>
      <c r="K155" s="2">
        <f>COUNTIF(Master!A$2:A$1695,A155)</f>
        <v>1</v>
      </c>
      <c r="L155" s="2" t="str">
        <f>IFERROR(AVERAGEIFS(Master!P$2:P$1695,Master!A$2:A$1695,A155,Master!O$2:O$1695,"Relevant"),"")</f>
        <v/>
      </c>
    </row>
    <row r="156" spans="1:12" ht="15" customHeight="1" x14ac:dyDescent="0.2">
      <c r="A156" s="2">
        <v>155</v>
      </c>
      <c r="B156" s="2" t="s">
        <v>300</v>
      </c>
      <c r="C156" s="2" t="s">
        <v>17</v>
      </c>
      <c r="D156" s="2">
        <v>20170326</v>
      </c>
      <c r="E156" s="2">
        <v>20170328</v>
      </c>
      <c r="F156" s="2">
        <v>3476.6</v>
      </c>
      <c r="G156" s="2">
        <v>2695</v>
      </c>
      <c r="H156" s="2">
        <v>0</v>
      </c>
      <c r="I156" s="2" t="s">
        <v>134</v>
      </c>
      <c r="J156" s="2" t="s">
        <v>19</v>
      </c>
      <c r="K156" s="2">
        <f>COUNTIF(Master!A$2:A$1695,A156)</f>
        <v>1</v>
      </c>
      <c r="L156" s="2" t="str">
        <f>IFERROR(AVERAGEIFS(Master!P$2:P$1695,Master!A$2:A$1695,A156,Master!O$2:O$1695,"Relevant"),"")</f>
        <v/>
      </c>
    </row>
    <row r="157" spans="1:12" ht="15" customHeight="1" x14ac:dyDescent="0.2">
      <c r="A157" s="2">
        <v>156</v>
      </c>
      <c r="B157" s="2" t="s">
        <v>301</v>
      </c>
      <c r="C157" s="2" t="s">
        <v>17</v>
      </c>
      <c r="D157" s="2">
        <v>20170404</v>
      </c>
      <c r="E157" s="2">
        <v>20170406</v>
      </c>
      <c r="F157" s="2">
        <v>1259.2</v>
      </c>
      <c r="G157" s="2">
        <v>976</v>
      </c>
      <c r="H157" s="2">
        <v>1</v>
      </c>
      <c r="I157" s="2" t="s">
        <v>14</v>
      </c>
      <c r="J157" s="2" t="s">
        <v>15</v>
      </c>
      <c r="K157" s="2">
        <f>COUNTIF(Master!A$2:A$1695,A157)</f>
        <v>5</v>
      </c>
      <c r="L157" s="2" t="str">
        <f>IFERROR(AVERAGEIFS(Master!P$2:P$1695,Master!A$2:A$1695,A157,Master!O$2:O$1695,"Relevant"),"")</f>
        <v/>
      </c>
    </row>
    <row r="158" spans="1:12" ht="15" customHeight="1" x14ac:dyDescent="0.2">
      <c r="A158" s="2">
        <v>157</v>
      </c>
      <c r="B158" s="2" t="s">
        <v>302</v>
      </c>
      <c r="C158" s="2" t="s">
        <v>17</v>
      </c>
      <c r="D158" s="2">
        <v>20170420</v>
      </c>
      <c r="E158" s="2">
        <v>20170422</v>
      </c>
      <c r="F158" s="2">
        <v>1152</v>
      </c>
      <c r="G158" s="2">
        <v>893</v>
      </c>
      <c r="H158" s="2">
        <v>0</v>
      </c>
      <c r="I158" s="2" t="s">
        <v>134</v>
      </c>
      <c r="J158" s="2" t="s">
        <v>19</v>
      </c>
      <c r="K158" s="2">
        <f>COUNTIF(Master!A$2:A$1695,A158)</f>
        <v>1</v>
      </c>
      <c r="L158" s="2" t="str">
        <f>IFERROR(AVERAGEIFS(Master!P$2:P$1695,Master!A$2:A$1695,A158,Master!O$2:O$1695,"Relevant"),"")</f>
        <v/>
      </c>
    </row>
    <row r="159" spans="1:12" ht="15" customHeight="1" x14ac:dyDescent="0.2">
      <c r="A159" s="2">
        <v>158</v>
      </c>
      <c r="B159" s="2" t="s">
        <v>303</v>
      </c>
      <c r="C159" s="2" t="s">
        <v>25</v>
      </c>
      <c r="D159" s="2">
        <v>20170425</v>
      </c>
      <c r="E159" s="2">
        <v>20170507</v>
      </c>
      <c r="F159" s="2">
        <v>2156.6999999999998</v>
      </c>
      <c r="G159" s="2">
        <v>1659</v>
      </c>
      <c r="H159" s="2">
        <v>20</v>
      </c>
      <c r="I159" s="2" t="s">
        <v>304</v>
      </c>
      <c r="J159" s="2" t="s">
        <v>103</v>
      </c>
      <c r="K159" s="2">
        <f>COUNTIF(Master!A$2:A$1695,A159)</f>
        <v>11</v>
      </c>
      <c r="L159" s="2" t="str">
        <f>IFERROR(AVERAGEIFS(Master!P$2:P$1695,Master!A$2:A$1695,A159,Master!O$2:O$1695,"Relevant"),"")</f>
        <v/>
      </c>
    </row>
    <row r="160" spans="1:12" ht="15" customHeight="1" x14ac:dyDescent="0.2">
      <c r="A160" s="2">
        <v>159</v>
      </c>
      <c r="B160" s="2" t="s">
        <v>305</v>
      </c>
      <c r="C160" s="2" t="s">
        <v>17</v>
      </c>
      <c r="D160" s="2">
        <v>20170508</v>
      </c>
      <c r="E160" s="2">
        <v>20170511</v>
      </c>
      <c r="F160" s="2">
        <v>4321.5</v>
      </c>
      <c r="G160" s="2">
        <v>3350</v>
      </c>
      <c r="H160" s="2">
        <v>0</v>
      </c>
      <c r="I160" s="2" t="s">
        <v>306</v>
      </c>
      <c r="J160" s="2" t="s">
        <v>307</v>
      </c>
      <c r="K160" s="2">
        <f>COUNTIF(Master!A$2:A$1695,A160)</f>
        <v>1</v>
      </c>
      <c r="L160" s="2" t="str">
        <f>IFERROR(AVERAGEIFS(Master!P$2:P$1695,Master!A$2:A$1695,A160,Master!O$2:O$1695,"Relevant"),"")</f>
        <v/>
      </c>
    </row>
    <row r="161" spans="1:12" ht="15" customHeight="1" x14ac:dyDescent="0.2">
      <c r="A161" s="2">
        <v>160</v>
      </c>
      <c r="B161" s="2" t="s">
        <v>308</v>
      </c>
      <c r="C161" s="2" t="s">
        <v>17</v>
      </c>
      <c r="D161" s="2">
        <v>20170515</v>
      </c>
      <c r="E161" s="2">
        <v>20170518</v>
      </c>
      <c r="F161" s="2">
        <v>1214.0999999999999</v>
      </c>
      <c r="G161" s="2">
        <v>941</v>
      </c>
      <c r="H161" s="2">
        <v>1</v>
      </c>
      <c r="I161" s="2" t="s">
        <v>36</v>
      </c>
      <c r="J161" s="2" t="s">
        <v>37</v>
      </c>
      <c r="K161" s="2">
        <f>COUNTIF(Master!A$2:A$1695,A161)</f>
        <v>2</v>
      </c>
      <c r="L161" s="2" t="str">
        <f>IFERROR(AVERAGEIFS(Master!P$2:P$1695,Master!A$2:A$1695,A161,Master!O$2:O$1695,"Relevant"),"")</f>
        <v/>
      </c>
    </row>
    <row r="162" spans="1:12" ht="15" customHeight="1" x14ac:dyDescent="0.2">
      <c r="A162" s="2">
        <v>161</v>
      </c>
      <c r="B162" s="2" t="s">
        <v>309</v>
      </c>
      <c r="C162" s="2" t="s">
        <v>17</v>
      </c>
      <c r="D162" s="2">
        <v>20170609</v>
      </c>
      <c r="E162" s="2">
        <v>20170611</v>
      </c>
      <c r="F162" s="2">
        <v>3031.5</v>
      </c>
      <c r="G162" s="2">
        <v>2350</v>
      </c>
      <c r="H162" s="2">
        <v>0</v>
      </c>
      <c r="I162" s="2" t="s">
        <v>310</v>
      </c>
      <c r="J162" s="2" t="s">
        <v>37</v>
      </c>
      <c r="K162" s="2">
        <f>COUNTIF(Master!A$2:A$1695,A162)</f>
        <v>0</v>
      </c>
      <c r="L162" s="2" t="str">
        <f>IFERROR(AVERAGEIFS(Master!P$2:P$1695,Master!A$2:A$1695,A162,Master!O$2:O$1695,"Relevant"),"")</f>
        <v/>
      </c>
    </row>
    <row r="163" spans="1:12" ht="15" customHeight="1" x14ac:dyDescent="0.2">
      <c r="A163" s="2">
        <v>162</v>
      </c>
      <c r="B163" s="2" t="s">
        <v>311</v>
      </c>
      <c r="C163" s="2" t="s">
        <v>17</v>
      </c>
      <c r="D163" s="2">
        <v>20170612</v>
      </c>
      <c r="E163" s="2">
        <v>20170616</v>
      </c>
      <c r="F163" s="2">
        <v>1946.7</v>
      </c>
      <c r="G163" s="2">
        <v>1509</v>
      </c>
      <c r="H163" s="2">
        <v>0</v>
      </c>
      <c r="I163" s="2" t="s">
        <v>36</v>
      </c>
      <c r="J163" s="2" t="s">
        <v>37</v>
      </c>
      <c r="K163" s="2">
        <f>COUNTIF(Master!A$2:A$1695,A163)</f>
        <v>0</v>
      </c>
      <c r="L163" s="2" t="str">
        <f>IFERROR(AVERAGEIFS(Master!P$2:P$1695,Master!A$2:A$1695,A163,Master!O$2:O$1695,"Relevant"),"")</f>
        <v/>
      </c>
    </row>
    <row r="164" spans="1:12" ht="15" customHeight="1" x14ac:dyDescent="0.2">
      <c r="A164" s="2">
        <v>163</v>
      </c>
      <c r="B164" s="2" t="s">
        <v>311</v>
      </c>
      <c r="C164" s="2" t="s">
        <v>17</v>
      </c>
      <c r="D164" s="2">
        <v>20170627</v>
      </c>
      <c r="E164" s="2">
        <v>20170629</v>
      </c>
      <c r="F164" s="2">
        <v>1838.3</v>
      </c>
      <c r="G164" s="2">
        <v>1425</v>
      </c>
      <c r="H164" s="2">
        <v>0</v>
      </c>
      <c r="I164" s="2" t="s">
        <v>36</v>
      </c>
      <c r="J164" s="2" t="s">
        <v>37</v>
      </c>
      <c r="K164" s="2">
        <f>COUNTIF(Master!A$2:A$1695,A164)</f>
        <v>0</v>
      </c>
      <c r="L164" s="2" t="str">
        <f>IFERROR(AVERAGEIFS(Master!P$2:P$1695,Master!A$2:A$1695,A164,Master!O$2:O$1695,"Relevant"),"")</f>
        <v/>
      </c>
    </row>
    <row r="165" spans="1:12" ht="15" customHeight="1" x14ac:dyDescent="0.2">
      <c r="A165" s="2">
        <v>164</v>
      </c>
      <c r="B165" s="2" t="s">
        <v>312</v>
      </c>
      <c r="C165" s="2" t="s">
        <v>39</v>
      </c>
      <c r="D165" s="2">
        <v>20170825</v>
      </c>
      <c r="E165" s="2">
        <v>20170831</v>
      </c>
      <c r="F165" s="2">
        <v>160000</v>
      </c>
      <c r="G165" s="2">
        <v>125000</v>
      </c>
      <c r="H165" s="2">
        <v>89</v>
      </c>
      <c r="I165" s="2" t="s">
        <v>40</v>
      </c>
      <c r="J165" s="2" t="s">
        <v>41</v>
      </c>
      <c r="K165" s="2">
        <f>COUNTIF(Master!A$2:A$1695,A165)</f>
        <v>17</v>
      </c>
      <c r="L165" s="2" t="str">
        <f>IFERROR(AVERAGEIFS(Master!P$2:P$1695,Master!A$2:A$1695,A165,Master!O$2:O$1695,"Relevant"),"")</f>
        <v/>
      </c>
    </row>
    <row r="166" spans="1:12" ht="15" customHeight="1" x14ac:dyDescent="0.2">
      <c r="A166" s="2">
        <v>165</v>
      </c>
      <c r="B166" s="2" t="s">
        <v>313</v>
      </c>
      <c r="C166" s="2" t="s">
        <v>39</v>
      </c>
      <c r="D166" s="2">
        <v>20170906</v>
      </c>
      <c r="E166" s="2">
        <v>20170912</v>
      </c>
      <c r="F166" s="2">
        <v>64000</v>
      </c>
      <c r="G166" s="2">
        <v>50000</v>
      </c>
      <c r="H166" s="2">
        <v>97</v>
      </c>
      <c r="I166" s="2" t="s">
        <v>314</v>
      </c>
      <c r="J166" s="2" t="s">
        <v>27</v>
      </c>
      <c r="K166" s="2">
        <f>COUNTIF(Master!A$2:A$1695,A166)</f>
        <v>16</v>
      </c>
      <c r="L166" s="2" t="str">
        <f>IFERROR(AVERAGEIFS(Master!P$2:P$1695,Master!A$2:A$1695,A166,Master!O$2:O$1695,"Relevant"),"")</f>
        <v/>
      </c>
    </row>
    <row r="167" spans="1:12" ht="15" customHeight="1" x14ac:dyDescent="0.2">
      <c r="A167" s="2">
        <v>166</v>
      </c>
      <c r="B167" s="2" t="s">
        <v>315</v>
      </c>
      <c r="C167" s="2" t="s">
        <v>39</v>
      </c>
      <c r="D167" s="2">
        <v>20170919</v>
      </c>
      <c r="E167" s="2">
        <v>20170921</v>
      </c>
      <c r="F167" s="2">
        <v>115200</v>
      </c>
      <c r="G167" s="2">
        <v>90000</v>
      </c>
      <c r="H167" s="2">
        <v>2981</v>
      </c>
      <c r="I167" s="2" t="s">
        <v>316</v>
      </c>
      <c r="J167" s="2" t="s">
        <v>44</v>
      </c>
      <c r="K167" s="2">
        <f>COUNTIF(Master!A$2:A$1695,A167)</f>
        <v>7</v>
      </c>
      <c r="L167" s="2" t="str">
        <f>IFERROR(AVERAGEIFS(Master!P$2:P$1695,Master!A$2:A$1695,A167,Master!O$2:O$1695,"Relevant"),"")</f>
        <v/>
      </c>
    </row>
    <row r="168" spans="1:12" ht="15" customHeight="1" x14ac:dyDescent="0.2">
      <c r="A168" s="2">
        <v>167</v>
      </c>
      <c r="B168" s="2" t="s">
        <v>317</v>
      </c>
      <c r="C168" s="2" t="s">
        <v>21</v>
      </c>
      <c r="D168" s="2">
        <v>20170601</v>
      </c>
      <c r="E168" s="2">
        <v>20171231</v>
      </c>
      <c r="F168" s="2">
        <v>23226.5</v>
      </c>
      <c r="G168" s="2">
        <v>18005</v>
      </c>
      <c r="H168" s="2">
        <v>54</v>
      </c>
      <c r="I168" s="2" t="s">
        <v>22</v>
      </c>
      <c r="J168" s="2" t="s">
        <v>23</v>
      </c>
      <c r="K168" s="2">
        <f>COUNTIF(Master!A$2:A$1695,A168)</f>
        <v>13</v>
      </c>
      <c r="L168" s="2" t="str">
        <f>IFERROR(AVERAGEIFS(Master!P$2:P$1695,Master!A$2:A$1695,A168,Master!O$2:O$1695,"Relevant"),"")</f>
        <v/>
      </c>
    </row>
    <row r="169" spans="1:12" ht="15" customHeight="1" x14ac:dyDescent="0.2">
      <c r="A169" s="2">
        <v>168</v>
      </c>
      <c r="B169" s="2" t="s">
        <v>318</v>
      </c>
      <c r="C169" s="2" t="s">
        <v>29</v>
      </c>
      <c r="D169" s="2">
        <v>20170301</v>
      </c>
      <c r="E169" s="2">
        <v>20171231</v>
      </c>
      <c r="F169" s="2">
        <v>3250</v>
      </c>
      <c r="G169" s="2">
        <v>2500</v>
      </c>
      <c r="H169" s="2">
        <v>0</v>
      </c>
      <c r="I169" s="2" t="s">
        <v>319</v>
      </c>
      <c r="J169" s="2" t="s">
        <v>320</v>
      </c>
      <c r="K169" s="2">
        <f>COUNTIF(Master!A$2:A$1695,A169)</f>
        <v>3</v>
      </c>
      <c r="L169" s="2" t="str">
        <f>IFERROR(AVERAGEIFS(Master!P$2:P$1695,Master!A$2:A$1695,A169,Master!O$2:O$1695,"Relevant"),"")</f>
        <v/>
      </c>
    </row>
    <row r="170" spans="1:12" ht="15" customHeight="1" x14ac:dyDescent="0.2">
      <c r="A170" s="2">
        <v>169</v>
      </c>
      <c r="B170" s="2" t="s">
        <v>321</v>
      </c>
      <c r="C170" s="2" t="s">
        <v>13</v>
      </c>
      <c r="D170" s="2">
        <v>20180103</v>
      </c>
      <c r="E170" s="2">
        <v>20180105</v>
      </c>
      <c r="F170" s="2">
        <v>1324.6</v>
      </c>
      <c r="G170" s="2">
        <v>1043</v>
      </c>
      <c r="H170" s="2">
        <v>22</v>
      </c>
      <c r="I170" s="2" t="s">
        <v>250</v>
      </c>
      <c r="J170" s="2" t="s">
        <v>251</v>
      </c>
      <c r="K170" s="2">
        <f>COUNTIF(Master!A$2:A$1695,A170)</f>
        <v>16</v>
      </c>
      <c r="L170" s="2" t="str">
        <f>IFERROR(AVERAGEIFS(Master!P$2:P$1695,Master!A$2:A$1695,A170,Master!O$2:O$1695,"Relevant"),"")</f>
        <v/>
      </c>
    </row>
    <row r="171" spans="1:12" ht="15" customHeight="1" x14ac:dyDescent="0.2">
      <c r="A171" s="2">
        <v>170</v>
      </c>
      <c r="B171" s="2" t="s">
        <v>322</v>
      </c>
      <c r="C171" s="2" t="s">
        <v>13</v>
      </c>
      <c r="D171" s="2">
        <v>20180301</v>
      </c>
      <c r="E171" s="2">
        <v>20180303</v>
      </c>
      <c r="F171" s="2">
        <v>2786.4</v>
      </c>
      <c r="G171" s="2">
        <v>2194</v>
      </c>
      <c r="H171" s="2">
        <v>9</v>
      </c>
      <c r="I171" s="2" t="s">
        <v>95</v>
      </c>
      <c r="J171" s="2" t="s">
        <v>96</v>
      </c>
      <c r="K171" s="2">
        <f>COUNTIF(Master!A$2:A$1695,A171)</f>
        <v>10</v>
      </c>
      <c r="L171" s="2" t="str">
        <f>IFERROR(AVERAGEIFS(Master!P$2:P$1695,Master!A$2:A$1695,A171,Master!O$2:O$1695,"Relevant"),"")</f>
        <v/>
      </c>
    </row>
    <row r="172" spans="1:12" ht="15" customHeight="1" x14ac:dyDescent="0.2">
      <c r="A172" s="2">
        <v>171</v>
      </c>
      <c r="B172" s="2" t="s">
        <v>323</v>
      </c>
      <c r="C172" s="2" t="s">
        <v>17</v>
      </c>
      <c r="D172" s="2">
        <v>20180318</v>
      </c>
      <c r="E172" s="2">
        <v>20180321</v>
      </c>
      <c r="F172" s="2">
        <v>1844.1</v>
      </c>
      <c r="G172" s="2">
        <v>1452</v>
      </c>
      <c r="H172" s="2">
        <v>0</v>
      </c>
      <c r="I172" s="2" t="s">
        <v>14</v>
      </c>
      <c r="J172" s="2" t="s">
        <v>15</v>
      </c>
      <c r="K172" s="2">
        <f>COUNTIF(Master!A$2:A$1695,A172)</f>
        <v>4</v>
      </c>
      <c r="L172" s="2" t="str">
        <f>IFERROR(AVERAGEIFS(Master!P$2:P$1695,Master!A$2:A$1695,A172,Master!O$2:O$1695,"Relevant"),"")</f>
        <v/>
      </c>
    </row>
    <row r="173" spans="1:12" ht="15" customHeight="1" x14ac:dyDescent="0.2">
      <c r="A173" s="2">
        <v>172</v>
      </c>
      <c r="B173" s="2" t="s">
        <v>324</v>
      </c>
      <c r="C173" s="2" t="s">
        <v>17</v>
      </c>
      <c r="D173" s="2">
        <v>20180413</v>
      </c>
      <c r="E173" s="2">
        <v>20180416</v>
      </c>
      <c r="F173" s="2">
        <v>1660.7</v>
      </c>
      <c r="G173" s="2">
        <v>1318</v>
      </c>
      <c r="H173" s="2">
        <v>3</v>
      </c>
      <c r="I173" s="2" t="s">
        <v>61</v>
      </c>
      <c r="J173" s="2" t="s">
        <v>62</v>
      </c>
      <c r="K173" s="2">
        <f>COUNTIF(Master!A$2:A$1695,A173)</f>
        <v>2</v>
      </c>
      <c r="L173" s="2" t="str">
        <f>IFERROR(AVERAGEIFS(Master!P$2:P$1695,Master!A$2:A$1695,A173,Master!O$2:O$1695,"Relevant"),"")</f>
        <v/>
      </c>
    </row>
    <row r="174" spans="1:12" ht="15" customHeight="1" x14ac:dyDescent="0.2">
      <c r="A174" s="2">
        <v>173</v>
      </c>
      <c r="B174" s="2" t="s">
        <v>325</v>
      </c>
      <c r="C174" s="2" t="s">
        <v>17</v>
      </c>
      <c r="D174" s="2">
        <v>20180501</v>
      </c>
      <c r="E174" s="2">
        <v>20180504</v>
      </c>
      <c r="F174" s="2">
        <v>1751.3</v>
      </c>
      <c r="G174" s="2">
        <v>1390</v>
      </c>
      <c r="H174" s="2">
        <v>0</v>
      </c>
      <c r="I174" s="2" t="s">
        <v>260</v>
      </c>
      <c r="J174" s="2" t="s">
        <v>261</v>
      </c>
      <c r="K174" s="2">
        <f>COUNTIF(Master!A$2:A$1695,A174)</f>
        <v>2</v>
      </c>
      <c r="L174" s="2" t="str">
        <f>IFERROR(AVERAGEIFS(Master!P$2:P$1695,Master!A$2:A$1695,A174,Master!O$2:O$1695,"Relevant"),"")</f>
        <v/>
      </c>
    </row>
    <row r="175" spans="1:12" ht="15" customHeight="1" x14ac:dyDescent="0.2">
      <c r="A175" s="2">
        <v>174</v>
      </c>
      <c r="B175" s="2" t="s">
        <v>326</v>
      </c>
      <c r="C175" s="2" t="s">
        <v>17</v>
      </c>
      <c r="D175" s="2">
        <v>20180513</v>
      </c>
      <c r="E175" s="2">
        <v>20180515</v>
      </c>
      <c r="F175" s="2">
        <v>1726.2</v>
      </c>
      <c r="G175" s="2">
        <v>1370</v>
      </c>
      <c r="H175" s="2">
        <v>5</v>
      </c>
      <c r="I175" s="2" t="s">
        <v>250</v>
      </c>
      <c r="J175" s="2" t="s">
        <v>251</v>
      </c>
      <c r="K175" s="2">
        <f>COUNTIF(Master!A$2:A$1695,A175)</f>
        <v>2</v>
      </c>
      <c r="L175" s="2" t="str">
        <f>IFERROR(AVERAGEIFS(Master!P$2:P$1695,Master!A$2:A$1695,A175,Master!O$2:O$1695,"Relevant"),"")</f>
        <v/>
      </c>
    </row>
    <row r="176" spans="1:12" ht="15" customHeight="1" x14ac:dyDescent="0.2">
      <c r="A176" s="2">
        <v>175</v>
      </c>
      <c r="B176" s="2" t="s">
        <v>327</v>
      </c>
      <c r="C176" s="2" t="s">
        <v>17</v>
      </c>
      <c r="D176" s="2">
        <v>20180606</v>
      </c>
      <c r="E176" s="2">
        <v>20180606</v>
      </c>
      <c r="F176" s="2">
        <v>1625</v>
      </c>
      <c r="G176" s="2">
        <v>1300</v>
      </c>
      <c r="H176" s="2">
        <v>0</v>
      </c>
      <c r="I176" s="2" t="s">
        <v>125</v>
      </c>
      <c r="J176" s="2" t="s">
        <v>41</v>
      </c>
      <c r="K176" s="2">
        <f>COUNTIF(Master!A$2:A$1695,A176)</f>
        <v>0</v>
      </c>
      <c r="L176" s="2" t="str">
        <f>IFERROR(AVERAGEIFS(Master!P$2:P$1695,Master!A$2:A$1695,A176,Master!O$2:O$1695,"Relevant"),"")</f>
        <v/>
      </c>
    </row>
    <row r="177" spans="1:12" ht="15" customHeight="1" x14ac:dyDescent="0.2">
      <c r="A177" s="2">
        <v>176</v>
      </c>
      <c r="B177" s="2" t="s">
        <v>328</v>
      </c>
      <c r="C177" s="2" t="s">
        <v>17</v>
      </c>
      <c r="D177" s="2">
        <v>20180613</v>
      </c>
      <c r="E177" s="2">
        <v>20180613</v>
      </c>
      <c r="F177" s="2">
        <v>1193.8</v>
      </c>
      <c r="G177" s="2">
        <v>955</v>
      </c>
      <c r="H177" s="2">
        <v>0</v>
      </c>
      <c r="I177" s="2" t="s">
        <v>73</v>
      </c>
      <c r="J177" s="2" t="s">
        <v>74</v>
      </c>
      <c r="K177" s="2">
        <f>COUNTIF(Master!A$2:A$1695,A177)</f>
        <v>3</v>
      </c>
      <c r="L177" s="2" t="str">
        <f>IFERROR(AVERAGEIFS(Master!P$2:P$1695,Master!A$2:A$1695,A177,Master!O$2:O$1695,"Relevant"),"")</f>
        <v/>
      </c>
    </row>
    <row r="178" spans="1:12" ht="15" customHeight="1" x14ac:dyDescent="0.2">
      <c r="A178" s="2">
        <v>177</v>
      </c>
      <c r="B178" s="2" t="s">
        <v>328</v>
      </c>
      <c r="C178" s="2" t="s">
        <v>17</v>
      </c>
      <c r="D178" s="2">
        <v>20180618</v>
      </c>
      <c r="E178" s="2">
        <v>20180619</v>
      </c>
      <c r="F178" s="2">
        <v>2778.8</v>
      </c>
      <c r="G178" s="2">
        <v>2223</v>
      </c>
      <c r="H178" s="2">
        <v>0</v>
      </c>
      <c r="I178" s="2" t="s">
        <v>73</v>
      </c>
      <c r="J178" s="2" t="s">
        <v>74</v>
      </c>
      <c r="K178" s="2">
        <f>COUNTIF(Master!A$2:A$1695,A178)</f>
        <v>3</v>
      </c>
      <c r="L178" s="2" t="str">
        <f>IFERROR(AVERAGEIFS(Master!P$2:P$1695,Master!A$2:A$1695,A178,Master!O$2:O$1695,"Relevant"),"")</f>
        <v/>
      </c>
    </row>
    <row r="179" spans="1:12" ht="15" customHeight="1" x14ac:dyDescent="0.2">
      <c r="A179" s="2">
        <v>178</v>
      </c>
      <c r="B179" s="2" t="s">
        <v>329</v>
      </c>
      <c r="C179" s="2" t="s">
        <v>17</v>
      </c>
      <c r="D179" s="2">
        <v>20180719</v>
      </c>
      <c r="E179" s="2">
        <v>20180722</v>
      </c>
      <c r="F179" s="2">
        <v>1981.6</v>
      </c>
      <c r="G179" s="2">
        <v>1585</v>
      </c>
      <c r="H179" s="2">
        <v>0</v>
      </c>
      <c r="I179" s="2" t="s">
        <v>250</v>
      </c>
      <c r="J179" s="2" t="s">
        <v>251</v>
      </c>
      <c r="K179" s="2">
        <f>COUNTIF(Master!A$2:A$1695,A179)</f>
        <v>0</v>
      </c>
      <c r="L179" s="2" t="str">
        <f>IFERROR(AVERAGEIFS(Master!P$2:P$1695,Master!A$2:A$1695,A179,Master!O$2:O$1695,"Relevant"),"")</f>
        <v/>
      </c>
    </row>
    <row r="180" spans="1:12" ht="15" customHeight="1" x14ac:dyDescent="0.2">
      <c r="A180" s="2">
        <v>179</v>
      </c>
      <c r="B180" s="2" t="s">
        <v>330</v>
      </c>
      <c r="C180" s="2" t="s">
        <v>17</v>
      </c>
      <c r="D180" s="2">
        <v>20180726</v>
      </c>
      <c r="E180" s="2">
        <v>20180729</v>
      </c>
      <c r="F180" s="2">
        <v>1063.8</v>
      </c>
      <c r="G180" s="2">
        <v>851</v>
      </c>
      <c r="H180" s="2">
        <v>0</v>
      </c>
      <c r="I180" s="2" t="s">
        <v>22</v>
      </c>
      <c r="J180" s="2" t="s">
        <v>23</v>
      </c>
      <c r="K180" s="2">
        <f>COUNTIF(Master!A$2:A$1695,A180)</f>
        <v>0</v>
      </c>
      <c r="L180" s="2" t="str">
        <f>IFERROR(AVERAGEIFS(Master!P$2:P$1695,Master!A$2:A$1695,A180,Master!O$2:O$1695,"Relevant"),"")</f>
        <v/>
      </c>
    </row>
    <row r="181" spans="1:12" ht="15" customHeight="1" x14ac:dyDescent="0.2">
      <c r="A181" s="2">
        <v>180</v>
      </c>
      <c r="B181" s="2" t="s">
        <v>331</v>
      </c>
      <c r="C181" s="2" t="s">
        <v>17</v>
      </c>
      <c r="D181" s="2">
        <v>20180806</v>
      </c>
      <c r="E181" s="2">
        <v>20180807</v>
      </c>
      <c r="F181" s="2">
        <v>1281.4000000000001</v>
      </c>
      <c r="G181" s="2">
        <v>1025</v>
      </c>
      <c r="H181" s="2">
        <v>0</v>
      </c>
      <c r="I181" s="2" t="s">
        <v>247</v>
      </c>
      <c r="J181" s="2" t="s">
        <v>146</v>
      </c>
      <c r="K181" s="2">
        <f>COUNTIF(Master!A$2:A$1695,A181)</f>
        <v>3</v>
      </c>
      <c r="L181" s="2" t="str">
        <f>IFERROR(AVERAGEIFS(Master!P$2:P$1695,Master!A$2:A$1695,A181,Master!O$2:O$1695,"Relevant"),"")</f>
        <v/>
      </c>
    </row>
    <row r="182" spans="1:12" ht="15" customHeight="1" x14ac:dyDescent="0.2">
      <c r="A182" s="2">
        <v>181</v>
      </c>
      <c r="B182" s="2" t="s">
        <v>332</v>
      </c>
      <c r="C182" s="2" t="s">
        <v>39</v>
      </c>
      <c r="D182" s="2">
        <v>20180913</v>
      </c>
      <c r="E182" s="2">
        <v>20180916</v>
      </c>
      <c r="F182" s="2">
        <v>30000</v>
      </c>
      <c r="G182" s="2">
        <v>24000</v>
      </c>
      <c r="H182" s="2">
        <v>53</v>
      </c>
      <c r="I182" s="2" t="s">
        <v>333</v>
      </c>
      <c r="J182" s="2" t="s">
        <v>27</v>
      </c>
      <c r="K182" s="2">
        <f>COUNTIF(Master!A$2:A$1695,A182)</f>
        <v>10</v>
      </c>
      <c r="L182" s="2" t="str">
        <f>IFERROR(AVERAGEIFS(Master!P$2:P$1695,Master!A$2:A$1695,A182,Master!O$2:O$1695,"Relevant"),"")</f>
        <v/>
      </c>
    </row>
    <row r="183" spans="1:12" ht="15" customHeight="1" x14ac:dyDescent="0.2">
      <c r="A183" s="2">
        <v>182</v>
      </c>
      <c r="B183" s="2" t="s">
        <v>334</v>
      </c>
      <c r="C183" s="2" t="s">
        <v>39</v>
      </c>
      <c r="D183" s="2">
        <v>20181010</v>
      </c>
      <c r="E183" s="2">
        <v>20181011</v>
      </c>
      <c r="F183" s="2">
        <v>31218.799999999999</v>
      </c>
      <c r="G183" s="2">
        <v>24975</v>
      </c>
      <c r="H183" s="2">
        <v>49</v>
      </c>
      <c r="I183" s="2" t="s">
        <v>335</v>
      </c>
      <c r="J183" s="2" t="s">
        <v>15</v>
      </c>
      <c r="K183" s="2">
        <f>COUNTIF(Master!A$2:A$1695,A183)</f>
        <v>30</v>
      </c>
      <c r="L183" s="2" t="str">
        <f>IFERROR(AVERAGEIFS(Master!P$2:P$1695,Master!A$2:A$1695,A183,Master!O$2:O$1695,"Relevant"),"")</f>
        <v/>
      </c>
    </row>
    <row r="184" spans="1:12" ht="15" customHeight="1" x14ac:dyDescent="0.2">
      <c r="A184" s="2">
        <v>183</v>
      </c>
      <c r="B184" s="2" t="s">
        <v>336</v>
      </c>
      <c r="C184" s="2" t="s">
        <v>29</v>
      </c>
      <c r="D184" s="2">
        <v>20180601</v>
      </c>
      <c r="E184" s="2">
        <v>20181230</v>
      </c>
      <c r="F184" s="2">
        <v>3797.4</v>
      </c>
      <c r="G184" s="2">
        <v>2990</v>
      </c>
      <c r="H184" s="2">
        <v>0</v>
      </c>
      <c r="I184" s="2" t="s">
        <v>185</v>
      </c>
      <c r="J184" s="2" t="s">
        <v>186</v>
      </c>
      <c r="K184" s="2">
        <f>COUNTIF(Master!A$2:A$1695,A184)</f>
        <v>1</v>
      </c>
      <c r="L184" s="2" t="str">
        <f>IFERROR(AVERAGEIFS(Master!P$2:P$1695,Master!A$2:A$1695,A184,Master!O$2:O$1695,"Relevant"),"")</f>
        <v/>
      </c>
    </row>
    <row r="185" spans="1:12" ht="15" customHeight="1" x14ac:dyDescent="0.2">
      <c r="A185" s="2">
        <v>184</v>
      </c>
      <c r="B185" s="2" t="s">
        <v>337</v>
      </c>
      <c r="C185" s="2" t="s">
        <v>21</v>
      </c>
      <c r="D185" s="2">
        <v>20180601</v>
      </c>
      <c r="E185" s="2">
        <v>20181231</v>
      </c>
      <c r="F185" s="2">
        <v>30000</v>
      </c>
      <c r="G185" s="2">
        <v>24000</v>
      </c>
      <c r="H185" s="2">
        <v>106</v>
      </c>
      <c r="I185" s="2" t="s">
        <v>22</v>
      </c>
      <c r="J185" s="2" t="s">
        <v>23</v>
      </c>
      <c r="K185" s="2">
        <f>COUNTIF(Master!A$2:A$1695,A185)</f>
        <v>14</v>
      </c>
      <c r="L185" s="2" t="str">
        <f>IFERROR(AVERAGEIFS(Master!P$2:P$1695,Master!A$2:A$1695,A185,Master!O$2:O$1695,"Relevant"),"")</f>
        <v/>
      </c>
    </row>
    <row r="186" spans="1:12" ht="15" customHeight="1" x14ac:dyDescent="0.2">
      <c r="A186" s="2">
        <v>185</v>
      </c>
      <c r="B186" s="2" t="s">
        <v>338</v>
      </c>
      <c r="C186" s="2" t="s">
        <v>17</v>
      </c>
      <c r="D186" s="2">
        <v>20190223</v>
      </c>
      <c r="E186" s="2">
        <v>20190225</v>
      </c>
      <c r="F186" s="2">
        <v>1547.2</v>
      </c>
      <c r="G186" s="2">
        <v>1237.5</v>
      </c>
      <c r="H186" s="2">
        <v>2</v>
      </c>
      <c r="I186" s="2" t="s">
        <v>339</v>
      </c>
      <c r="J186" s="2" t="s">
        <v>233</v>
      </c>
      <c r="K186" s="2">
        <f>COUNTIF(Master!A$2:A$1695,A186)</f>
        <v>0</v>
      </c>
      <c r="L186" s="2" t="str">
        <f>IFERROR(AVERAGEIFS(Master!P$2:P$1695,Master!A$2:A$1695,A186,Master!O$2:O$1695,"Relevant"),"")</f>
        <v/>
      </c>
    </row>
    <row r="187" spans="1:12" ht="15" customHeight="1" x14ac:dyDescent="0.2">
      <c r="A187" s="2">
        <v>186</v>
      </c>
      <c r="B187" s="2" t="s">
        <v>340</v>
      </c>
      <c r="C187" s="2" t="s">
        <v>17</v>
      </c>
      <c r="D187" s="2">
        <v>20190322</v>
      </c>
      <c r="E187" s="2">
        <v>20190324</v>
      </c>
      <c r="F187" s="2">
        <v>1903.4</v>
      </c>
      <c r="G187" s="2">
        <v>1535</v>
      </c>
      <c r="H187" s="2">
        <v>0</v>
      </c>
      <c r="I187" s="2" t="s">
        <v>125</v>
      </c>
      <c r="J187" s="2" t="s">
        <v>41</v>
      </c>
      <c r="K187" s="2">
        <f>COUNTIF(Master!A$2:A$1695,A187)</f>
        <v>0</v>
      </c>
      <c r="L187" s="2" t="str">
        <f>IFERROR(AVERAGEIFS(Master!P$2:P$1695,Master!A$2:A$1695,A187,Master!O$2:O$1695,"Relevant"),"")</f>
        <v/>
      </c>
    </row>
    <row r="188" spans="1:12" ht="15" customHeight="1" x14ac:dyDescent="0.2">
      <c r="A188" s="2">
        <v>187</v>
      </c>
      <c r="B188" s="2" t="s">
        <v>341</v>
      </c>
      <c r="C188" s="2" t="s">
        <v>25</v>
      </c>
      <c r="D188" s="2">
        <v>20190314</v>
      </c>
      <c r="E188" s="2">
        <v>20190331</v>
      </c>
      <c r="F188" s="2">
        <v>13408.9</v>
      </c>
      <c r="G188" s="2">
        <v>10727</v>
      </c>
      <c r="H188" s="2">
        <v>3</v>
      </c>
      <c r="I188" s="2" t="s">
        <v>36</v>
      </c>
      <c r="J188" s="2" t="s">
        <v>37</v>
      </c>
      <c r="K188" s="2">
        <f>COUNTIF(Master!A$2:A$1695,A188)</f>
        <v>2</v>
      </c>
      <c r="L188" s="2" t="str">
        <f>IFERROR(AVERAGEIFS(Master!P$2:P$1695,Master!A$2:A$1695,A188,Master!O$2:O$1695,"Relevant"),"")</f>
        <v/>
      </c>
    </row>
    <row r="189" spans="1:12" ht="15" customHeight="1" x14ac:dyDescent="0.2">
      <c r="A189" s="2">
        <v>188</v>
      </c>
      <c r="B189" s="2" t="s">
        <v>342</v>
      </c>
      <c r="C189" s="2" t="s">
        <v>17</v>
      </c>
      <c r="D189" s="2">
        <v>20190413</v>
      </c>
      <c r="E189" s="2">
        <v>20190414</v>
      </c>
      <c r="F189" s="2">
        <v>1540</v>
      </c>
      <c r="G189" s="2">
        <v>1252</v>
      </c>
      <c r="H189" s="2">
        <v>7</v>
      </c>
      <c r="I189" s="2" t="s">
        <v>61</v>
      </c>
      <c r="J189" s="2" t="s">
        <v>62</v>
      </c>
      <c r="K189" s="2">
        <f>COUNTIF(Master!A$2:A$1695,A189)</f>
        <v>3</v>
      </c>
      <c r="L189" s="2" t="str">
        <f>IFERROR(AVERAGEIFS(Master!P$2:P$1695,Master!A$2:A$1695,A189,Master!O$2:O$1695,"Relevant"),"")</f>
        <v/>
      </c>
    </row>
    <row r="190" spans="1:12" ht="15" customHeight="1" x14ac:dyDescent="0.2">
      <c r="A190" s="2">
        <v>189</v>
      </c>
      <c r="B190" s="2" t="s">
        <v>343</v>
      </c>
      <c r="C190" s="2" t="s">
        <v>17</v>
      </c>
      <c r="D190" s="2">
        <v>20190507</v>
      </c>
      <c r="E190" s="2">
        <v>20190513</v>
      </c>
      <c r="F190" s="2">
        <v>1862.4</v>
      </c>
      <c r="G190" s="2">
        <v>1514</v>
      </c>
      <c r="H190" s="2">
        <v>0</v>
      </c>
      <c r="I190" s="2" t="s">
        <v>134</v>
      </c>
      <c r="J190" s="2" t="s">
        <v>19</v>
      </c>
      <c r="K190" s="2">
        <f>COUNTIF(Master!A$2:A$1695,A190)</f>
        <v>0</v>
      </c>
      <c r="L190" s="2" t="str">
        <f>IFERROR(AVERAGEIFS(Master!P$2:P$1695,Master!A$2:A$1695,A190,Master!O$2:O$1695,"Relevant"),"")</f>
        <v/>
      </c>
    </row>
    <row r="191" spans="1:12" ht="15" customHeight="1" x14ac:dyDescent="0.2">
      <c r="A191" s="2">
        <v>190</v>
      </c>
      <c r="B191" s="2" t="s">
        <v>344</v>
      </c>
      <c r="C191" s="2" t="s">
        <v>17</v>
      </c>
      <c r="D191" s="2">
        <v>20190516</v>
      </c>
      <c r="E191" s="2">
        <v>20190518</v>
      </c>
      <c r="F191" s="2">
        <v>1196.9000000000001</v>
      </c>
      <c r="G191" s="2">
        <v>973</v>
      </c>
      <c r="H191" s="2">
        <v>0</v>
      </c>
      <c r="I191" s="2" t="s">
        <v>102</v>
      </c>
      <c r="J191" s="2" t="s">
        <v>103</v>
      </c>
      <c r="K191" s="2">
        <f>COUNTIF(Master!A$2:A$1695,A191)</f>
        <v>6</v>
      </c>
      <c r="L191" s="2" t="str">
        <f>IFERROR(AVERAGEIFS(Master!P$2:P$1695,Master!A$2:A$1695,A191,Master!O$2:O$1695,"Relevant"),"")</f>
        <v/>
      </c>
    </row>
    <row r="192" spans="1:12" ht="15" customHeight="1" x14ac:dyDescent="0.2">
      <c r="A192" s="2">
        <v>191</v>
      </c>
      <c r="B192" s="2" t="s">
        <v>345</v>
      </c>
      <c r="C192" s="2" t="s">
        <v>17</v>
      </c>
      <c r="D192" s="2">
        <v>20190526</v>
      </c>
      <c r="E192" s="2">
        <v>20190529</v>
      </c>
      <c r="F192" s="2">
        <v>5655.6</v>
      </c>
      <c r="G192" s="2">
        <v>4598</v>
      </c>
      <c r="H192" s="2">
        <v>3</v>
      </c>
      <c r="I192" s="2" t="s">
        <v>346</v>
      </c>
      <c r="J192" s="2" t="s">
        <v>223</v>
      </c>
      <c r="K192" s="2">
        <f>COUNTIF(Master!A$2:A$1695,A192)</f>
        <v>3</v>
      </c>
      <c r="L192" s="2" t="str">
        <f>IFERROR(AVERAGEIFS(Master!P$2:P$1695,Master!A$2:A$1695,A192,Master!O$2:O$1695,"Relevant"),"")</f>
        <v/>
      </c>
    </row>
    <row r="193" spans="1:12" ht="15" customHeight="1" x14ac:dyDescent="0.2">
      <c r="A193" s="2">
        <v>192</v>
      </c>
      <c r="B193" s="2" t="s">
        <v>347</v>
      </c>
      <c r="C193" s="2" t="s">
        <v>25</v>
      </c>
      <c r="D193" s="2">
        <v>20190520</v>
      </c>
      <c r="E193" s="2">
        <v>20190614</v>
      </c>
      <c r="F193" s="2">
        <v>3720.8</v>
      </c>
      <c r="G193" s="2">
        <v>3025</v>
      </c>
      <c r="H193" s="2">
        <v>5</v>
      </c>
      <c r="I193" s="2" t="s">
        <v>348</v>
      </c>
      <c r="J193" s="2" t="s">
        <v>41</v>
      </c>
      <c r="K193" s="2">
        <f>COUNTIF(Master!A$2:A$1695,A193)</f>
        <v>6</v>
      </c>
      <c r="L193" s="2" t="str">
        <f>IFERROR(AVERAGEIFS(Master!P$2:P$1695,Master!A$2:A$1695,A193,Master!O$2:O$1695,"Relevant"),"")</f>
        <v/>
      </c>
    </row>
    <row r="194" spans="1:12" ht="15" customHeight="1" x14ac:dyDescent="0.2">
      <c r="A194" s="2">
        <v>193</v>
      </c>
      <c r="B194" s="2" t="s">
        <v>349</v>
      </c>
      <c r="C194" s="2" t="s">
        <v>17</v>
      </c>
      <c r="D194" s="2">
        <v>20190704</v>
      </c>
      <c r="E194" s="2">
        <v>20190705</v>
      </c>
      <c r="F194" s="2">
        <v>1239.8</v>
      </c>
      <c r="G194" s="2">
        <v>1008</v>
      </c>
      <c r="H194" s="2">
        <v>0</v>
      </c>
      <c r="I194" s="2" t="s">
        <v>73</v>
      </c>
      <c r="J194" s="2" t="s">
        <v>74</v>
      </c>
      <c r="K194" s="2">
        <f>COUNTIF(Master!A$2:A$1695,A194)</f>
        <v>0</v>
      </c>
      <c r="L194" s="2" t="str">
        <f>IFERROR(AVERAGEIFS(Master!P$2:P$1695,Master!A$2:A$1695,A194,Master!O$2:O$1695,"Relevant"),"")</f>
        <v/>
      </c>
    </row>
    <row r="195" spans="1:12" ht="15" customHeight="1" x14ac:dyDescent="0.2">
      <c r="A195" s="2">
        <v>194</v>
      </c>
      <c r="B195" s="2" t="s">
        <v>350</v>
      </c>
      <c r="C195" s="2" t="s">
        <v>25</v>
      </c>
      <c r="D195" s="2">
        <v>20190315</v>
      </c>
      <c r="E195" s="2">
        <v>20190731</v>
      </c>
      <c r="F195" s="2">
        <v>7649.6</v>
      </c>
      <c r="G195" s="2">
        <v>6169</v>
      </c>
      <c r="H195" s="2">
        <v>4</v>
      </c>
      <c r="I195" s="2" t="s">
        <v>351</v>
      </c>
      <c r="J195" s="2" t="s">
        <v>109</v>
      </c>
      <c r="K195" s="2">
        <f>COUNTIF(Master!A$2:A$1695,A195)</f>
        <v>12</v>
      </c>
      <c r="L195" s="2" t="str">
        <f>IFERROR(AVERAGEIFS(Master!P$2:P$1695,Master!A$2:A$1695,A195,Master!O$2:O$1695,"Relevant"),"")</f>
        <v/>
      </c>
    </row>
    <row r="196" spans="1:12" ht="15" customHeight="1" x14ac:dyDescent="0.2">
      <c r="A196" s="2">
        <v>195</v>
      </c>
      <c r="B196" s="2" t="s">
        <v>352</v>
      </c>
      <c r="C196" s="2" t="s">
        <v>39</v>
      </c>
      <c r="D196" s="2">
        <v>20190828</v>
      </c>
      <c r="E196" s="2">
        <v>20190906</v>
      </c>
      <c r="F196" s="2">
        <v>1980.3</v>
      </c>
      <c r="G196" s="2">
        <v>1610</v>
      </c>
      <c r="H196" s="2">
        <v>10</v>
      </c>
      <c r="I196" s="2" t="s">
        <v>333</v>
      </c>
      <c r="J196" s="2" t="s">
        <v>27</v>
      </c>
      <c r="K196" s="2">
        <f>COUNTIF(Master!A$2:A$1695,A196)</f>
        <v>30</v>
      </c>
      <c r="L196" s="2" t="str">
        <f>IFERROR(AVERAGEIFS(Master!P$2:P$1695,Master!A$2:A$1695,A196,Master!O$2:O$1695,"Relevant"),"")</f>
        <v/>
      </c>
    </row>
    <row r="197" spans="1:12" ht="15" customHeight="1" x14ac:dyDescent="0.2">
      <c r="A197" s="2">
        <v>196</v>
      </c>
      <c r="B197" s="2" t="s">
        <v>353</v>
      </c>
      <c r="C197" s="2" t="s">
        <v>39</v>
      </c>
      <c r="D197" s="2">
        <v>20190917</v>
      </c>
      <c r="E197" s="2">
        <v>20190921</v>
      </c>
      <c r="F197" s="2">
        <v>6150</v>
      </c>
      <c r="G197" s="2">
        <v>5000</v>
      </c>
      <c r="H197" s="2">
        <v>5</v>
      </c>
      <c r="I197" s="2" t="s">
        <v>125</v>
      </c>
      <c r="J197" s="2" t="s">
        <v>41</v>
      </c>
      <c r="K197" s="2">
        <f>COUNTIF(Master!A$2:A$1695,A197)</f>
        <v>12</v>
      </c>
      <c r="L197" s="2" t="str">
        <f>IFERROR(AVERAGEIFS(Master!P$2:P$1695,Master!A$2:A$1695,A197,Master!O$2:O$1695,"Relevant"),"")</f>
        <v/>
      </c>
    </row>
    <row r="198" spans="1:12" ht="15" customHeight="1" x14ac:dyDescent="0.2">
      <c r="A198" s="2">
        <v>197</v>
      </c>
      <c r="B198" s="2" t="s">
        <v>354</v>
      </c>
      <c r="C198" s="2" t="s">
        <v>17</v>
      </c>
      <c r="D198" s="2">
        <v>20191020</v>
      </c>
      <c r="E198" s="2">
        <v>20191020</v>
      </c>
      <c r="F198" s="2">
        <v>2113.1</v>
      </c>
      <c r="G198" s="2">
        <v>1718</v>
      </c>
      <c r="H198" s="2">
        <v>2</v>
      </c>
      <c r="I198" s="2" t="s">
        <v>102</v>
      </c>
      <c r="J198" s="2" t="s">
        <v>103</v>
      </c>
      <c r="K198" s="2">
        <f>COUNTIF(Master!A$2:A$1695,A198)</f>
        <v>7</v>
      </c>
      <c r="L198" s="2" t="str">
        <f>IFERROR(AVERAGEIFS(Master!P$2:P$1695,Master!A$2:A$1695,A198,Master!O$2:O$1695,"Relevant"),"")</f>
        <v/>
      </c>
    </row>
    <row r="199" spans="1:12" ht="15" customHeight="1" x14ac:dyDescent="0.2">
      <c r="A199" s="2">
        <v>198</v>
      </c>
      <c r="B199" s="2" t="s">
        <v>355</v>
      </c>
      <c r="C199" s="2" t="s">
        <v>21</v>
      </c>
      <c r="D199" s="2">
        <v>20190601</v>
      </c>
      <c r="E199" s="2">
        <v>20191130</v>
      </c>
      <c r="F199" s="2">
        <v>5535</v>
      </c>
      <c r="G199" s="2">
        <v>4500</v>
      </c>
      <c r="H199" s="2">
        <v>3</v>
      </c>
      <c r="I199" s="2" t="s">
        <v>356</v>
      </c>
      <c r="J199" s="2" t="s">
        <v>67</v>
      </c>
      <c r="K199" s="2">
        <f>COUNTIF(Master!A$2:A$1695,A199)</f>
        <v>9</v>
      </c>
      <c r="L199" s="2" t="str">
        <f>IFERROR(AVERAGEIFS(Master!P$2:P$1695,Master!A$2:A$1695,A199,Master!O$2:O$1695,"Relevant"),"")</f>
        <v/>
      </c>
    </row>
    <row r="200" spans="1:12" ht="15" customHeight="1" x14ac:dyDescent="0.2">
      <c r="A200" s="2">
        <v>199</v>
      </c>
      <c r="B200" s="2" t="s">
        <v>357</v>
      </c>
      <c r="C200" s="2" t="s">
        <v>17</v>
      </c>
      <c r="D200" s="2">
        <v>20200110</v>
      </c>
      <c r="E200" s="2">
        <v>20200112</v>
      </c>
      <c r="F200" s="2">
        <v>1401.8</v>
      </c>
      <c r="G200" s="2">
        <v>1149</v>
      </c>
      <c r="H200" s="2">
        <v>10</v>
      </c>
      <c r="I200" s="2" t="s">
        <v>358</v>
      </c>
      <c r="J200" s="2" t="s">
        <v>359</v>
      </c>
      <c r="K200" s="2">
        <f>COUNTIF(Master!A$2:A$1695,A200)</f>
        <v>1</v>
      </c>
      <c r="L200" s="2" t="str">
        <f>IFERROR(AVERAGEIFS(Master!P$2:P$1695,Master!A$2:A$1695,A200,Master!O$2:O$1695,"Relevant"),"")</f>
        <v/>
      </c>
    </row>
    <row r="201" spans="1:12" ht="15" customHeight="1" x14ac:dyDescent="0.2">
      <c r="A201" s="2">
        <v>200</v>
      </c>
      <c r="B201" s="2" t="s">
        <v>360</v>
      </c>
      <c r="C201" s="2" t="s">
        <v>17</v>
      </c>
      <c r="D201" s="2">
        <v>20200205</v>
      </c>
      <c r="E201" s="2">
        <v>20200207</v>
      </c>
      <c r="F201" s="2">
        <v>1532.2</v>
      </c>
      <c r="G201" s="2">
        <v>1256</v>
      </c>
      <c r="H201" s="2">
        <v>3</v>
      </c>
      <c r="I201" s="2" t="s">
        <v>61</v>
      </c>
      <c r="J201" s="2" t="s">
        <v>62</v>
      </c>
      <c r="K201" s="2">
        <f>COUNTIF(Master!A$2:A$1695,A201)</f>
        <v>1</v>
      </c>
      <c r="L201" s="2" t="str">
        <f>IFERROR(AVERAGEIFS(Master!P$2:P$1695,Master!A$2:A$1695,A201,Master!O$2:O$1695,"Relevant"),"")</f>
        <v/>
      </c>
    </row>
    <row r="202" spans="1:12" ht="15" customHeight="1" x14ac:dyDescent="0.2">
      <c r="A202" s="2">
        <v>201</v>
      </c>
      <c r="B202" s="2" t="s">
        <v>361</v>
      </c>
      <c r="C202" s="2" t="s">
        <v>17</v>
      </c>
      <c r="D202" s="2">
        <v>20200302</v>
      </c>
      <c r="E202" s="2">
        <v>20200304</v>
      </c>
      <c r="F202" s="2">
        <v>2850</v>
      </c>
      <c r="G202" s="2">
        <v>2336</v>
      </c>
      <c r="H202" s="2">
        <v>25</v>
      </c>
      <c r="I202" s="2" t="s">
        <v>14</v>
      </c>
      <c r="J202" s="2" t="s">
        <v>15</v>
      </c>
      <c r="K202" s="2">
        <f>COUNTIF(Master!A$2:A$1695,A202)</f>
        <v>5</v>
      </c>
      <c r="L202" s="2" t="str">
        <f>IFERROR(AVERAGEIFS(Master!P$2:P$1695,Master!A$2:A$1695,A202,Master!O$2:O$1695,"Relevant"),"")</f>
        <v/>
      </c>
    </row>
    <row r="203" spans="1:12" ht="15" customHeight="1" x14ac:dyDescent="0.2">
      <c r="A203" s="2">
        <v>202</v>
      </c>
      <c r="B203" s="2" t="s">
        <v>362</v>
      </c>
      <c r="C203" s="2" t="s">
        <v>17</v>
      </c>
      <c r="D203" s="2">
        <v>20200327</v>
      </c>
      <c r="E203" s="2">
        <v>20200328</v>
      </c>
      <c r="F203" s="2">
        <v>3120.9</v>
      </c>
      <c r="G203" s="2">
        <v>2558</v>
      </c>
      <c r="H203" s="2">
        <v>0</v>
      </c>
      <c r="I203" s="2" t="s">
        <v>33</v>
      </c>
      <c r="J203" s="2" t="s">
        <v>34</v>
      </c>
      <c r="K203" s="2">
        <f>COUNTIF(Master!A$2:A$1695,A203)</f>
        <v>2</v>
      </c>
      <c r="L203" s="2" t="str">
        <f>IFERROR(AVERAGEIFS(Master!P$2:P$1695,Master!A$2:A$1695,A203,Master!O$2:O$1695,"Relevant"),"")</f>
        <v/>
      </c>
    </row>
    <row r="204" spans="1:12" ht="15" customHeight="1" x14ac:dyDescent="0.2">
      <c r="A204" s="2">
        <v>203</v>
      </c>
      <c r="B204" s="2" t="s">
        <v>363</v>
      </c>
      <c r="C204" s="2" t="s">
        <v>17</v>
      </c>
      <c r="D204" s="2">
        <v>20200407</v>
      </c>
      <c r="E204" s="2">
        <v>20200408</v>
      </c>
      <c r="F204" s="2">
        <v>3543.9</v>
      </c>
      <c r="G204" s="2">
        <v>2881</v>
      </c>
      <c r="H204" s="2">
        <v>0</v>
      </c>
      <c r="I204" s="2" t="s">
        <v>33</v>
      </c>
      <c r="J204" s="2" t="s">
        <v>34</v>
      </c>
      <c r="K204" s="2">
        <f>COUNTIF(Master!A$2:A$1695,A204)</f>
        <v>1</v>
      </c>
      <c r="L204" s="2" t="str">
        <f>IFERROR(AVERAGEIFS(Master!P$2:P$1695,Master!A$2:A$1695,A204,Master!O$2:O$1695,"Relevant"),"")</f>
        <v/>
      </c>
    </row>
    <row r="205" spans="1:12" ht="15" customHeight="1" x14ac:dyDescent="0.2">
      <c r="A205" s="2">
        <v>204</v>
      </c>
      <c r="B205" s="2" t="s">
        <v>364</v>
      </c>
      <c r="C205" s="2" t="s">
        <v>17</v>
      </c>
      <c r="D205" s="2">
        <v>20200412</v>
      </c>
      <c r="E205" s="2">
        <v>20200413</v>
      </c>
      <c r="F205" s="2">
        <v>4236.2</v>
      </c>
      <c r="G205" s="2">
        <v>3444</v>
      </c>
      <c r="H205" s="2">
        <v>35</v>
      </c>
      <c r="I205" s="2" t="s">
        <v>268</v>
      </c>
      <c r="J205" s="2" t="s">
        <v>269</v>
      </c>
      <c r="K205" s="2">
        <f>COUNTIF(Master!A$2:A$1695,A205)</f>
        <v>9</v>
      </c>
      <c r="L205" s="2" t="str">
        <f>IFERROR(AVERAGEIFS(Master!P$2:P$1695,Master!A$2:A$1695,A205,Master!O$2:O$1695,"Relevant"),"")</f>
        <v/>
      </c>
    </row>
    <row r="206" spans="1:12" ht="15" customHeight="1" x14ac:dyDescent="0.2">
      <c r="A206" s="2">
        <v>205</v>
      </c>
      <c r="B206" s="2" t="s">
        <v>365</v>
      </c>
      <c r="C206" s="2" t="s">
        <v>17</v>
      </c>
      <c r="D206" s="2">
        <v>20200421</v>
      </c>
      <c r="E206" s="2">
        <v>20200423</v>
      </c>
      <c r="F206" s="2">
        <v>1660.6</v>
      </c>
      <c r="G206" s="2">
        <v>1350</v>
      </c>
      <c r="H206" s="2">
        <v>3</v>
      </c>
      <c r="I206" s="2" t="s">
        <v>18</v>
      </c>
      <c r="J206" s="2" t="s">
        <v>19</v>
      </c>
      <c r="K206" s="2">
        <f>COUNTIF(Master!A$2:A$1695,A206)</f>
        <v>5</v>
      </c>
      <c r="L206" s="2" t="str">
        <f>IFERROR(AVERAGEIFS(Master!P$2:P$1695,Master!A$2:A$1695,A206,Master!O$2:O$1695,"Relevant"),"")</f>
        <v/>
      </c>
    </row>
    <row r="207" spans="1:12" ht="15" customHeight="1" x14ac:dyDescent="0.2">
      <c r="A207" s="2">
        <v>206</v>
      </c>
      <c r="B207" s="2" t="s">
        <v>366</v>
      </c>
      <c r="C207" s="2" t="s">
        <v>17</v>
      </c>
      <c r="D207" s="2">
        <v>20200427</v>
      </c>
      <c r="E207" s="2">
        <v>20200430</v>
      </c>
      <c r="F207" s="2">
        <v>1263.3</v>
      </c>
      <c r="G207" s="2">
        <v>1027</v>
      </c>
      <c r="H207" s="2">
        <v>1</v>
      </c>
      <c r="I207" s="2" t="s">
        <v>137</v>
      </c>
      <c r="J207" s="2" t="s">
        <v>138</v>
      </c>
      <c r="K207" s="2">
        <f>COUNTIF(Master!A$2:A$1695,A207)</f>
        <v>3</v>
      </c>
      <c r="L207" s="2" t="str">
        <f>IFERROR(AVERAGEIFS(Master!P$2:P$1695,Master!A$2:A$1695,A207,Master!O$2:O$1695,"Relevant"),"")</f>
        <v/>
      </c>
    </row>
    <row r="208" spans="1:12" ht="15" customHeight="1" x14ac:dyDescent="0.2">
      <c r="A208" s="2">
        <v>207</v>
      </c>
      <c r="B208" s="2" t="s">
        <v>367</v>
      </c>
      <c r="C208" s="2" t="s">
        <v>17</v>
      </c>
      <c r="D208" s="2">
        <v>20200503</v>
      </c>
      <c r="E208" s="2">
        <v>20200505</v>
      </c>
      <c r="F208" s="2">
        <v>2598.9</v>
      </c>
      <c r="G208" s="2">
        <v>2113</v>
      </c>
      <c r="H208" s="2">
        <v>2</v>
      </c>
      <c r="I208" s="2" t="s">
        <v>250</v>
      </c>
      <c r="J208" s="2" t="s">
        <v>251</v>
      </c>
      <c r="K208" s="2">
        <f>COUNTIF(Master!A$2:A$1695,A208)</f>
        <v>0</v>
      </c>
      <c r="L208" s="2" t="str">
        <f>IFERROR(AVERAGEIFS(Master!P$2:P$1695,Master!A$2:A$1695,A208,Master!O$2:O$1695,"Relevant"),"")</f>
        <v/>
      </c>
    </row>
    <row r="209" spans="1:12" ht="15" customHeight="1" x14ac:dyDescent="0.2">
      <c r="A209" s="2">
        <v>208</v>
      </c>
      <c r="B209" s="2" t="s">
        <v>368</v>
      </c>
      <c r="C209" s="2" t="s">
        <v>17</v>
      </c>
      <c r="D209" s="2">
        <v>20200520</v>
      </c>
      <c r="E209" s="2">
        <v>20200523</v>
      </c>
      <c r="F209" s="2">
        <v>1948.6</v>
      </c>
      <c r="G209" s="2">
        <v>1584</v>
      </c>
      <c r="H209" s="2">
        <v>2</v>
      </c>
      <c r="I209" s="2" t="s">
        <v>137</v>
      </c>
      <c r="J209" s="2" t="s">
        <v>138</v>
      </c>
      <c r="K209" s="2">
        <f>COUNTIF(Master!A$2:A$1695,A209)</f>
        <v>0</v>
      </c>
      <c r="L209" s="2" t="str">
        <f>IFERROR(AVERAGEIFS(Master!P$2:P$1695,Master!A$2:A$1695,A209,Master!O$2:O$1695,"Relevant"),"")</f>
        <v/>
      </c>
    </row>
    <row r="210" spans="1:12" ht="15" customHeight="1" x14ac:dyDescent="0.2">
      <c r="A210" s="2">
        <v>209</v>
      </c>
      <c r="B210" s="2" t="s">
        <v>369</v>
      </c>
      <c r="C210" s="2" t="s">
        <v>17</v>
      </c>
      <c r="D210" s="2">
        <v>20200527</v>
      </c>
      <c r="E210" s="2">
        <v>20200527</v>
      </c>
      <c r="F210" s="2">
        <v>1722</v>
      </c>
      <c r="G210" s="2">
        <v>1400</v>
      </c>
      <c r="H210" s="2">
        <v>0</v>
      </c>
      <c r="I210" s="2" t="s">
        <v>18</v>
      </c>
      <c r="J210" s="2" t="s">
        <v>19</v>
      </c>
      <c r="K210" s="2">
        <f>COUNTIF(Master!A$2:A$1695,A210)</f>
        <v>0</v>
      </c>
      <c r="L210" s="2" t="str">
        <f>IFERROR(AVERAGEIFS(Master!P$2:P$1695,Master!A$2:A$1695,A210,Master!O$2:O$1695,"Relevant"),"")</f>
        <v/>
      </c>
    </row>
    <row r="211" spans="1:12" ht="15" customHeight="1" x14ac:dyDescent="0.2">
      <c r="A211" s="2">
        <v>210</v>
      </c>
      <c r="B211" s="2" t="s">
        <v>370</v>
      </c>
      <c r="C211" s="2" t="s">
        <v>17</v>
      </c>
      <c r="D211" s="2">
        <v>20200710</v>
      </c>
      <c r="E211" s="2">
        <v>20200711</v>
      </c>
      <c r="F211" s="2">
        <v>1459.1</v>
      </c>
      <c r="G211" s="2">
        <v>1196</v>
      </c>
      <c r="H211" s="2">
        <v>0</v>
      </c>
      <c r="I211" s="2" t="s">
        <v>102</v>
      </c>
      <c r="J211" s="2" t="s">
        <v>103</v>
      </c>
      <c r="K211" s="2">
        <f>COUNTIF(Master!A$2:A$1695,A211)</f>
        <v>0</v>
      </c>
      <c r="L211" s="2" t="str">
        <f>IFERROR(AVERAGEIFS(Master!P$2:P$1695,Master!A$2:A$1695,A211,Master!O$2:O$1695,"Relevant"),"")</f>
        <v/>
      </c>
    </row>
    <row r="212" spans="1:12" ht="15" customHeight="1" x14ac:dyDescent="0.2">
      <c r="A212" s="2">
        <v>211</v>
      </c>
      <c r="B212" s="2" t="s">
        <v>371</v>
      </c>
      <c r="C212" s="2" t="s">
        <v>39</v>
      </c>
      <c r="D212" s="2">
        <v>20200725</v>
      </c>
      <c r="E212" s="2">
        <v>20200726</v>
      </c>
      <c r="F212" s="2">
        <v>1300.8</v>
      </c>
      <c r="G212" s="2">
        <v>1075</v>
      </c>
      <c r="H212" s="2">
        <v>0</v>
      </c>
      <c r="I212" s="2" t="s">
        <v>125</v>
      </c>
      <c r="J212" s="2" t="s">
        <v>41</v>
      </c>
      <c r="K212" s="2">
        <f>COUNTIF(Master!A$2:A$1695,A212)</f>
        <v>10</v>
      </c>
      <c r="L212" s="2" t="str">
        <f>IFERROR(AVERAGEIFS(Master!P$2:P$1695,Master!A$2:A$1695,A212,Master!O$2:O$1695,"Relevant"),"")</f>
        <v/>
      </c>
    </row>
    <row r="213" spans="1:12" ht="15" customHeight="1" x14ac:dyDescent="0.2">
      <c r="A213" s="2">
        <v>212</v>
      </c>
      <c r="B213" s="2" t="s">
        <v>372</v>
      </c>
      <c r="C213" s="2" t="s">
        <v>39</v>
      </c>
      <c r="D213" s="2">
        <v>20200803</v>
      </c>
      <c r="E213" s="2">
        <v>20200804</v>
      </c>
      <c r="F213" s="2">
        <v>5756.1</v>
      </c>
      <c r="G213" s="2">
        <v>4757</v>
      </c>
      <c r="H213" s="2">
        <v>16</v>
      </c>
      <c r="I213" s="2" t="s">
        <v>373</v>
      </c>
      <c r="J213" s="2" t="s">
        <v>52</v>
      </c>
      <c r="K213" s="2">
        <f>COUNTIF(Master!A$2:A$1695,A213)</f>
        <v>18</v>
      </c>
      <c r="L213" s="2" t="str">
        <f>IFERROR(AVERAGEIFS(Master!P$2:P$1695,Master!A$2:A$1695,A213,Master!O$2:O$1695,"Relevant"),"")</f>
        <v/>
      </c>
    </row>
    <row r="214" spans="1:12" ht="15" customHeight="1" x14ac:dyDescent="0.2">
      <c r="A214" s="2">
        <v>213</v>
      </c>
      <c r="B214" s="2" t="s">
        <v>374</v>
      </c>
      <c r="C214" s="2" t="s">
        <v>17</v>
      </c>
      <c r="D214" s="2">
        <v>20200810</v>
      </c>
      <c r="E214" s="2">
        <v>20200810</v>
      </c>
      <c r="F214" s="2">
        <v>13452.9</v>
      </c>
      <c r="G214" s="2">
        <v>11027</v>
      </c>
      <c r="H214" s="2">
        <v>4</v>
      </c>
      <c r="I214" s="2" t="s">
        <v>102</v>
      </c>
      <c r="J214" s="2" t="s">
        <v>103</v>
      </c>
      <c r="K214" s="2">
        <f>COUNTIF(Master!A$2:A$1695,A214)</f>
        <v>8</v>
      </c>
      <c r="L214" s="2" t="str">
        <f>IFERROR(AVERAGEIFS(Master!P$2:P$1695,Master!A$2:A$1695,A214,Master!O$2:O$1695,"Relevant"),"")</f>
        <v/>
      </c>
    </row>
    <row r="215" spans="1:12" ht="15" customHeight="1" x14ac:dyDescent="0.2">
      <c r="A215" s="2">
        <v>214</v>
      </c>
      <c r="B215" s="2" t="s">
        <v>375</v>
      </c>
      <c r="C215" s="2" t="s">
        <v>39</v>
      </c>
      <c r="D215" s="2">
        <v>20200827</v>
      </c>
      <c r="E215" s="2">
        <v>20200828</v>
      </c>
      <c r="F215" s="2">
        <v>28090.3</v>
      </c>
      <c r="G215" s="2">
        <v>23215</v>
      </c>
      <c r="H215" s="2">
        <v>42</v>
      </c>
      <c r="I215" s="2" t="s">
        <v>40</v>
      </c>
      <c r="J215" s="2" t="s">
        <v>41</v>
      </c>
      <c r="K215" s="2">
        <f>COUNTIF(Master!A$2:A$1695,A215)</f>
        <v>18</v>
      </c>
      <c r="L215" s="2" t="str">
        <f>IFERROR(AVERAGEIFS(Master!P$2:P$1695,Master!A$2:A$1695,A215,Master!O$2:O$1695,"Relevant"),"")</f>
        <v/>
      </c>
    </row>
    <row r="216" spans="1:12" ht="15" customHeight="1" x14ac:dyDescent="0.2">
      <c r="A216" s="2">
        <v>215</v>
      </c>
      <c r="B216" s="2" t="s">
        <v>376</v>
      </c>
      <c r="C216" s="2" t="s">
        <v>39</v>
      </c>
      <c r="D216" s="2">
        <v>20200915</v>
      </c>
      <c r="E216" s="2">
        <v>20200917</v>
      </c>
      <c r="F216" s="2">
        <v>8801.5</v>
      </c>
      <c r="G216" s="2">
        <v>7274</v>
      </c>
      <c r="H216" s="2">
        <v>5</v>
      </c>
      <c r="I216" s="2" t="s">
        <v>377</v>
      </c>
      <c r="J216" s="2" t="s">
        <v>15</v>
      </c>
      <c r="K216" s="2">
        <f>COUNTIF(Master!A$2:A$1695,A216)</f>
        <v>22</v>
      </c>
      <c r="L216" s="2" t="str">
        <f>IFERROR(AVERAGEIFS(Master!P$2:P$1695,Master!A$2:A$1695,A216,Master!O$2:O$1695,"Relevant"),"")</f>
        <v/>
      </c>
    </row>
    <row r="217" spans="1:12" ht="15" customHeight="1" x14ac:dyDescent="0.2">
      <c r="A217" s="2">
        <v>216</v>
      </c>
      <c r="B217" s="2" t="s">
        <v>378</v>
      </c>
      <c r="C217" s="2" t="s">
        <v>39</v>
      </c>
      <c r="D217" s="2">
        <v>20201009</v>
      </c>
      <c r="E217" s="2">
        <v>20201011</v>
      </c>
      <c r="F217" s="2">
        <v>3469.3</v>
      </c>
      <c r="G217" s="2">
        <v>2867</v>
      </c>
      <c r="H217" s="2">
        <v>5</v>
      </c>
      <c r="I217" s="2" t="s">
        <v>46</v>
      </c>
      <c r="J217" s="2" t="s">
        <v>41</v>
      </c>
      <c r="K217" s="2">
        <f>COUNTIF(Master!A$2:A$1695,A217)</f>
        <v>13</v>
      </c>
      <c r="L217" s="2" t="str">
        <f>IFERROR(AVERAGEIFS(Master!P$2:P$1695,Master!A$2:A$1695,A217,Master!O$2:O$1695,"Relevant"),"")</f>
        <v/>
      </c>
    </row>
    <row r="218" spans="1:12" ht="15" customHeight="1" x14ac:dyDescent="0.2">
      <c r="A218" s="2">
        <v>217</v>
      </c>
      <c r="B218" s="2" t="s">
        <v>379</v>
      </c>
      <c r="C218" s="2" t="s">
        <v>39</v>
      </c>
      <c r="D218" s="2">
        <v>20201028</v>
      </c>
      <c r="E218" s="2">
        <v>20201029</v>
      </c>
      <c r="F218" s="2">
        <v>5266</v>
      </c>
      <c r="G218" s="2">
        <v>4352</v>
      </c>
      <c r="H218" s="2">
        <v>6</v>
      </c>
      <c r="I218" s="2" t="s">
        <v>380</v>
      </c>
      <c r="J218" s="2" t="s">
        <v>381</v>
      </c>
      <c r="K218" s="2">
        <f>COUNTIF(Master!A$2:A$1695,A218)</f>
        <v>30</v>
      </c>
      <c r="L218" s="2" t="str">
        <f>IFERROR(AVERAGEIFS(Master!P$2:P$1695,Master!A$2:A$1695,A218,Master!O$2:O$1695,"Relevant"),"")</f>
        <v/>
      </c>
    </row>
    <row r="219" spans="1:12" ht="15" customHeight="1" x14ac:dyDescent="0.2">
      <c r="A219" s="2">
        <v>218</v>
      </c>
      <c r="B219" s="2" t="s">
        <v>382</v>
      </c>
      <c r="C219" s="2" t="s">
        <v>39</v>
      </c>
      <c r="D219" s="2">
        <v>20201108</v>
      </c>
      <c r="E219" s="2">
        <v>20201112</v>
      </c>
      <c r="F219" s="2">
        <v>1766.7</v>
      </c>
      <c r="G219" s="2">
        <v>1460</v>
      </c>
      <c r="H219" s="2">
        <v>12</v>
      </c>
      <c r="I219" s="2" t="s">
        <v>26</v>
      </c>
      <c r="J219" s="2" t="s">
        <v>27</v>
      </c>
      <c r="K219" s="2">
        <f>COUNTIF(Master!A$2:A$1695,A219)</f>
        <v>20</v>
      </c>
      <c r="L219" s="2" t="str">
        <f>IFERROR(AVERAGEIFS(Master!P$2:P$1695,Master!A$2:A$1695,A219,Master!O$2:O$1695,"Relevant"),"")</f>
        <v/>
      </c>
    </row>
    <row r="220" spans="1:12" ht="15" customHeight="1" x14ac:dyDescent="0.2">
      <c r="A220" s="2">
        <v>219</v>
      </c>
      <c r="B220" s="2" t="s">
        <v>383</v>
      </c>
      <c r="C220" s="2" t="s">
        <v>21</v>
      </c>
      <c r="D220" s="2">
        <v>20200801</v>
      </c>
      <c r="E220" s="2">
        <v>20201230</v>
      </c>
      <c r="F220" s="2">
        <v>19904.5</v>
      </c>
      <c r="G220" s="2">
        <v>16450</v>
      </c>
      <c r="H220" s="2">
        <v>46</v>
      </c>
      <c r="I220" s="2" t="s">
        <v>22</v>
      </c>
      <c r="J220" s="2" t="s">
        <v>23</v>
      </c>
      <c r="K220" s="2">
        <f>COUNTIF(Master!A$2:A$1695,A220)</f>
        <v>15</v>
      </c>
      <c r="L220" s="2" t="str">
        <f>IFERROR(AVERAGEIFS(Master!P$2:P$1695,Master!A$2:A$1695,A220,Master!O$2:O$1695,"Relevant"),"")</f>
        <v/>
      </c>
    </row>
    <row r="221" spans="1:12" ht="15" customHeight="1" x14ac:dyDescent="0.2">
      <c r="A221" s="2">
        <v>220</v>
      </c>
      <c r="B221" s="2" t="s">
        <v>384</v>
      </c>
      <c r="C221" s="2" t="s">
        <v>29</v>
      </c>
      <c r="D221" s="2">
        <v>20200601</v>
      </c>
      <c r="E221" s="2">
        <v>20201230</v>
      </c>
      <c r="F221" s="2">
        <v>5439.1</v>
      </c>
      <c r="G221" s="2">
        <v>4495</v>
      </c>
      <c r="H221" s="2">
        <v>45</v>
      </c>
      <c r="I221" s="2" t="s">
        <v>69</v>
      </c>
      <c r="J221" s="2" t="s">
        <v>70</v>
      </c>
      <c r="K221" s="2">
        <f>COUNTIF(Master!A$2:A$1695,A221)</f>
        <v>18</v>
      </c>
      <c r="L221" s="2" t="str">
        <f>IFERROR(AVERAGEIFS(Master!P$2:P$1695,Master!A$2:A$1695,A221,Master!O$2:O$1695,"Relevant"),"")</f>
        <v/>
      </c>
    </row>
    <row r="222" spans="1:12" ht="15" customHeight="1" x14ac:dyDescent="0.2">
      <c r="A222" s="2">
        <v>221</v>
      </c>
      <c r="B222" s="2" t="s">
        <v>385</v>
      </c>
      <c r="C222" s="2" t="s">
        <v>25</v>
      </c>
      <c r="D222" s="2">
        <v>20210124</v>
      </c>
      <c r="E222" s="2">
        <v>20210129</v>
      </c>
      <c r="F222" s="2">
        <v>1325</v>
      </c>
      <c r="G222" s="2">
        <v>1095</v>
      </c>
      <c r="H222" s="2">
        <v>2</v>
      </c>
      <c r="I222" s="2" t="s">
        <v>66</v>
      </c>
      <c r="J222" s="2" t="s">
        <v>67</v>
      </c>
      <c r="K222" s="2">
        <f>COUNTIF(Master!A$2:A$1695,A222)</f>
        <v>1</v>
      </c>
      <c r="L222" s="2" t="str">
        <f>IFERROR(AVERAGEIFS(Master!P$2:P$1695,Master!A$2:A$1695,A222,Master!O$2:O$1695,"Relevant"),"")</f>
        <v/>
      </c>
    </row>
    <row r="223" spans="1:12" ht="15" customHeight="1" x14ac:dyDescent="0.2">
      <c r="A223" s="2">
        <v>222</v>
      </c>
      <c r="B223" s="2" t="s">
        <v>386</v>
      </c>
      <c r="C223" s="2" t="s">
        <v>13</v>
      </c>
      <c r="D223" s="2">
        <v>20210210</v>
      </c>
      <c r="E223" s="2">
        <v>20210219</v>
      </c>
      <c r="F223" s="2">
        <v>27223.200000000001</v>
      </c>
      <c r="G223" s="2">
        <v>22686</v>
      </c>
      <c r="H223" s="2">
        <v>262</v>
      </c>
      <c r="I223" s="2" t="s">
        <v>387</v>
      </c>
      <c r="J223" s="2" t="s">
        <v>388</v>
      </c>
      <c r="K223" s="2">
        <f>COUNTIF(Master!A$2:A$1695,A223)</f>
        <v>13</v>
      </c>
      <c r="L223" s="2" t="str">
        <f>IFERROR(AVERAGEIFS(Master!P$2:P$1695,Master!A$2:A$1695,A223,Master!O$2:O$1695,"Relevant"),"")</f>
        <v/>
      </c>
    </row>
    <row r="224" spans="1:12" ht="15" customHeight="1" x14ac:dyDescent="0.2">
      <c r="A224" s="2">
        <v>223</v>
      </c>
      <c r="B224" s="2" t="s">
        <v>389</v>
      </c>
      <c r="C224" s="2" t="s">
        <v>17</v>
      </c>
      <c r="D224" s="2">
        <v>20210324</v>
      </c>
      <c r="E224" s="2">
        <v>20210325</v>
      </c>
      <c r="F224" s="2">
        <v>1995.8</v>
      </c>
      <c r="G224" s="2">
        <v>1677</v>
      </c>
      <c r="H224" s="2">
        <v>6</v>
      </c>
      <c r="I224" s="2" t="s">
        <v>14</v>
      </c>
      <c r="J224" s="2" t="s">
        <v>15</v>
      </c>
      <c r="K224" s="2">
        <f>COUNTIF(Master!A$2:A$1695,A224)</f>
        <v>5</v>
      </c>
      <c r="L224" s="2" t="str">
        <f>IFERROR(AVERAGEIFS(Master!P$2:P$1695,Master!A$2:A$1695,A224,Master!O$2:O$1695,"Relevant"),"")</f>
        <v/>
      </c>
    </row>
    <row r="225" spans="1:12" ht="15" customHeight="1" x14ac:dyDescent="0.2">
      <c r="A225" s="2">
        <v>224</v>
      </c>
      <c r="B225" s="2" t="s">
        <v>390</v>
      </c>
      <c r="C225" s="2" t="s">
        <v>17</v>
      </c>
      <c r="D225" s="2">
        <v>20210327</v>
      </c>
      <c r="E225" s="2">
        <v>20210328</v>
      </c>
      <c r="F225" s="2">
        <v>1601.9</v>
      </c>
      <c r="G225" s="2">
        <v>1346</v>
      </c>
      <c r="H225" s="2">
        <v>8</v>
      </c>
      <c r="I225" s="2" t="s">
        <v>51</v>
      </c>
      <c r="J225" s="2" t="s">
        <v>52</v>
      </c>
      <c r="K225" s="2">
        <f>COUNTIF(Master!A$2:A$1695,A225)</f>
        <v>3</v>
      </c>
      <c r="L225" s="2" t="str">
        <f>IFERROR(AVERAGEIFS(Master!P$2:P$1695,Master!A$2:A$1695,A225,Master!O$2:O$1695,"Relevant"),"")</f>
        <v/>
      </c>
    </row>
    <row r="226" spans="1:12" ht="15" customHeight="1" x14ac:dyDescent="0.2">
      <c r="A226" s="2">
        <v>225</v>
      </c>
      <c r="B226" s="2" t="s">
        <v>391</v>
      </c>
      <c r="C226" s="2" t="s">
        <v>17</v>
      </c>
      <c r="D226" s="2">
        <v>20210412</v>
      </c>
      <c r="E226" s="2">
        <v>20210415</v>
      </c>
      <c r="F226" s="2">
        <v>1755.3</v>
      </c>
      <c r="G226" s="2">
        <v>1475</v>
      </c>
      <c r="H226" s="2">
        <v>0</v>
      </c>
      <c r="I226" s="2" t="s">
        <v>125</v>
      </c>
      <c r="J226" s="2" t="s">
        <v>41</v>
      </c>
      <c r="K226" s="2">
        <f>COUNTIF(Master!A$2:A$1695,A226)</f>
        <v>1</v>
      </c>
      <c r="L226" s="2" t="str">
        <f>IFERROR(AVERAGEIFS(Master!P$2:P$1695,Master!A$2:A$1695,A226,Master!O$2:O$1695,"Relevant"),"")</f>
        <v/>
      </c>
    </row>
    <row r="227" spans="1:12" ht="15" customHeight="1" x14ac:dyDescent="0.2">
      <c r="A227" s="2">
        <v>226</v>
      </c>
      <c r="B227" s="2" t="s">
        <v>392</v>
      </c>
      <c r="C227" s="2" t="s">
        <v>17</v>
      </c>
      <c r="D227" s="2">
        <v>20210427</v>
      </c>
      <c r="E227" s="2">
        <v>20210428</v>
      </c>
      <c r="F227" s="2">
        <v>3747.4</v>
      </c>
      <c r="G227" s="2">
        <v>3149</v>
      </c>
      <c r="H227" s="2">
        <v>0</v>
      </c>
      <c r="I227" s="2" t="s">
        <v>258</v>
      </c>
      <c r="J227" s="2" t="s">
        <v>41</v>
      </c>
      <c r="K227" s="2">
        <f>COUNTIF(Master!A$2:A$1695,A227)</f>
        <v>6</v>
      </c>
      <c r="L227" s="2" t="str">
        <f>IFERROR(AVERAGEIFS(Master!P$2:P$1695,Master!A$2:A$1695,A227,Master!O$2:O$1695,"Relevant"),"")</f>
        <v/>
      </c>
    </row>
    <row r="228" spans="1:12" ht="15" customHeight="1" x14ac:dyDescent="0.2">
      <c r="A228" s="2">
        <v>227</v>
      </c>
      <c r="B228" s="2" t="s">
        <v>393</v>
      </c>
      <c r="C228" s="2" t="s">
        <v>17</v>
      </c>
      <c r="D228" s="2">
        <v>20210502</v>
      </c>
      <c r="E228" s="2">
        <v>20210504</v>
      </c>
      <c r="F228" s="2">
        <v>1479.1</v>
      </c>
      <c r="G228" s="2">
        <v>1264</v>
      </c>
      <c r="H228" s="2">
        <v>4</v>
      </c>
      <c r="I228" s="2" t="s">
        <v>134</v>
      </c>
      <c r="J228" s="2" t="s">
        <v>19</v>
      </c>
      <c r="K228" s="2">
        <f>COUNTIF(Master!A$2:A$1695,A228)</f>
        <v>2</v>
      </c>
      <c r="L228" s="2" t="str">
        <f>IFERROR(AVERAGEIFS(Master!P$2:P$1695,Master!A$2:A$1695,A228,Master!O$2:O$1695,"Relevant"),"")</f>
        <v/>
      </c>
    </row>
    <row r="229" spans="1:12" ht="15" customHeight="1" x14ac:dyDescent="0.2">
      <c r="A229" s="2">
        <v>228</v>
      </c>
      <c r="B229" s="2" t="s">
        <v>394</v>
      </c>
      <c r="C229" s="2" t="s">
        <v>25</v>
      </c>
      <c r="D229" s="2">
        <v>20210517</v>
      </c>
      <c r="E229" s="2">
        <v>20210518</v>
      </c>
      <c r="F229" s="2">
        <v>1569.6</v>
      </c>
      <c r="G229" s="2">
        <v>1319</v>
      </c>
      <c r="H229" s="2">
        <v>5</v>
      </c>
      <c r="I229" s="2" t="s">
        <v>46</v>
      </c>
      <c r="J229" s="2" t="s">
        <v>41</v>
      </c>
      <c r="K229" s="2">
        <f>COUNTIF(Master!A$2:A$1695,A229)</f>
        <v>3</v>
      </c>
      <c r="L229" s="2" t="str">
        <f>IFERROR(AVERAGEIFS(Master!P$2:P$1695,Master!A$2:A$1695,A229,Master!O$2:O$1695,"Relevant"),"")</f>
        <v/>
      </c>
    </row>
    <row r="230" spans="1:12" ht="15" customHeight="1" x14ac:dyDescent="0.2">
      <c r="A230" s="2">
        <v>229</v>
      </c>
      <c r="B230" s="2" t="s">
        <v>395</v>
      </c>
      <c r="C230" s="2" t="s">
        <v>17</v>
      </c>
      <c r="D230" s="2">
        <v>20210617</v>
      </c>
      <c r="E230" s="2">
        <v>20210618</v>
      </c>
      <c r="F230" s="2">
        <v>1980.1</v>
      </c>
      <c r="G230" s="2">
        <v>1707</v>
      </c>
      <c r="H230" s="2">
        <v>0</v>
      </c>
      <c r="I230" s="2" t="s">
        <v>227</v>
      </c>
      <c r="J230" s="2" t="s">
        <v>34</v>
      </c>
      <c r="K230" s="2">
        <f>COUNTIF(Master!A$2:A$1695,A230)</f>
        <v>0</v>
      </c>
      <c r="L230" s="2" t="str">
        <f>IFERROR(AVERAGEIFS(Master!P$2:P$1695,Master!A$2:A$1695,A230,Master!O$2:O$1695,"Relevant"),"")</f>
        <v/>
      </c>
    </row>
    <row r="231" spans="1:12" ht="15" customHeight="1" x14ac:dyDescent="0.2">
      <c r="A231" s="2">
        <v>230</v>
      </c>
      <c r="B231" s="2" t="s">
        <v>396</v>
      </c>
      <c r="C231" s="2" t="s">
        <v>17</v>
      </c>
      <c r="D231" s="2">
        <v>20210624</v>
      </c>
      <c r="E231" s="2">
        <v>20210626</v>
      </c>
      <c r="F231" s="2">
        <v>1453.6</v>
      </c>
      <c r="G231" s="2">
        <v>1253</v>
      </c>
      <c r="H231" s="2">
        <v>0</v>
      </c>
      <c r="I231" s="2" t="s">
        <v>102</v>
      </c>
      <c r="J231" s="2" t="s">
        <v>103</v>
      </c>
      <c r="K231" s="2">
        <f>COUNTIF(Master!A$2:A$1695,A231)</f>
        <v>0</v>
      </c>
      <c r="L231" s="2" t="str">
        <f>IFERROR(AVERAGEIFS(Master!P$2:P$1695,Master!A$2:A$1695,A231,Master!O$2:O$1695,"Relevant"),"")</f>
        <v/>
      </c>
    </row>
    <row r="232" spans="1:12" ht="15" customHeight="1" x14ac:dyDescent="0.2">
      <c r="A232" s="2">
        <v>231</v>
      </c>
      <c r="B232" s="2" t="s">
        <v>397</v>
      </c>
      <c r="C232" s="2" t="s">
        <v>39</v>
      </c>
      <c r="D232" s="2">
        <v>20210707</v>
      </c>
      <c r="E232" s="2">
        <v>20210709</v>
      </c>
      <c r="F232" s="2">
        <v>1407.1</v>
      </c>
      <c r="G232" s="2">
        <v>1213</v>
      </c>
      <c r="H232" s="2">
        <v>1</v>
      </c>
      <c r="I232" s="2" t="s">
        <v>78</v>
      </c>
      <c r="J232" s="2" t="s">
        <v>27</v>
      </c>
      <c r="K232" s="2">
        <f>COUNTIF(Master!A$2:A$1695,A232)</f>
        <v>20</v>
      </c>
      <c r="L232" s="2" t="str">
        <f>IFERROR(AVERAGEIFS(Master!P$2:P$1695,Master!A$2:A$1695,A232,Master!O$2:O$1695,"Relevant"),"")</f>
        <v/>
      </c>
    </row>
    <row r="233" spans="1:12" ht="15" customHeight="1" x14ac:dyDescent="0.2">
      <c r="A233" s="2">
        <v>232</v>
      </c>
      <c r="B233" s="2" t="s">
        <v>398</v>
      </c>
      <c r="C233" s="2" t="s">
        <v>17</v>
      </c>
      <c r="D233" s="2">
        <v>20210708</v>
      </c>
      <c r="E233" s="2">
        <v>20210711</v>
      </c>
      <c r="F233" s="2">
        <v>1252.8</v>
      </c>
      <c r="G233" s="2">
        <v>1080</v>
      </c>
      <c r="H233" s="2">
        <v>0</v>
      </c>
      <c r="I233" s="2" t="s">
        <v>102</v>
      </c>
      <c r="J233" s="2" t="s">
        <v>103</v>
      </c>
      <c r="K233" s="2">
        <f>COUNTIF(Master!A$2:A$1695,A233)</f>
        <v>0</v>
      </c>
      <c r="L233" s="2" t="str">
        <f>IFERROR(AVERAGEIFS(Master!P$2:P$1695,Master!A$2:A$1695,A233,Master!O$2:O$1695,"Relevant"),"")</f>
        <v/>
      </c>
    </row>
    <row r="234" spans="1:12" ht="15" customHeight="1" x14ac:dyDescent="0.2">
      <c r="A234" s="2">
        <v>233</v>
      </c>
      <c r="B234" s="2" t="s">
        <v>399</v>
      </c>
      <c r="C234" s="2" t="s">
        <v>17</v>
      </c>
      <c r="D234" s="2">
        <v>20210810</v>
      </c>
      <c r="E234" s="2">
        <v>20210813</v>
      </c>
      <c r="F234" s="2">
        <v>1489.5</v>
      </c>
      <c r="G234" s="2">
        <v>1284</v>
      </c>
      <c r="H234" s="2">
        <v>2</v>
      </c>
      <c r="I234" s="2" t="s">
        <v>36</v>
      </c>
      <c r="J234" s="2" t="s">
        <v>37</v>
      </c>
      <c r="K234" s="2">
        <f>COUNTIF(Master!A$2:A$1695,A234)</f>
        <v>1</v>
      </c>
      <c r="L234" s="2" t="str">
        <f>IFERROR(AVERAGEIFS(Master!P$2:P$1695,Master!A$2:A$1695,A234,Master!O$2:O$1695,"Relevant"),"")</f>
        <v/>
      </c>
    </row>
    <row r="235" spans="1:12" ht="15" customHeight="1" x14ac:dyDescent="0.2">
      <c r="A235" s="2">
        <v>234</v>
      </c>
      <c r="B235" s="2" t="s">
        <v>400</v>
      </c>
      <c r="C235" s="2" t="s">
        <v>39</v>
      </c>
      <c r="D235" s="2">
        <v>20210816</v>
      </c>
      <c r="E235" s="2">
        <v>20210818</v>
      </c>
      <c r="F235" s="2">
        <v>1481.3</v>
      </c>
      <c r="G235" s="2">
        <v>1277</v>
      </c>
      <c r="H235" s="2">
        <v>7</v>
      </c>
      <c r="I235" s="2" t="s">
        <v>401</v>
      </c>
      <c r="J235" s="2" t="s">
        <v>15</v>
      </c>
      <c r="K235" s="2">
        <f>COUNTIF(Master!A$2:A$1695,A235)</f>
        <v>5</v>
      </c>
      <c r="L235" s="2" t="str">
        <f>IFERROR(AVERAGEIFS(Master!P$2:P$1695,Master!A$2:A$1695,A235,Master!O$2:O$1695,"Relevant"),"")</f>
        <v/>
      </c>
    </row>
    <row r="236" spans="1:12" ht="15" customHeight="1" x14ac:dyDescent="0.2">
      <c r="A236" s="2">
        <v>235</v>
      </c>
      <c r="B236" s="2" t="s">
        <v>402</v>
      </c>
      <c r="C236" s="2" t="s">
        <v>39</v>
      </c>
      <c r="D236" s="2">
        <v>20210829</v>
      </c>
      <c r="E236" s="2">
        <v>20210901</v>
      </c>
      <c r="F236" s="2">
        <v>84608.1</v>
      </c>
      <c r="G236" s="2">
        <v>73572</v>
      </c>
      <c r="H236" s="2">
        <v>96</v>
      </c>
      <c r="I236" s="2" t="s">
        <v>403</v>
      </c>
      <c r="J236" s="2" t="s">
        <v>404</v>
      </c>
      <c r="K236" s="2">
        <f>COUNTIF(Master!A$2:A$1695,A236)</f>
        <v>25</v>
      </c>
      <c r="L236" s="2" t="str">
        <f>IFERROR(AVERAGEIFS(Master!P$2:P$1695,Master!A$2:A$1695,A236,Master!O$2:O$1695,"Relevant"),"")</f>
        <v/>
      </c>
    </row>
    <row r="237" spans="1:12" ht="15" customHeight="1" x14ac:dyDescent="0.2">
      <c r="A237" s="2">
        <v>236</v>
      </c>
      <c r="B237" s="2" t="s">
        <v>405</v>
      </c>
      <c r="C237" s="2" t="s">
        <v>39</v>
      </c>
      <c r="D237" s="2">
        <v>20210914</v>
      </c>
      <c r="E237" s="2">
        <v>20210918</v>
      </c>
      <c r="F237" s="2">
        <v>1168.5</v>
      </c>
      <c r="G237" s="2">
        <v>1016</v>
      </c>
      <c r="H237" s="2">
        <v>0</v>
      </c>
      <c r="I237" s="2" t="s">
        <v>40</v>
      </c>
      <c r="J237" s="2" t="s">
        <v>41</v>
      </c>
      <c r="K237" s="2">
        <f>COUNTIF(Master!A$2:A$1695,A237)</f>
        <v>10</v>
      </c>
      <c r="L237" s="2" t="str">
        <f>IFERROR(AVERAGEIFS(Master!P$2:P$1695,Master!A$2:A$1695,A237,Master!O$2:O$1695,"Relevant"),"")</f>
        <v/>
      </c>
    </row>
    <row r="238" spans="1:12" ht="15" customHeight="1" x14ac:dyDescent="0.2">
      <c r="A238" s="2">
        <v>237</v>
      </c>
      <c r="B238" s="2" t="s">
        <v>406</v>
      </c>
      <c r="C238" s="2" t="s">
        <v>17</v>
      </c>
      <c r="D238" s="2">
        <v>20211210</v>
      </c>
      <c r="E238" s="2">
        <v>20211210</v>
      </c>
      <c r="F238" s="2">
        <v>4463.1000000000004</v>
      </c>
      <c r="G238" s="2">
        <v>3915</v>
      </c>
      <c r="H238" s="2">
        <v>93</v>
      </c>
      <c r="I238" s="2" t="s">
        <v>297</v>
      </c>
      <c r="J238" s="2" t="s">
        <v>109</v>
      </c>
      <c r="K238" s="2">
        <f>COUNTIF(Master!A$2:A$1695,A238)</f>
        <v>8</v>
      </c>
      <c r="L238" s="2" t="str">
        <f>IFERROR(AVERAGEIFS(Master!P$2:P$1695,Master!A$2:A$1695,A238,Master!O$2:O$1695,"Relevant"),"")</f>
        <v/>
      </c>
    </row>
    <row r="239" spans="1:12" ht="15" customHeight="1" x14ac:dyDescent="0.2">
      <c r="A239" s="2">
        <v>238</v>
      </c>
      <c r="B239" s="2" t="s">
        <v>407</v>
      </c>
      <c r="C239" s="2" t="s">
        <v>17</v>
      </c>
      <c r="D239" s="2">
        <v>20211215</v>
      </c>
      <c r="E239" s="2">
        <v>20211215</v>
      </c>
      <c r="F239" s="2">
        <v>2031.5</v>
      </c>
      <c r="G239" s="2">
        <v>1782</v>
      </c>
      <c r="H239" s="2">
        <v>1</v>
      </c>
      <c r="I239" s="2" t="s">
        <v>36</v>
      </c>
      <c r="J239" s="2" t="s">
        <v>37</v>
      </c>
      <c r="K239" s="2">
        <f>COUNTIF(Master!A$2:A$1695,A239)</f>
        <v>20</v>
      </c>
      <c r="L239" s="2" t="str">
        <f>IFERROR(AVERAGEIFS(Master!P$2:P$1695,Master!A$2:A$1695,A239,Master!O$2:O$1695,"Relevant"),"")</f>
        <v/>
      </c>
    </row>
    <row r="240" spans="1:12" ht="15" customHeight="1" x14ac:dyDescent="0.2">
      <c r="A240" s="2">
        <v>239</v>
      </c>
      <c r="B240" s="2" t="s">
        <v>408</v>
      </c>
      <c r="C240" s="2" t="s">
        <v>21</v>
      </c>
      <c r="D240" s="2">
        <v>20210601</v>
      </c>
      <c r="E240" s="2">
        <v>20211231</v>
      </c>
      <c r="F240" s="2">
        <v>12064</v>
      </c>
      <c r="G240" s="2">
        <v>10400</v>
      </c>
      <c r="H240" s="2">
        <v>8</v>
      </c>
      <c r="I240" s="2" t="s">
        <v>22</v>
      </c>
      <c r="J240" s="2" t="s">
        <v>23</v>
      </c>
      <c r="K240" s="2">
        <f>COUNTIF(Master!A$2:A$1695,A240)</f>
        <v>25</v>
      </c>
      <c r="L240" s="2" t="str">
        <f>IFERROR(AVERAGEIFS(Master!P$2:P$1695,Master!A$2:A$1695,A240,Master!O$2:O$1695,"Relevant"),"")</f>
        <v/>
      </c>
    </row>
    <row r="241" spans="1:12" ht="15" customHeight="1" x14ac:dyDescent="0.2">
      <c r="A241" s="2">
        <v>240</v>
      </c>
      <c r="B241" s="2" t="s">
        <v>409</v>
      </c>
      <c r="C241" s="2" t="s">
        <v>29</v>
      </c>
      <c r="D241" s="2">
        <v>20210101</v>
      </c>
      <c r="E241" s="2">
        <v>20211231</v>
      </c>
      <c r="F241" s="2">
        <v>10201.9</v>
      </c>
      <c r="G241" s="2">
        <v>8431</v>
      </c>
      <c r="H241" s="2">
        <v>229</v>
      </c>
      <c r="I241" s="2" t="s">
        <v>22</v>
      </c>
      <c r="J241" s="2" t="s">
        <v>23</v>
      </c>
      <c r="K241" s="2">
        <f>COUNTIF(Master!A$2:A$1695,A241)</f>
        <v>30</v>
      </c>
      <c r="L241" s="2" t="str">
        <f>IFERROR(AVERAGEIFS(Master!P$2:P$1695,Master!A$2:A$1695,A241,Master!O$2:O$1695,"Relevant"),"")</f>
        <v/>
      </c>
    </row>
    <row r="242" spans="1:12" ht="15" customHeight="1" x14ac:dyDescent="0.2">
      <c r="A242" s="2">
        <v>241</v>
      </c>
      <c r="B242" s="2" t="s">
        <v>410</v>
      </c>
      <c r="C242" s="2" t="s">
        <v>17</v>
      </c>
      <c r="D242" s="2">
        <v>20220221</v>
      </c>
      <c r="E242" s="2">
        <v>20220222</v>
      </c>
      <c r="F242" s="2">
        <v>1118.9000000000001</v>
      </c>
      <c r="G242" s="2">
        <v>1008</v>
      </c>
      <c r="H242" s="2">
        <v>0</v>
      </c>
      <c r="I242" s="2" t="s">
        <v>125</v>
      </c>
      <c r="J242" s="2" t="s">
        <v>41</v>
      </c>
      <c r="K242" s="2">
        <f>COUNTIF(Master!A$2:A$1695,A242)</f>
        <v>0</v>
      </c>
      <c r="L242" s="2" t="str">
        <f>IFERROR(AVERAGEIFS(Master!P$2:P$1695,Master!A$2:A$1695,A242,Master!O$2:O$1695,"Relevant"),"")</f>
        <v/>
      </c>
    </row>
    <row r="243" spans="1:12" ht="15" customHeight="1" x14ac:dyDescent="0.2">
      <c r="A243" s="2">
        <v>242</v>
      </c>
      <c r="B243" s="2" t="s">
        <v>411</v>
      </c>
      <c r="C243" s="2" t="s">
        <v>17</v>
      </c>
      <c r="D243" s="2">
        <v>20220330</v>
      </c>
      <c r="E243" s="2">
        <v>20220330</v>
      </c>
      <c r="F243" s="2">
        <v>1381.6</v>
      </c>
      <c r="G243" s="2">
        <v>1256</v>
      </c>
      <c r="H243" s="2">
        <v>2</v>
      </c>
      <c r="I243" s="2" t="s">
        <v>18</v>
      </c>
      <c r="J243" s="2" t="s">
        <v>19</v>
      </c>
      <c r="K243" s="2">
        <f>COUNTIF(Master!A$2:A$1695,A243)</f>
        <v>4</v>
      </c>
      <c r="L243" s="2" t="str">
        <f>IFERROR(AVERAGEIFS(Master!P$2:P$1695,Master!A$2:A$1695,A243,Master!O$2:O$1695,"Relevant"),"")</f>
        <v/>
      </c>
    </row>
    <row r="244" spans="1:12" ht="15" customHeight="1" x14ac:dyDescent="0.2">
      <c r="A244" s="2">
        <v>243</v>
      </c>
      <c r="B244" s="2" t="s">
        <v>412</v>
      </c>
      <c r="C244" s="2" t="s">
        <v>17</v>
      </c>
      <c r="D244" s="2">
        <v>20220404</v>
      </c>
      <c r="E244" s="2">
        <v>20220406</v>
      </c>
      <c r="F244" s="2">
        <v>1544.8</v>
      </c>
      <c r="G244" s="2">
        <v>1417</v>
      </c>
      <c r="H244" s="2">
        <v>3</v>
      </c>
      <c r="I244" s="2" t="s">
        <v>14</v>
      </c>
      <c r="J244" s="2" t="s">
        <v>15</v>
      </c>
      <c r="K244" s="2">
        <f>COUNTIF(Master!A$2:A$1695,A244)</f>
        <v>7</v>
      </c>
      <c r="L244" s="2" t="str">
        <f>IFERROR(AVERAGEIFS(Master!P$2:P$1695,Master!A$2:A$1695,A244,Master!O$2:O$1695,"Relevant"),"")</f>
        <v/>
      </c>
    </row>
    <row r="245" spans="1:12" ht="15" customHeight="1" x14ac:dyDescent="0.2">
      <c r="A245" s="2">
        <v>244</v>
      </c>
      <c r="B245" s="2" t="s">
        <v>413</v>
      </c>
      <c r="C245" s="2" t="s">
        <v>17</v>
      </c>
      <c r="D245" s="2">
        <v>20220411</v>
      </c>
      <c r="E245" s="2">
        <v>20220413</v>
      </c>
      <c r="F245" s="2">
        <v>2915.7</v>
      </c>
      <c r="G245" s="2">
        <v>2675</v>
      </c>
      <c r="H245" s="2">
        <v>1</v>
      </c>
      <c r="I245" s="2" t="s">
        <v>18</v>
      </c>
      <c r="J245" s="2" t="s">
        <v>19</v>
      </c>
      <c r="K245" s="2">
        <f>COUNTIF(Master!A$2:A$1695,A245)</f>
        <v>5</v>
      </c>
      <c r="L245" s="2" t="str">
        <f>IFERROR(AVERAGEIFS(Master!P$2:P$1695,Master!A$2:A$1695,A245,Master!O$2:O$1695,"Relevant"),"")</f>
        <v/>
      </c>
    </row>
    <row r="246" spans="1:12" ht="15" customHeight="1" x14ac:dyDescent="0.2">
      <c r="A246" s="2">
        <v>245</v>
      </c>
      <c r="B246" s="2" t="s">
        <v>414</v>
      </c>
      <c r="C246" s="2" t="s">
        <v>17</v>
      </c>
      <c r="D246" s="2">
        <v>20220501</v>
      </c>
      <c r="E246" s="2">
        <v>20220503</v>
      </c>
      <c r="F246" s="2">
        <v>1230.0999999999999</v>
      </c>
      <c r="G246" s="2">
        <v>1139</v>
      </c>
      <c r="H246" s="2">
        <v>1</v>
      </c>
      <c r="I246" s="2" t="s">
        <v>351</v>
      </c>
      <c r="J246" s="2" t="s">
        <v>109</v>
      </c>
      <c r="K246" s="2">
        <f>COUNTIF(Master!A$2:A$1695,A246)</f>
        <v>6</v>
      </c>
      <c r="L246" s="2" t="str">
        <f>IFERROR(AVERAGEIFS(Master!P$2:P$1695,Master!A$2:A$1695,A246,Master!O$2:O$1695,"Relevant"),"")</f>
        <v/>
      </c>
    </row>
    <row r="247" spans="1:12" ht="15" customHeight="1" x14ac:dyDescent="0.2">
      <c r="A247" s="2">
        <v>246</v>
      </c>
      <c r="B247" s="2" t="s">
        <v>415</v>
      </c>
      <c r="C247" s="2" t="s">
        <v>17</v>
      </c>
      <c r="D247" s="2">
        <v>20220509</v>
      </c>
      <c r="E247" s="2">
        <v>20220509</v>
      </c>
      <c r="F247" s="2">
        <v>2354.4</v>
      </c>
      <c r="G247" s="2">
        <v>2160</v>
      </c>
      <c r="H247" s="2">
        <v>0</v>
      </c>
      <c r="I247" s="2" t="s">
        <v>36</v>
      </c>
      <c r="J247" s="2" t="s">
        <v>37</v>
      </c>
      <c r="K247" s="2">
        <f>COUNTIF(Master!A$2:A$1695,A247)</f>
        <v>1</v>
      </c>
      <c r="L247" s="2" t="str">
        <f>IFERROR(AVERAGEIFS(Master!P$2:P$1695,Master!A$2:A$1695,A247,Master!O$2:O$1695,"Relevant"),"")</f>
        <v/>
      </c>
    </row>
    <row r="248" spans="1:12" ht="15" customHeight="1" x14ac:dyDescent="0.2">
      <c r="A248" s="2">
        <v>247</v>
      </c>
      <c r="B248" s="2" t="s">
        <v>416</v>
      </c>
      <c r="C248" s="2" t="s">
        <v>17</v>
      </c>
      <c r="D248" s="2">
        <v>20220511</v>
      </c>
      <c r="E248" s="2">
        <v>20220512</v>
      </c>
      <c r="F248" s="2">
        <v>2949.6</v>
      </c>
      <c r="G248" s="2">
        <v>2706</v>
      </c>
      <c r="H248" s="2">
        <v>1</v>
      </c>
      <c r="I248" s="2" t="s">
        <v>36</v>
      </c>
      <c r="J248" s="2" t="s">
        <v>37</v>
      </c>
      <c r="K248" s="2">
        <f>COUNTIF(Master!A$2:A$1695,A248)</f>
        <v>1</v>
      </c>
      <c r="L248" s="2" t="str">
        <f>IFERROR(AVERAGEIFS(Master!P$2:P$1695,Master!A$2:A$1695,A248,Master!O$2:O$1695,"Relevant"),"")</f>
        <v/>
      </c>
    </row>
    <row r="249" spans="1:12" ht="15" customHeight="1" x14ac:dyDescent="0.2">
      <c r="A249" s="2">
        <v>248</v>
      </c>
      <c r="B249" s="2" t="s">
        <v>415</v>
      </c>
      <c r="C249" s="2" t="s">
        <v>17</v>
      </c>
      <c r="D249" s="2">
        <v>20220519</v>
      </c>
      <c r="E249" s="2">
        <v>20220519</v>
      </c>
      <c r="F249" s="2">
        <v>2625.4</v>
      </c>
      <c r="G249" s="2">
        <v>2431</v>
      </c>
      <c r="H249" s="2">
        <v>0</v>
      </c>
      <c r="I249" s="2" t="s">
        <v>36</v>
      </c>
      <c r="J249" s="2" t="s">
        <v>37</v>
      </c>
      <c r="K249" s="2">
        <f>COUNTIF(Master!A$2:A$1695,A249)</f>
        <v>1</v>
      </c>
      <c r="L249" s="2" t="str">
        <f>IFERROR(AVERAGEIFS(Master!P$2:P$1695,Master!A$2:A$1695,A249,Master!O$2:O$1695,"Relevant"),"")</f>
        <v/>
      </c>
    </row>
    <row r="250" spans="1:12" ht="15" customHeight="1" x14ac:dyDescent="0.2">
      <c r="A250" s="2">
        <v>249</v>
      </c>
      <c r="B250" s="2" t="s">
        <v>417</v>
      </c>
      <c r="C250" s="2" t="s">
        <v>17</v>
      </c>
      <c r="D250" s="2">
        <v>20220607</v>
      </c>
      <c r="E250" s="2">
        <v>20220608</v>
      </c>
      <c r="F250" s="2">
        <v>2025.7</v>
      </c>
      <c r="G250" s="2">
        <v>1911</v>
      </c>
      <c r="H250" s="2">
        <v>0</v>
      </c>
      <c r="I250" s="2" t="s">
        <v>102</v>
      </c>
      <c r="J250" s="2" t="s">
        <v>103</v>
      </c>
      <c r="K250" s="2">
        <f>COUNTIF(Master!A$2:A$1695,A250)</f>
        <v>3</v>
      </c>
      <c r="L250" s="2" t="str">
        <f>IFERROR(AVERAGEIFS(Master!P$2:P$1695,Master!A$2:A$1695,A250,Master!O$2:O$1695,"Relevant"),"")</f>
        <v/>
      </c>
    </row>
    <row r="251" spans="1:12" ht="15" customHeight="1" x14ac:dyDescent="0.2">
      <c r="A251" s="2">
        <v>250</v>
      </c>
      <c r="B251" s="2" t="s">
        <v>418</v>
      </c>
      <c r="C251" s="2" t="s">
        <v>17</v>
      </c>
      <c r="D251" s="2">
        <v>20220613</v>
      </c>
      <c r="E251" s="2">
        <v>20220613</v>
      </c>
      <c r="F251" s="2">
        <v>3386.6</v>
      </c>
      <c r="G251" s="2">
        <v>3195</v>
      </c>
      <c r="H251" s="2">
        <v>1</v>
      </c>
      <c r="I251" s="2" t="s">
        <v>102</v>
      </c>
      <c r="J251" s="2" t="s">
        <v>103</v>
      </c>
      <c r="K251" s="2">
        <f>COUNTIF(Master!A$2:A$1695,A251)</f>
        <v>1</v>
      </c>
      <c r="L251" s="2" t="str">
        <f>IFERROR(AVERAGEIFS(Master!P$2:P$1695,Master!A$2:A$1695,A251,Master!O$2:O$1695,"Relevant"),"")</f>
        <v/>
      </c>
    </row>
    <row r="252" spans="1:12" ht="15" customHeight="1" x14ac:dyDescent="0.2">
      <c r="A252" s="2">
        <v>251</v>
      </c>
      <c r="B252" s="2" t="s">
        <v>419</v>
      </c>
      <c r="C252" s="2" t="s">
        <v>17</v>
      </c>
      <c r="D252" s="2">
        <v>20220722</v>
      </c>
      <c r="E252" s="2">
        <v>20220724</v>
      </c>
      <c r="F252" s="2">
        <v>1420.4</v>
      </c>
      <c r="G252" s="2">
        <v>1340</v>
      </c>
      <c r="H252" s="2">
        <v>1</v>
      </c>
      <c r="I252" s="2" t="s">
        <v>420</v>
      </c>
      <c r="J252" s="2" t="s">
        <v>421</v>
      </c>
      <c r="K252" s="2">
        <f>COUNTIF(Master!A$2:A$1695,A252)</f>
        <v>1</v>
      </c>
      <c r="L252" s="2" t="str">
        <f>IFERROR(AVERAGEIFS(Master!P$2:P$1695,Master!A$2:A$1695,A252,Master!O$2:O$1695,"Relevant"),"")</f>
        <v/>
      </c>
    </row>
    <row r="253" spans="1:12" ht="15" customHeight="1" x14ac:dyDescent="0.2">
      <c r="A253" s="2">
        <v>252</v>
      </c>
      <c r="B253" s="2" t="s">
        <v>422</v>
      </c>
      <c r="C253" s="2" t="s">
        <v>25</v>
      </c>
      <c r="D253" s="2">
        <v>20220726</v>
      </c>
      <c r="E253" s="2">
        <v>20220728</v>
      </c>
      <c r="F253" s="2">
        <v>1552.9</v>
      </c>
      <c r="G253" s="2">
        <v>1465</v>
      </c>
      <c r="H253" s="2">
        <v>42</v>
      </c>
      <c r="I253" s="2" t="s">
        <v>423</v>
      </c>
      <c r="J253" s="2" t="s">
        <v>424</v>
      </c>
      <c r="K253" s="2">
        <f>COUNTIF(Master!A$2:A$1695,A253)</f>
        <v>9</v>
      </c>
      <c r="L253" s="2" t="str">
        <f>IFERROR(AVERAGEIFS(Master!P$2:P$1695,Master!A$2:A$1695,A253,Master!O$2:O$1695,"Relevant"),"")</f>
        <v/>
      </c>
    </row>
    <row r="254" spans="1:12" ht="15" customHeight="1" x14ac:dyDescent="0.2">
      <c r="A254" s="2">
        <v>253</v>
      </c>
      <c r="B254" s="2" t="s">
        <v>425</v>
      </c>
      <c r="C254" s="2" t="s">
        <v>39</v>
      </c>
      <c r="D254" s="2">
        <v>20220917</v>
      </c>
      <c r="E254" s="2">
        <v>20220918</v>
      </c>
      <c r="F254" s="2">
        <v>2685.7</v>
      </c>
      <c r="G254" s="2">
        <v>2510</v>
      </c>
      <c r="H254" s="2">
        <v>25</v>
      </c>
      <c r="I254" s="2" t="s">
        <v>316</v>
      </c>
      <c r="J254" s="2" t="s">
        <v>44</v>
      </c>
      <c r="K254" s="2">
        <f>COUNTIF(Master!A$2:A$1695,A254)</f>
        <v>6</v>
      </c>
      <c r="L254" s="2" t="str">
        <f>IFERROR(AVERAGEIFS(Master!P$2:P$1695,Master!A$2:A$1695,A254,Master!O$2:O$1695,"Relevant"),"")</f>
        <v/>
      </c>
    </row>
    <row r="255" spans="1:12" ht="15" customHeight="1" x14ac:dyDescent="0.2">
      <c r="A255" s="2">
        <v>254</v>
      </c>
      <c r="B255" s="2" t="s">
        <v>426</v>
      </c>
      <c r="C255" s="2" t="s">
        <v>39</v>
      </c>
      <c r="D255" s="2">
        <v>20220928</v>
      </c>
      <c r="E255" s="2">
        <v>20220930</v>
      </c>
      <c r="F255" s="2">
        <v>119626</v>
      </c>
      <c r="G255" s="2">
        <v>111800</v>
      </c>
      <c r="H255" s="2">
        <v>152</v>
      </c>
      <c r="I255" s="2" t="s">
        <v>427</v>
      </c>
      <c r="J255" s="2" t="s">
        <v>27</v>
      </c>
      <c r="K255" s="2">
        <f>COUNTIF(Master!A$2:A$1695,A255)</f>
        <v>26</v>
      </c>
      <c r="L255" s="2" t="str">
        <f>IFERROR(AVERAGEIFS(Master!P$2:P$1695,Master!A$2:A$1695,A255,Master!O$2:O$1695,"Relevant"),"")</f>
        <v/>
      </c>
    </row>
    <row r="256" spans="1:12" ht="15" customHeight="1" x14ac:dyDescent="0.2">
      <c r="A256" s="2">
        <v>255</v>
      </c>
      <c r="B256" s="2" t="s">
        <v>428</v>
      </c>
      <c r="C256" s="2" t="s">
        <v>39</v>
      </c>
      <c r="D256" s="2">
        <v>20221110</v>
      </c>
      <c r="E256" s="2">
        <v>20221111</v>
      </c>
      <c r="F256" s="2">
        <v>1081.2</v>
      </c>
      <c r="G256" s="2">
        <v>1020</v>
      </c>
      <c r="H256" s="2">
        <v>5</v>
      </c>
      <c r="I256" s="2" t="s">
        <v>26</v>
      </c>
      <c r="J256" s="2" t="s">
        <v>27</v>
      </c>
      <c r="K256" s="2">
        <f>COUNTIF(Master!A$2:A$1695,A256)</f>
        <v>19</v>
      </c>
      <c r="L256" s="2" t="str">
        <f>IFERROR(AVERAGEIFS(Master!P$2:P$1695,Master!A$2:A$1695,A256,Master!O$2:O$1695,"Relevant"),"")</f>
        <v/>
      </c>
    </row>
    <row r="257" spans="1:12" ht="15" customHeight="1" x14ac:dyDescent="0.2">
      <c r="A257" s="2">
        <v>256</v>
      </c>
      <c r="B257" s="2" t="s">
        <v>429</v>
      </c>
      <c r="C257" s="2" t="s">
        <v>21</v>
      </c>
      <c r="D257" s="2">
        <v>20220401</v>
      </c>
      <c r="E257" s="2">
        <v>20221130</v>
      </c>
      <c r="F257" s="2">
        <v>3296.6</v>
      </c>
      <c r="G257" s="2">
        <v>3110</v>
      </c>
      <c r="H257" s="2">
        <v>17</v>
      </c>
      <c r="I257" s="2" t="s">
        <v>22</v>
      </c>
      <c r="J257" s="2" t="s">
        <v>23</v>
      </c>
      <c r="K257" s="2">
        <f>COUNTIF(Master!A$2:A$1695,A257)</f>
        <v>19</v>
      </c>
      <c r="L257" s="2" t="str">
        <f>IFERROR(AVERAGEIFS(Master!P$2:P$1695,Master!A$2:A$1695,A257,Master!O$2:O$1695,"Relevant"),"")</f>
        <v/>
      </c>
    </row>
    <row r="258" spans="1:12" ht="15" customHeight="1" x14ac:dyDescent="0.2">
      <c r="A258" s="2">
        <v>257</v>
      </c>
      <c r="B258" s="2" t="s">
        <v>430</v>
      </c>
      <c r="C258" s="2" t="s">
        <v>13</v>
      </c>
      <c r="D258" s="2">
        <v>20221221</v>
      </c>
      <c r="E258" s="2">
        <v>20221226</v>
      </c>
      <c r="F258" s="2">
        <v>8951.7000000000007</v>
      </c>
      <c r="G258" s="2">
        <v>8445</v>
      </c>
      <c r="H258" s="2">
        <v>87</v>
      </c>
      <c r="I258" s="2" t="s">
        <v>250</v>
      </c>
      <c r="J258" s="2" t="s">
        <v>251</v>
      </c>
      <c r="K258" s="2">
        <f>COUNTIF(Master!A$2:A$1695,A258)</f>
        <v>11</v>
      </c>
      <c r="L258" s="2" t="str">
        <f>IFERROR(AVERAGEIFS(Master!P$2:P$1695,Master!A$2:A$1695,A258,Master!O$2:O$1695,"Relevant"),"")</f>
        <v/>
      </c>
    </row>
    <row r="259" spans="1:12" ht="15" customHeight="1" x14ac:dyDescent="0.2">
      <c r="A259" s="2">
        <v>258</v>
      </c>
      <c r="B259" s="2" t="s">
        <v>431</v>
      </c>
      <c r="C259" s="2" t="s">
        <v>29</v>
      </c>
      <c r="D259" s="2">
        <v>20220101</v>
      </c>
      <c r="E259" s="2">
        <v>20221231</v>
      </c>
      <c r="F259" s="2">
        <v>23480.6</v>
      </c>
      <c r="G259" s="2">
        <v>20965</v>
      </c>
      <c r="H259" s="2">
        <v>136</v>
      </c>
      <c r="I259" s="2" t="s">
        <v>69</v>
      </c>
      <c r="J259" s="2" t="s">
        <v>70</v>
      </c>
      <c r="K259" s="2">
        <f>COUNTIF(Master!A$2:A$1695,A259)</f>
        <v>30</v>
      </c>
      <c r="L259" s="2" t="str">
        <f>IFERROR(AVERAGEIFS(Master!P$2:P$1695,Master!A$2:A$1695,A259,Master!O$2:O$1695,"Relevant"),"")</f>
        <v/>
      </c>
    </row>
    <row r="260" spans="1:12" ht="15" customHeight="1" x14ac:dyDescent="0.2">
      <c r="A260" s="2">
        <v>259</v>
      </c>
      <c r="B260" s="2" t="s">
        <v>432</v>
      </c>
      <c r="C260" s="2" t="s">
        <v>13</v>
      </c>
      <c r="D260" s="2">
        <v>20230202</v>
      </c>
      <c r="E260" s="2">
        <v>20230205</v>
      </c>
      <c r="F260" s="2">
        <v>1838.8</v>
      </c>
      <c r="G260" s="2">
        <v>1751</v>
      </c>
      <c r="H260" s="2">
        <v>1</v>
      </c>
      <c r="I260" s="2" t="s">
        <v>95</v>
      </c>
      <c r="J260" s="2" t="s">
        <v>96</v>
      </c>
      <c r="K260" s="2">
        <f>COUNTIF(Master!A$2:A$1695,A260)</f>
        <v>1</v>
      </c>
      <c r="L260" s="2" t="str">
        <f>IFERROR(AVERAGEIFS(Master!P$2:P$1695,Master!A$2:A$1695,A260,Master!O$2:O$1695,"Relevant"),"")</f>
        <v/>
      </c>
    </row>
    <row r="261" spans="1:12" ht="15" customHeight="1" x14ac:dyDescent="0.2">
      <c r="A261" s="2">
        <v>260</v>
      </c>
      <c r="B261" s="2" t="s">
        <v>433</v>
      </c>
      <c r="C261" s="2" t="s">
        <v>17</v>
      </c>
      <c r="D261" s="2">
        <v>20230302</v>
      </c>
      <c r="E261" s="2">
        <v>20230303</v>
      </c>
      <c r="F261" s="2">
        <v>6170</v>
      </c>
      <c r="G261" s="2">
        <v>5876</v>
      </c>
      <c r="H261" s="2">
        <v>13</v>
      </c>
      <c r="I261" s="2" t="s">
        <v>61</v>
      </c>
      <c r="J261" s="2" t="s">
        <v>62</v>
      </c>
      <c r="K261" s="2">
        <f>COUNTIF(Master!A$2:A$1695,A261)</f>
        <v>1</v>
      </c>
      <c r="L261" s="2" t="str">
        <f>IFERROR(AVERAGEIFS(Master!P$2:P$1695,Master!A$2:A$1695,A261,Master!O$2:O$1695,"Relevant"),"")</f>
        <v/>
      </c>
    </row>
    <row r="262" spans="1:12" ht="15" customHeight="1" x14ac:dyDescent="0.2">
      <c r="A262" s="2">
        <v>261</v>
      </c>
      <c r="B262" s="2" t="s">
        <v>434</v>
      </c>
      <c r="C262" s="2" t="s">
        <v>25</v>
      </c>
      <c r="D262" s="2">
        <v>20221226</v>
      </c>
      <c r="E262" s="2">
        <v>20230319</v>
      </c>
      <c r="F262" s="2">
        <v>4725</v>
      </c>
      <c r="G262" s="2">
        <v>4500</v>
      </c>
      <c r="H262" s="2">
        <v>22</v>
      </c>
      <c r="I262" s="2" t="s">
        <v>66</v>
      </c>
      <c r="J262" s="2" t="s">
        <v>67</v>
      </c>
      <c r="K262" s="2">
        <f>COUNTIF(Master!A$2:A$1695,A262)</f>
        <v>6</v>
      </c>
      <c r="L262" s="2" t="str">
        <f>IFERROR(AVERAGEIFS(Master!P$2:P$1695,Master!A$2:A$1695,A262,Master!O$2:O$1695,"Relevant"),"")</f>
        <v/>
      </c>
    </row>
    <row r="263" spans="1:12" ht="15" customHeight="1" x14ac:dyDescent="0.2">
      <c r="A263" s="2">
        <v>262</v>
      </c>
      <c r="B263" s="2" t="s">
        <v>435</v>
      </c>
      <c r="C263" s="2" t="s">
        <v>17</v>
      </c>
      <c r="D263" s="2">
        <v>20230324</v>
      </c>
      <c r="E263" s="2">
        <v>20230326</v>
      </c>
      <c r="F263" s="2">
        <v>2956</v>
      </c>
      <c r="G263" s="2">
        <v>2815</v>
      </c>
      <c r="H263" s="2">
        <v>23</v>
      </c>
      <c r="I263" s="2" t="s">
        <v>61</v>
      </c>
      <c r="J263" s="2" t="s">
        <v>62</v>
      </c>
      <c r="K263" s="2">
        <f>COUNTIF(Master!A$2:A$1695,A263)</f>
        <v>9</v>
      </c>
      <c r="L263" s="2" t="str">
        <f>IFERROR(AVERAGEIFS(Master!P$2:P$1695,Master!A$2:A$1695,A263,Master!O$2:O$1695,"Relevant"),"")</f>
        <v/>
      </c>
    </row>
    <row r="264" spans="1:12" ht="15" customHeight="1" x14ac:dyDescent="0.2">
      <c r="A264" s="2">
        <v>263</v>
      </c>
      <c r="B264" s="2" t="s">
        <v>436</v>
      </c>
      <c r="C264" s="2" t="s">
        <v>17</v>
      </c>
      <c r="D264" s="2">
        <v>20230331</v>
      </c>
      <c r="E264" s="2">
        <v>20230401</v>
      </c>
      <c r="F264" s="2">
        <v>5909.8</v>
      </c>
      <c r="G264" s="2">
        <v>5628</v>
      </c>
      <c r="H264" s="2">
        <v>33</v>
      </c>
      <c r="I264" s="2" t="s">
        <v>250</v>
      </c>
      <c r="J264" s="2" t="s">
        <v>251</v>
      </c>
      <c r="K264" s="2">
        <f>COUNTIF(Master!A$2:A$1695,A264)</f>
        <v>7</v>
      </c>
      <c r="L264" s="2" t="str">
        <f>IFERROR(AVERAGEIFS(Master!P$2:P$1695,Master!A$2:A$1695,A264,Master!O$2:O$1695,"Relevant"),"")</f>
        <v/>
      </c>
    </row>
    <row r="265" spans="1:12" ht="15" customHeight="1" x14ac:dyDescent="0.2">
      <c r="A265" s="2">
        <v>264</v>
      </c>
      <c r="B265" s="2" t="s">
        <v>437</v>
      </c>
      <c r="C265" s="2" t="s">
        <v>17</v>
      </c>
      <c r="D265" s="2">
        <v>20230404</v>
      </c>
      <c r="E265" s="2">
        <v>20230406</v>
      </c>
      <c r="F265" s="2">
        <v>2956.1</v>
      </c>
      <c r="G265" s="2">
        <v>2815</v>
      </c>
      <c r="H265" s="2">
        <v>5</v>
      </c>
      <c r="I265" s="2" t="s">
        <v>250</v>
      </c>
      <c r="J265" s="2" t="s">
        <v>251</v>
      </c>
      <c r="K265" s="2">
        <f>COUNTIF(Master!A$2:A$1695,A265)</f>
        <v>5</v>
      </c>
      <c r="L265" s="2" t="str">
        <f>IFERROR(AVERAGEIFS(Master!P$2:P$1695,Master!A$2:A$1695,A265,Master!O$2:O$1695,"Relevant"),"")</f>
        <v/>
      </c>
    </row>
    <row r="266" spans="1:12" ht="15" customHeight="1" x14ac:dyDescent="0.2">
      <c r="A266" s="2">
        <v>265</v>
      </c>
      <c r="B266" s="2" t="s">
        <v>438</v>
      </c>
      <c r="C266" s="2" t="s">
        <v>25</v>
      </c>
      <c r="D266" s="2">
        <v>20230412</v>
      </c>
      <c r="E266" s="2">
        <v>20230413</v>
      </c>
      <c r="F266" s="2">
        <v>1144</v>
      </c>
      <c r="G266" s="2">
        <v>1100</v>
      </c>
      <c r="H266" s="2">
        <v>0</v>
      </c>
      <c r="I266" s="2" t="s">
        <v>26</v>
      </c>
      <c r="J266" s="2" t="s">
        <v>27</v>
      </c>
      <c r="K266" s="2">
        <f>COUNTIF(Master!A$2:A$1695,A266)</f>
        <v>12</v>
      </c>
      <c r="L266" s="2" t="str">
        <f>IFERROR(AVERAGEIFS(Master!P$2:P$1695,Master!A$2:A$1695,A266,Master!O$2:O$1695,"Relevant"),"")</f>
        <v/>
      </c>
    </row>
    <row r="267" spans="1:12" ht="15" customHeight="1" x14ac:dyDescent="0.2">
      <c r="A267" s="2">
        <v>266</v>
      </c>
      <c r="B267" s="2" t="s">
        <v>439</v>
      </c>
      <c r="C267" s="2" t="s">
        <v>17</v>
      </c>
      <c r="D267" s="2">
        <v>20230415</v>
      </c>
      <c r="E267" s="2">
        <v>20230415</v>
      </c>
      <c r="F267" s="2">
        <v>1401.9</v>
      </c>
      <c r="G267" s="2">
        <v>1335</v>
      </c>
      <c r="H267" s="2">
        <v>0</v>
      </c>
      <c r="I267" s="2" t="s">
        <v>351</v>
      </c>
      <c r="J267" s="2" t="s">
        <v>109</v>
      </c>
      <c r="K267" s="2">
        <f>COUNTIF(Master!A$2:A$1695,A267)</f>
        <v>1</v>
      </c>
      <c r="L267" s="2" t="str">
        <f>IFERROR(AVERAGEIFS(Master!P$2:P$1695,Master!A$2:A$1695,A267,Master!O$2:O$1695,"Relevant"),"")</f>
        <v/>
      </c>
    </row>
    <row r="268" spans="1:12" ht="15" customHeight="1" x14ac:dyDescent="0.2">
      <c r="A268" s="2">
        <v>267</v>
      </c>
      <c r="B268" s="2" t="s">
        <v>440</v>
      </c>
      <c r="C268" s="2" t="s">
        <v>17</v>
      </c>
      <c r="D268" s="2">
        <v>20230419</v>
      </c>
      <c r="E268" s="2">
        <v>20230420</v>
      </c>
      <c r="F268" s="2">
        <v>3108.3</v>
      </c>
      <c r="G268" s="2">
        <v>2960</v>
      </c>
      <c r="H268" s="2">
        <v>1</v>
      </c>
      <c r="I268" s="2" t="s">
        <v>102</v>
      </c>
      <c r="J268" s="2" t="s">
        <v>103</v>
      </c>
      <c r="K268" s="2">
        <f>COUNTIF(Master!A$2:A$1695,A268)</f>
        <v>4</v>
      </c>
      <c r="L268" s="2" t="str">
        <f>IFERROR(AVERAGEIFS(Master!P$2:P$1695,Master!A$2:A$1695,A268,Master!O$2:O$1695,"Relevant"),"")</f>
        <v/>
      </c>
    </row>
    <row r="269" spans="1:12" ht="15" customHeight="1" x14ac:dyDescent="0.2">
      <c r="A269" s="2">
        <v>268</v>
      </c>
      <c r="B269" s="2" t="s">
        <v>441</v>
      </c>
      <c r="C269" s="2" t="s">
        <v>17</v>
      </c>
      <c r="D269" s="2">
        <v>20230425</v>
      </c>
      <c r="E269" s="2">
        <v>20230427</v>
      </c>
      <c r="F269" s="2">
        <v>1372.8</v>
      </c>
      <c r="G269" s="2">
        <v>1320</v>
      </c>
      <c r="H269" s="2">
        <v>0</v>
      </c>
      <c r="I269" s="2" t="s">
        <v>18</v>
      </c>
      <c r="J269" s="2" t="s">
        <v>19</v>
      </c>
      <c r="K269" s="2">
        <f>COUNTIF(Master!A$2:A$1695,A269)</f>
        <v>5</v>
      </c>
      <c r="L269" s="2" t="str">
        <f>IFERROR(AVERAGEIFS(Master!P$2:P$1695,Master!A$2:A$1695,A269,Master!O$2:O$1695,"Relevant"),"")</f>
        <v/>
      </c>
    </row>
    <row r="270" spans="1:12" ht="15" customHeight="1" x14ac:dyDescent="0.2">
      <c r="A270" s="2">
        <v>269</v>
      </c>
      <c r="B270" s="2" t="s">
        <v>442</v>
      </c>
      <c r="C270" s="2" t="s">
        <v>17</v>
      </c>
      <c r="D270" s="2">
        <v>20230506</v>
      </c>
      <c r="E270" s="2">
        <v>20230508</v>
      </c>
      <c r="F270" s="2">
        <v>2222.5</v>
      </c>
      <c r="G270" s="2">
        <v>2137</v>
      </c>
      <c r="H270" s="2">
        <v>1</v>
      </c>
      <c r="I270" s="2" t="s">
        <v>102</v>
      </c>
      <c r="J270" s="2" t="s">
        <v>103</v>
      </c>
      <c r="K270" s="2">
        <f>COUNTIF(Master!A$2:A$1695,A270)</f>
        <v>0</v>
      </c>
      <c r="L270" s="2" t="str">
        <f>IFERROR(AVERAGEIFS(Master!P$2:P$1695,Master!A$2:A$1695,A270,Master!O$2:O$1695,"Relevant"),"")</f>
        <v/>
      </c>
    </row>
    <row r="271" spans="1:12" ht="15" customHeight="1" x14ac:dyDescent="0.2">
      <c r="A271" s="2">
        <v>270</v>
      </c>
      <c r="B271" s="2" t="s">
        <v>443</v>
      </c>
      <c r="C271" s="2" t="s">
        <v>17</v>
      </c>
      <c r="D271" s="2">
        <v>20230510</v>
      </c>
      <c r="E271" s="2">
        <v>20230512</v>
      </c>
      <c r="F271" s="2">
        <v>3563</v>
      </c>
      <c r="G271" s="2">
        <v>3426</v>
      </c>
      <c r="H271" s="2">
        <v>1</v>
      </c>
      <c r="I271" s="2" t="s">
        <v>250</v>
      </c>
      <c r="J271" s="2" t="s">
        <v>251</v>
      </c>
      <c r="K271" s="2">
        <f>COUNTIF(Master!A$2:A$1695,A271)</f>
        <v>3</v>
      </c>
      <c r="L271" s="2" t="str">
        <f>IFERROR(AVERAGEIFS(Master!P$2:P$1695,Master!A$2:A$1695,A271,Master!O$2:O$1695,"Relevant"),"")</f>
        <v/>
      </c>
    </row>
    <row r="272" spans="1:12" ht="15" customHeight="1" x14ac:dyDescent="0.2">
      <c r="A272" s="2">
        <v>271</v>
      </c>
      <c r="B272" s="2" t="s">
        <v>444</v>
      </c>
      <c r="C272" s="2" t="s">
        <v>17</v>
      </c>
      <c r="D272" s="2">
        <v>20230518</v>
      </c>
      <c r="E272" s="2">
        <v>20230519</v>
      </c>
      <c r="F272" s="2">
        <v>1690</v>
      </c>
      <c r="G272" s="2">
        <v>1625</v>
      </c>
      <c r="H272" s="2">
        <v>0</v>
      </c>
      <c r="I272" s="2" t="s">
        <v>125</v>
      </c>
      <c r="J272" s="2" t="s">
        <v>41</v>
      </c>
      <c r="K272" s="2">
        <f>COUNTIF(Master!A$2:A$1695,A272)</f>
        <v>1</v>
      </c>
      <c r="L272" s="2" t="str">
        <f>IFERROR(AVERAGEIFS(Master!P$2:P$1695,Master!A$2:A$1695,A272,Master!O$2:O$1695,"Relevant"),"")</f>
        <v/>
      </c>
    </row>
    <row r="273" spans="1:12" ht="15" customHeight="1" x14ac:dyDescent="0.2">
      <c r="A273" s="2">
        <v>272</v>
      </c>
      <c r="B273" s="2" t="s">
        <v>445</v>
      </c>
      <c r="C273" s="2" t="s">
        <v>39</v>
      </c>
      <c r="D273" s="2">
        <v>20230524</v>
      </c>
      <c r="E273" s="2">
        <v>20230525</v>
      </c>
      <c r="F273" s="2">
        <v>4420</v>
      </c>
      <c r="G273" s="2">
        <v>4250</v>
      </c>
      <c r="H273" s="2">
        <v>2</v>
      </c>
      <c r="I273" s="2" t="s">
        <v>446</v>
      </c>
      <c r="J273" s="2" t="s">
        <v>44</v>
      </c>
      <c r="K273" s="2">
        <f>COUNTIF(Master!A$2:A$1695,A273)</f>
        <v>0</v>
      </c>
      <c r="L273" s="2" t="str">
        <f>IFERROR(AVERAGEIFS(Master!P$2:P$1695,Master!A$2:A$1695,A273,Master!O$2:O$1695,"Relevant"),"")</f>
        <v/>
      </c>
    </row>
    <row r="274" spans="1:12" ht="15" customHeight="1" x14ac:dyDescent="0.2">
      <c r="A274" s="2">
        <v>273</v>
      </c>
      <c r="B274" s="2" t="s">
        <v>447</v>
      </c>
      <c r="C274" s="2" t="s">
        <v>17</v>
      </c>
      <c r="D274" s="2">
        <v>20230611</v>
      </c>
      <c r="E274" s="2">
        <v>20230614</v>
      </c>
      <c r="F274" s="2">
        <v>4193.2</v>
      </c>
      <c r="G274" s="2">
        <v>4032</v>
      </c>
      <c r="H274" s="2">
        <v>0</v>
      </c>
      <c r="I274" s="2" t="s">
        <v>18</v>
      </c>
      <c r="J274" s="2" t="s">
        <v>19</v>
      </c>
      <c r="K274" s="2">
        <f>COUNTIF(Master!A$2:A$1695,A274)</f>
        <v>1</v>
      </c>
      <c r="L274" s="2" t="str">
        <f>IFERROR(AVERAGEIFS(Master!P$2:P$1695,Master!A$2:A$1695,A274,Master!O$2:O$1695,"Relevant"),"")</f>
        <v/>
      </c>
    </row>
    <row r="275" spans="1:12" ht="15" customHeight="1" x14ac:dyDescent="0.2">
      <c r="A275" s="2">
        <v>274</v>
      </c>
      <c r="B275" s="2" t="s">
        <v>448</v>
      </c>
      <c r="C275" s="2" t="s">
        <v>17</v>
      </c>
      <c r="D275" s="2">
        <v>20230615</v>
      </c>
      <c r="E275" s="2">
        <v>20230618</v>
      </c>
      <c r="F275" s="2">
        <v>3918.7</v>
      </c>
      <c r="G275" s="2">
        <v>3768</v>
      </c>
      <c r="H275" s="2">
        <v>5</v>
      </c>
      <c r="I275" s="2" t="s">
        <v>351</v>
      </c>
      <c r="J275" s="2" t="s">
        <v>109</v>
      </c>
      <c r="K275" s="2">
        <f>COUNTIF(Master!A$2:A$1695,A275)</f>
        <v>7</v>
      </c>
      <c r="L275" s="2" t="str">
        <f>IFERROR(AVERAGEIFS(Master!P$2:P$1695,Master!A$2:A$1695,A275,Master!O$2:O$1695,"Relevant"),"")</f>
        <v/>
      </c>
    </row>
    <row r="276" spans="1:12" ht="15" customHeight="1" x14ac:dyDescent="0.2">
      <c r="A276" s="2">
        <v>275</v>
      </c>
      <c r="B276" s="2" t="s">
        <v>449</v>
      </c>
      <c r="C276" s="2" t="s">
        <v>17</v>
      </c>
      <c r="D276" s="2">
        <v>20230621</v>
      </c>
      <c r="E276" s="2">
        <v>20230626</v>
      </c>
      <c r="F276" s="2">
        <v>5453.9</v>
      </c>
      <c r="G276" s="2">
        <v>5244</v>
      </c>
      <c r="H276" s="2">
        <v>8</v>
      </c>
      <c r="I276" s="2" t="s">
        <v>154</v>
      </c>
      <c r="J276" s="2" t="s">
        <v>155</v>
      </c>
      <c r="K276" s="2">
        <f>COUNTIF(Master!A$2:A$1695,A276)</f>
        <v>2</v>
      </c>
      <c r="L276" s="2" t="str">
        <f>IFERROR(AVERAGEIFS(Master!P$2:P$1695,Master!A$2:A$1695,A276,Master!O$2:O$1695,"Relevant"),"")</f>
        <v/>
      </c>
    </row>
    <row r="277" spans="1:12" ht="15" customHeight="1" x14ac:dyDescent="0.2">
      <c r="A277" s="2">
        <v>276</v>
      </c>
      <c r="B277" s="2" t="s">
        <v>450</v>
      </c>
      <c r="C277" s="2" t="s">
        <v>17</v>
      </c>
      <c r="D277" s="2">
        <v>20230628</v>
      </c>
      <c r="E277" s="2">
        <v>20230702</v>
      </c>
      <c r="F277" s="2">
        <v>1976.8</v>
      </c>
      <c r="G277" s="2">
        <v>1919</v>
      </c>
      <c r="H277" s="2">
        <v>3</v>
      </c>
      <c r="I277" s="2" t="s">
        <v>102</v>
      </c>
      <c r="J277" s="2" t="s">
        <v>103</v>
      </c>
      <c r="K277" s="2">
        <f>COUNTIF(Master!A$2:A$1695,A277)</f>
        <v>3</v>
      </c>
      <c r="L277" s="2" t="str">
        <f>IFERROR(AVERAGEIFS(Master!P$2:P$1695,Master!A$2:A$1695,A277,Master!O$2:O$1695,"Relevant"),"")</f>
        <v/>
      </c>
    </row>
    <row r="278" spans="1:12" ht="15" customHeight="1" x14ac:dyDescent="0.2">
      <c r="A278" s="2">
        <v>277</v>
      </c>
      <c r="B278" s="2" t="s">
        <v>451</v>
      </c>
      <c r="C278" s="2" t="s">
        <v>25</v>
      </c>
      <c r="D278" s="2">
        <v>20230709</v>
      </c>
      <c r="E278" s="2">
        <v>20230715</v>
      </c>
      <c r="F278" s="2">
        <v>2230.4</v>
      </c>
      <c r="G278" s="2">
        <v>2165</v>
      </c>
      <c r="H278" s="2">
        <v>10</v>
      </c>
      <c r="I278" s="2" t="s">
        <v>157</v>
      </c>
      <c r="J278" s="2" t="s">
        <v>158</v>
      </c>
      <c r="K278" s="2">
        <f>COUNTIF(Master!A$2:A$1695,A278)</f>
        <v>6</v>
      </c>
      <c r="L278" s="2" t="str">
        <f>IFERROR(AVERAGEIFS(Master!P$2:P$1695,Master!A$2:A$1695,A278,Master!O$2:O$1695,"Relevant"),"")</f>
        <v/>
      </c>
    </row>
    <row r="279" spans="1:12" ht="15" customHeight="1" x14ac:dyDescent="0.2">
      <c r="A279" s="2">
        <v>278</v>
      </c>
      <c r="B279" s="2" t="s">
        <v>452</v>
      </c>
      <c r="C279" s="2" t="s">
        <v>17</v>
      </c>
      <c r="D279" s="2">
        <v>20230719</v>
      </c>
      <c r="E279" s="2">
        <v>20230721</v>
      </c>
      <c r="F279" s="2">
        <v>1887</v>
      </c>
      <c r="G279" s="2">
        <v>1832</v>
      </c>
      <c r="H279" s="2">
        <v>1</v>
      </c>
      <c r="I279" s="2" t="s">
        <v>92</v>
      </c>
      <c r="J279" s="2" t="s">
        <v>34</v>
      </c>
      <c r="K279" s="2">
        <f>COUNTIF(Master!A$2:A$1695,A279)</f>
        <v>1</v>
      </c>
      <c r="L279" s="2" t="str">
        <f>IFERROR(AVERAGEIFS(Master!P$2:P$1695,Master!A$2:A$1695,A279,Master!O$2:O$1695,"Relevant"),"")</f>
        <v/>
      </c>
    </row>
    <row r="280" spans="1:12" ht="15" customHeight="1" x14ac:dyDescent="0.2">
      <c r="A280" s="2">
        <v>279</v>
      </c>
      <c r="B280" s="2" t="s">
        <v>453</v>
      </c>
      <c r="C280" s="2" t="s">
        <v>17</v>
      </c>
      <c r="D280" s="2">
        <v>20230728</v>
      </c>
      <c r="E280" s="2">
        <v>20230729</v>
      </c>
      <c r="F280" s="2">
        <v>1526.6</v>
      </c>
      <c r="G280" s="2">
        <v>1482</v>
      </c>
      <c r="H280" s="2">
        <v>2</v>
      </c>
      <c r="I280" s="2" t="s">
        <v>420</v>
      </c>
      <c r="J280" s="2" t="s">
        <v>421</v>
      </c>
      <c r="K280" s="2">
        <f>COUNTIF(Master!A$2:A$1695,A280)</f>
        <v>2</v>
      </c>
      <c r="L280" s="2" t="str">
        <f>IFERROR(AVERAGEIFS(Master!P$2:P$1695,Master!A$2:A$1695,A280,Master!O$2:O$1695,"Relevant"),"")</f>
        <v/>
      </c>
    </row>
    <row r="281" spans="1:12" ht="15" customHeight="1" x14ac:dyDescent="0.2">
      <c r="A281" s="2">
        <v>280</v>
      </c>
      <c r="B281" s="2" t="s">
        <v>454</v>
      </c>
      <c r="C281" s="2" t="s">
        <v>21</v>
      </c>
      <c r="D281" s="2">
        <v>20230808</v>
      </c>
      <c r="E281" s="2">
        <v>20230808</v>
      </c>
      <c r="F281" s="2">
        <v>5665</v>
      </c>
      <c r="G281" s="2">
        <v>5500</v>
      </c>
      <c r="H281" s="2">
        <v>100</v>
      </c>
      <c r="I281" s="2" t="s">
        <v>455</v>
      </c>
      <c r="J281" s="2" t="s">
        <v>67</v>
      </c>
      <c r="K281" s="2">
        <f>COUNTIF(Master!A$2:A$1695,A281)</f>
        <v>9</v>
      </c>
      <c r="L281" s="2" t="str">
        <f>IFERROR(AVERAGEIFS(Master!P$2:P$1695,Master!A$2:A$1695,A281,Master!O$2:O$1695,"Relevant"),"")</f>
        <v/>
      </c>
    </row>
    <row r="282" spans="1:12" ht="15" customHeight="1" x14ac:dyDescent="0.2">
      <c r="A282" s="2">
        <v>281</v>
      </c>
      <c r="B282" s="2" t="s">
        <v>456</v>
      </c>
      <c r="C282" s="2" t="s">
        <v>17</v>
      </c>
      <c r="D282" s="2">
        <v>20230805</v>
      </c>
      <c r="E282" s="2">
        <v>20230808</v>
      </c>
      <c r="F282" s="2">
        <v>1680.2</v>
      </c>
      <c r="G282" s="2">
        <v>1631</v>
      </c>
      <c r="H282" s="2">
        <v>4</v>
      </c>
      <c r="I282" s="2" t="s">
        <v>51</v>
      </c>
      <c r="J282" s="2" t="s">
        <v>52</v>
      </c>
      <c r="K282" s="2">
        <f>COUNTIF(Master!A$2:A$1695,A282)</f>
        <v>1</v>
      </c>
      <c r="L282" s="2" t="str">
        <f>IFERROR(AVERAGEIFS(Master!P$2:P$1695,Master!A$2:A$1695,A282,Master!O$2:O$1695,"Relevant"),"")</f>
        <v/>
      </c>
    </row>
    <row r="283" spans="1:12" ht="15" customHeight="1" x14ac:dyDescent="0.2">
      <c r="A283" s="2">
        <v>282</v>
      </c>
      <c r="B283" s="2" t="s">
        <v>457</v>
      </c>
      <c r="C283" s="2" t="s">
        <v>17</v>
      </c>
      <c r="D283" s="2">
        <v>20230811</v>
      </c>
      <c r="E283" s="2">
        <v>20230811</v>
      </c>
      <c r="F283" s="2">
        <v>1828.3</v>
      </c>
      <c r="G283" s="2">
        <v>1775</v>
      </c>
      <c r="H283" s="2">
        <v>0</v>
      </c>
      <c r="I283" s="2" t="s">
        <v>458</v>
      </c>
      <c r="J283" s="2" t="s">
        <v>176</v>
      </c>
      <c r="K283" s="2">
        <f>COUNTIF(Master!A$2:A$1695,A283)</f>
        <v>1</v>
      </c>
      <c r="L283" s="2" t="str">
        <f>IFERROR(AVERAGEIFS(Master!P$2:P$1695,Master!A$2:A$1695,A283,Master!O$2:O$1695,"Relevant"),"")</f>
        <v/>
      </c>
    </row>
    <row r="284" spans="1:12" ht="15" customHeight="1" x14ac:dyDescent="0.2">
      <c r="A284" s="2">
        <v>283</v>
      </c>
      <c r="B284" s="2" t="s">
        <v>459</v>
      </c>
      <c r="C284" s="2" t="s">
        <v>39</v>
      </c>
      <c r="D284" s="2">
        <v>20230829</v>
      </c>
      <c r="E284" s="2">
        <v>20230831</v>
      </c>
      <c r="F284" s="2">
        <v>3559.7</v>
      </c>
      <c r="G284" s="2">
        <v>3456</v>
      </c>
      <c r="H284" s="2">
        <v>5</v>
      </c>
      <c r="I284" s="2" t="s">
        <v>78</v>
      </c>
      <c r="J284" s="2" t="s">
        <v>27</v>
      </c>
      <c r="K284" s="2">
        <f>COUNTIF(Master!A$2:A$1695,A284)</f>
        <v>30</v>
      </c>
      <c r="L284" s="2" t="str">
        <f>IFERROR(AVERAGEIFS(Master!P$2:P$1695,Master!A$2:A$1695,A284,Master!O$2:O$1695,"Relevant"),"")</f>
        <v/>
      </c>
    </row>
    <row r="285" spans="1:12" ht="15" customHeight="1" x14ac:dyDescent="0.2">
      <c r="A285" s="2">
        <v>284</v>
      </c>
      <c r="B285" s="2" t="s">
        <v>460</v>
      </c>
      <c r="C285" s="2" t="s">
        <v>17</v>
      </c>
      <c r="D285" s="2">
        <v>20230923</v>
      </c>
      <c r="E285" s="2">
        <v>20230924</v>
      </c>
      <c r="F285" s="2">
        <v>1694.5</v>
      </c>
      <c r="G285" s="2">
        <v>1645</v>
      </c>
      <c r="H285" s="2">
        <v>0</v>
      </c>
      <c r="I285" s="2" t="s">
        <v>18</v>
      </c>
      <c r="J285" s="2" t="s">
        <v>19</v>
      </c>
      <c r="K285" s="2">
        <f>COUNTIF(Master!A$2:A$1695,A285)</f>
        <v>0</v>
      </c>
      <c r="L285" s="2" t="str">
        <f>IFERROR(AVERAGEIFS(Master!P$2:P$1695,Master!A$2:A$1695,A285,Master!O$2:O$1695,"Relevant"),"")</f>
        <v/>
      </c>
    </row>
    <row r="286" spans="1:12" ht="15" customHeight="1" x14ac:dyDescent="0.2">
      <c r="A286" s="2">
        <v>285</v>
      </c>
      <c r="B286" s="2" t="s">
        <v>461</v>
      </c>
      <c r="C286" s="2" t="s">
        <v>29</v>
      </c>
      <c r="D286" s="2">
        <v>20230401</v>
      </c>
      <c r="E286" s="2">
        <v>20230930</v>
      </c>
      <c r="F286" s="2">
        <v>14786.7</v>
      </c>
      <c r="G286" s="2">
        <v>14082</v>
      </c>
      <c r="H286" s="2">
        <v>247</v>
      </c>
      <c r="I286" s="2" t="s">
        <v>18</v>
      </c>
      <c r="J286" s="2" t="s">
        <v>19</v>
      </c>
      <c r="K286" s="2">
        <f>COUNTIF(Master!A$2:A$1695,A286)</f>
        <v>16</v>
      </c>
      <c r="L286" s="2" t="str">
        <f>IFERROR(AVERAGEIFS(Master!P$2:P$1695,Master!A$2:A$1695,A286,Master!O$2:O$1695,"Relevant"),"")</f>
        <v/>
      </c>
    </row>
    <row r="287" spans="1:12" ht="15" customHeight="1" x14ac:dyDescent="0.2">
      <c r="A287" s="2">
        <v>286</v>
      </c>
      <c r="B287" s="2" t="s">
        <v>462</v>
      </c>
      <c r="C287" s="2" t="s">
        <v>25</v>
      </c>
      <c r="D287" s="2">
        <v>20231216</v>
      </c>
      <c r="E287" s="2">
        <v>20231218</v>
      </c>
      <c r="F287" s="2">
        <v>1314.4</v>
      </c>
      <c r="G287" s="2">
        <v>1276</v>
      </c>
      <c r="H287" s="2">
        <v>5</v>
      </c>
      <c r="I287" s="2" t="s">
        <v>51</v>
      </c>
      <c r="J287" s="2" t="s">
        <v>52</v>
      </c>
      <c r="K287" s="2">
        <f>COUNTIF(Master!A$2:A$1695,A287)</f>
        <v>7</v>
      </c>
      <c r="L287" s="2" t="str">
        <f>IFERROR(AVERAGEIFS(Master!P$2:P$1695,Master!A$2:A$1695,A287,Master!O$2:O$1695,"Relevant"),"")</f>
        <v/>
      </c>
    </row>
    <row r="288" spans="1:12" ht="15" customHeight="1" x14ac:dyDescent="0.2">
      <c r="A288" s="2">
        <v>287</v>
      </c>
      <c r="B288" s="2" t="s">
        <v>463</v>
      </c>
      <c r="C288" s="2" t="s">
        <v>17</v>
      </c>
      <c r="D288" s="2">
        <v>20240108</v>
      </c>
      <c r="E288" s="2">
        <v>20240110</v>
      </c>
      <c r="F288" s="2">
        <v>2780.2</v>
      </c>
      <c r="G288" s="2">
        <v>2726</v>
      </c>
      <c r="H288" s="2">
        <v>3</v>
      </c>
      <c r="I288" s="2" t="s">
        <v>61</v>
      </c>
      <c r="J288" s="2" t="s">
        <v>62</v>
      </c>
      <c r="K288" s="2">
        <f>COUNTIF(Master!A$2:A$1695,A288)</f>
        <v>10</v>
      </c>
      <c r="L288" s="2" t="str">
        <f>IFERROR(AVERAGEIFS(Master!P$2:P$1695,Master!A$2:A$1695,A288,Master!O$2:O$1695,"Relevant"),"")</f>
        <v/>
      </c>
    </row>
    <row r="289" spans="1:12" ht="15" customHeight="1" x14ac:dyDescent="0.2">
      <c r="A289" s="2">
        <v>288</v>
      </c>
      <c r="B289" s="2" t="s">
        <v>464</v>
      </c>
      <c r="C289" s="2" t="s">
        <v>13</v>
      </c>
      <c r="D289" s="2">
        <v>20240112</v>
      </c>
      <c r="E289" s="2">
        <v>20240114</v>
      </c>
      <c r="F289" s="2">
        <v>1723.8</v>
      </c>
      <c r="G289" s="2">
        <v>1690</v>
      </c>
      <c r="H289" s="2">
        <v>20</v>
      </c>
      <c r="I289" s="2" t="s">
        <v>465</v>
      </c>
      <c r="J289" s="2" t="s">
        <v>23</v>
      </c>
      <c r="K289" s="2">
        <f>COUNTIF(Master!A$2:A$1695,A289)</f>
        <v>5</v>
      </c>
      <c r="L289" s="2" t="str">
        <f>IFERROR(AVERAGEIFS(Master!P$2:P$1695,Master!A$2:A$1695,A289,Master!O$2:O$1695,"Relevant"),"")</f>
        <v/>
      </c>
    </row>
    <row r="290" spans="1:12" ht="15" customHeight="1" x14ac:dyDescent="0.2">
      <c r="A290" s="2">
        <v>289</v>
      </c>
      <c r="B290" s="2" t="s">
        <v>466</v>
      </c>
      <c r="C290" s="2" t="s">
        <v>13</v>
      </c>
      <c r="D290" s="2">
        <v>20240114</v>
      </c>
      <c r="E290" s="2">
        <v>20240118</v>
      </c>
      <c r="F290" s="2">
        <v>1948.3</v>
      </c>
      <c r="G290" s="2">
        <v>1910</v>
      </c>
      <c r="H290" s="2">
        <v>41</v>
      </c>
      <c r="I290" s="2" t="s">
        <v>467</v>
      </c>
      <c r="J290" s="2" t="s">
        <v>138</v>
      </c>
      <c r="K290" s="2">
        <f>COUNTIF(Master!A$2:A$1695,A290)</f>
        <v>1</v>
      </c>
      <c r="L290" s="2" t="str">
        <f>IFERROR(AVERAGEIFS(Master!P$2:P$1695,Master!A$2:A$1695,A290,Master!O$2:O$1695,"Relevant"),"")</f>
        <v/>
      </c>
    </row>
    <row r="291" spans="1:12" ht="15" customHeight="1" x14ac:dyDescent="0.2">
      <c r="A291" s="2">
        <v>290</v>
      </c>
      <c r="B291" s="2" t="s">
        <v>468</v>
      </c>
      <c r="C291" s="2" t="s">
        <v>17</v>
      </c>
      <c r="D291" s="2">
        <v>20240210</v>
      </c>
      <c r="E291" s="2">
        <v>20240212</v>
      </c>
      <c r="F291" s="2">
        <v>1072</v>
      </c>
      <c r="G291" s="2">
        <v>1051</v>
      </c>
      <c r="H291" s="2">
        <v>0</v>
      </c>
      <c r="I291" s="2" t="s">
        <v>18</v>
      </c>
      <c r="J291" s="2" t="s">
        <v>19</v>
      </c>
      <c r="K291" s="2">
        <f>COUNTIF(Master!A$2:A$1695,A291)</f>
        <v>1</v>
      </c>
      <c r="L291" s="2" t="str">
        <f>IFERROR(AVERAGEIFS(Master!P$2:P$1695,Master!A$2:A$1695,A291,Master!O$2:O$1695,"Relevant"),"")</f>
        <v/>
      </c>
    </row>
    <row r="292" spans="1:12" ht="15" customHeight="1" x14ac:dyDescent="0.2">
      <c r="A292" s="2">
        <v>291</v>
      </c>
      <c r="B292" s="2" t="s">
        <v>469</v>
      </c>
      <c r="C292" s="2" t="s">
        <v>17</v>
      </c>
      <c r="D292" s="2">
        <v>20240227</v>
      </c>
      <c r="E292" s="2">
        <v>20240228</v>
      </c>
      <c r="F292" s="2">
        <v>1534</v>
      </c>
      <c r="G292" s="2">
        <v>1504</v>
      </c>
      <c r="H292" s="2">
        <v>0</v>
      </c>
      <c r="I292" s="2" t="s">
        <v>250</v>
      </c>
      <c r="J292" s="2" t="s">
        <v>251</v>
      </c>
      <c r="K292" s="2">
        <f>COUNTIF(Master!A$2:A$1695,A292)</f>
        <v>3</v>
      </c>
      <c r="L292" s="2" t="str">
        <f>IFERROR(AVERAGEIFS(Master!P$2:P$1695,Master!A$2:A$1695,A292,Master!O$2:O$1695,"Relevant"),"")</f>
        <v/>
      </c>
    </row>
    <row r="293" spans="1:12" ht="15" customHeight="1" x14ac:dyDescent="0.2">
      <c r="A293" s="2">
        <v>292</v>
      </c>
      <c r="B293" s="2" t="s">
        <v>470</v>
      </c>
      <c r="C293" s="2" t="s">
        <v>17</v>
      </c>
      <c r="D293" s="2">
        <v>20240312</v>
      </c>
      <c r="E293" s="2">
        <v>20240314</v>
      </c>
      <c r="F293" s="2">
        <v>6151.6</v>
      </c>
      <c r="G293" s="2">
        <v>6031</v>
      </c>
      <c r="H293" s="2">
        <v>3</v>
      </c>
      <c r="I293" s="2" t="s">
        <v>351</v>
      </c>
      <c r="J293" s="2" t="s">
        <v>109</v>
      </c>
      <c r="K293" s="2">
        <f>COUNTIF(Master!A$2:A$1695,A293)</f>
        <v>2</v>
      </c>
      <c r="L293" s="2" t="str">
        <f>IFERROR(AVERAGEIFS(Master!P$2:P$1695,Master!A$2:A$1695,A293,Master!O$2:O$1695,"Relevant"),"")</f>
        <v/>
      </c>
    </row>
    <row r="294" spans="1:12" ht="15" customHeight="1" x14ac:dyDescent="0.2">
      <c r="A294" s="2">
        <v>293</v>
      </c>
      <c r="B294" s="2" t="s">
        <v>471</v>
      </c>
      <c r="C294" s="2" t="s">
        <v>17</v>
      </c>
      <c r="D294" s="2">
        <v>20240401</v>
      </c>
      <c r="E294" s="2">
        <v>20240403</v>
      </c>
      <c r="F294" s="2">
        <v>2465.5</v>
      </c>
      <c r="G294" s="2">
        <v>2441</v>
      </c>
      <c r="H294" s="2">
        <v>3</v>
      </c>
      <c r="I294" s="2" t="s">
        <v>250</v>
      </c>
      <c r="J294" s="2" t="s">
        <v>251</v>
      </c>
      <c r="K294" s="2">
        <f>COUNTIF(Master!A$2:A$1695,A294)</f>
        <v>5</v>
      </c>
      <c r="L294" s="2" t="str">
        <f>IFERROR(AVERAGEIFS(Master!P$2:P$1695,Master!A$2:A$1695,A294,Master!O$2:O$1695,"Relevant"),"")</f>
        <v/>
      </c>
    </row>
    <row r="295" spans="1:12" ht="15" customHeight="1" x14ac:dyDescent="0.2">
      <c r="A295" s="2">
        <v>294</v>
      </c>
      <c r="B295" s="2" t="s">
        <v>472</v>
      </c>
      <c r="C295" s="2" t="s">
        <v>17</v>
      </c>
      <c r="D295" s="2">
        <v>20240408</v>
      </c>
      <c r="E295" s="2">
        <v>20240411</v>
      </c>
      <c r="F295" s="2">
        <v>2725.1</v>
      </c>
      <c r="G295" s="2">
        <v>2698</v>
      </c>
      <c r="H295" s="2">
        <v>0</v>
      </c>
      <c r="I295" s="2" t="s">
        <v>61</v>
      </c>
      <c r="J295" s="2" t="s">
        <v>62</v>
      </c>
      <c r="K295" s="2">
        <f>COUNTIF(Master!A$2:A$1695,A295)</f>
        <v>4</v>
      </c>
      <c r="L295" s="2" t="str">
        <f>IFERROR(AVERAGEIFS(Master!P$2:P$1695,Master!A$2:A$1695,A295,Master!O$2:O$1695,"Relevant"),"")</f>
        <v/>
      </c>
    </row>
    <row r="296" spans="1:12" ht="15" customHeight="1" x14ac:dyDescent="0.2">
      <c r="A296" s="2">
        <v>295</v>
      </c>
      <c r="B296" s="2" t="s">
        <v>473</v>
      </c>
      <c r="C296" s="2" t="s">
        <v>17</v>
      </c>
      <c r="D296" s="2">
        <v>20240426</v>
      </c>
      <c r="E296" s="2">
        <v>20240428</v>
      </c>
      <c r="F296" s="2">
        <v>1697.8</v>
      </c>
      <c r="G296" s="2">
        <v>1681</v>
      </c>
      <c r="H296" s="2">
        <v>3</v>
      </c>
      <c r="I296" s="2" t="s">
        <v>351</v>
      </c>
      <c r="J296" s="2" t="s">
        <v>109</v>
      </c>
      <c r="K296" s="2">
        <f>COUNTIF(Master!A$2:A$1695,A296)</f>
        <v>8</v>
      </c>
      <c r="L296" s="2" t="str">
        <f>IFERROR(AVERAGEIFS(Master!P$2:P$1695,Master!A$2:A$1695,A296,Master!O$2:O$1695,"Relevant"),"")</f>
        <v/>
      </c>
    </row>
    <row r="297" spans="1:12" ht="15" customHeight="1" x14ac:dyDescent="0.2">
      <c r="A297" s="2">
        <v>296</v>
      </c>
      <c r="B297" s="2" t="s">
        <v>474</v>
      </c>
      <c r="C297" s="2" t="s">
        <v>17</v>
      </c>
      <c r="D297" s="2">
        <v>20240506</v>
      </c>
      <c r="E297" s="2">
        <v>20240509</v>
      </c>
      <c r="F297" s="2">
        <v>6571</v>
      </c>
      <c r="G297" s="2">
        <v>6571</v>
      </c>
      <c r="H297" s="2">
        <v>3</v>
      </c>
      <c r="I297" s="2" t="s">
        <v>475</v>
      </c>
      <c r="J297" s="2" t="s">
        <v>109</v>
      </c>
      <c r="K297" s="2">
        <f>COUNTIF(Master!A$2:A$1695,A297)</f>
        <v>3</v>
      </c>
      <c r="L297" s="2" t="str">
        <f>IFERROR(AVERAGEIFS(Master!P$2:P$1695,Master!A$2:A$1695,A297,Master!O$2:O$1695,"Relevant"),"")</f>
        <v/>
      </c>
    </row>
    <row r="298" spans="1:12" ht="15" customHeight="1" x14ac:dyDescent="0.2">
      <c r="A298" s="2">
        <v>297</v>
      </c>
      <c r="B298" s="2" t="s">
        <v>476</v>
      </c>
      <c r="C298" s="2" t="s">
        <v>17</v>
      </c>
      <c r="D298" s="2">
        <v>20240511</v>
      </c>
      <c r="E298" s="2">
        <v>20240513</v>
      </c>
      <c r="F298" s="2">
        <v>1124</v>
      </c>
      <c r="G298" s="2">
        <v>1124</v>
      </c>
      <c r="H298" s="2">
        <v>1</v>
      </c>
      <c r="I298" s="2" t="s">
        <v>18</v>
      </c>
      <c r="J298" s="2" t="s">
        <v>19</v>
      </c>
      <c r="K298" s="2">
        <f>COUNTIF(Master!A$2:A$1695,A298)</f>
        <v>3</v>
      </c>
      <c r="L298" s="2" t="str">
        <f>IFERROR(AVERAGEIFS(Master!P$2:P$1695,Master!A$2:A$1695,A298,Master!O$2:O$1695,"Relevant"),"")</f>
        <v/>
      </c>
    </row>
    <row r="299" spans="1:12" ht="15" customHeight="1" x14ac:dyDescent="0.2">
      <c r="A299" s="2">
        <v>298</v>
      </c>
      <c r="B299" s="2" t="s">
        <v>477</v>
      </c>
      <c r="C299" s="2" t="s">
        <v>17</v>
      </c>
      <c r="D299" s="2">
        <v>20240516</v>
      </c>
      <c r="E299" s="2">
        <v>20240517</v>
      </c>
      <c r="F299" s="2">
        <v>1551</v>
      </c>
      <c r="G299" s="2">
        <v>1551</v>
      </c>
      <c r="H299" s="2">
        <v>8</v>
      </c>
      <c r="I299" s="2" t="s">
        <v>18</v>
      </c>
      <c r="J299" s="2" t="s">
        <v>19</v>
      </c>
      <c r="K299" s="2">
        <f>COUNTIF(Master!A$2:A$1695,A299)</f>
        <v>1</v>
      </c>
      <c r="L299" s="2" t="str">
        <f>IFERROR(AVERAGEIFS(Master!P$2:P$1695,Master!A$2:A$1695,A299,Master!O$2:O$1695,"Relevant"),"")</f>
        <v/>
      </c>
    </row>
    <row r="300" spans="1:12" ht="15" customHeight="1" x14ac:dyDescent="0.2">
      <c r="A300" s="2">
        <v>299</v>
      </c>
      <c r="B300" s="2" t="s">
        <v>478</v>
      </c>
      <c r="C300" s="2" t="s">
        <v>17</v>
      </c>
      <c r="D300" s="2">
        <v>20240518</v>
      </c>
      <c r="E300" s="2">
        <v>20240522</v>
      </c>
      <c r="F300" s="2">
        <v>4907.8</v>
      </c>
      <c r="G300" s="2">
        <v>4859</v>
      </c>
      <c r="H300" s="2">
        <v>5</v>
      </c>
      <c r="I300" s="2" t="s">
        <v>137</v>
      </c>
      <c r="J300" s="2" t="s">
        <v>138</v>
      </c>
      <c r="K300" s="2">
        <f>COUNTIF(Master!A$2:A$1695,A300)</f>
        <v>0</v>
      </c>
      <c r="L300" s="2" t="str">
        <f>IFERROR(AVERAGEIFS(Master!P$2:P$1695,Master!A$2:A$1695,A300,Master!O$2:O$1695,"Relevant"),"")</f>
        <v/>
      </c>
    </row>
    <row r="301" spans="1:12" ht="15" customHeight="1" x14ac:dyDescent="0.2">
      <c r="A301" s="2">
        <v>300</v>
      </c>
      <c r="B301" s="2" t="s">
        <v>479</v>
      </c>
      <c r="C301" s="2" t="s">
        <v>17</v>
      </c>
      <c r="D301" s="2">
        <v>20240525</v>
      </c>
      <c r="E301" s="2">
        <v>20240526</v>
      </c>
      <c r="F301" s="2">
        <v>3466.4</v>
      </c>
      <c r="G301" s="2">
        <v>3432</v>
      </c>
      <c r="H301" s="2">
        <v>16</v>
      </c>
      <c r="I301" s="2" t="s">
        <v>102</v>
      </c>
      <c r="J301" s="2" t="s">
        <v>103</v>
      </c>
      <c r="K301" s="2">
        <f>COUNTIF(Master!A$2:A$1695,A301)</f>
        <v>1</v>
      </c>
      <c r="L301" s="2" t="str">
        <f>IFERROR(AVERAGEIFS(Master!P$2:P$1695,Master!A$2:A$1695,A301,Master!O$2:O$1695,"Relevant"),"")</f>
        <v/>
      </c>
    </row>
    <row r="302" spans="1:12" ht="15" customHeight="1" x14ac:dyDescent="0.2">
      <c r="A302" s="2">
        <v>301</v>
      </c>
      <c r="B302" s="2" t="s">
        <v>480</v>
      </c>
      <c r="C302" s="2" t="s">
        <v>17</v>
      </c>
      <c r="D302" s="2">
        <v>20240527</v>
      </c>
      <c r="E302" s="2">
        <v>20240528</v>
      </c>
      <c r="F302" s="2">
        <v>2348.3000000000002</v>
      </c>
      <c r="G302" s="2">
        <v>2325</v>
      </c>
      <c r="H302" s="2">
        <v>1</v>
      </c>
      <c r="I302" s="2" t="s">
        <v>125</v>
      </c>
      <c r="J302" s="2" t="s">
        <v>41</v>
      </c>
      <c r="K302" s="2">
        <f>COUNTIF(Master!A$2:A$1695,A302)</f>
        <v>7</v>
      </c>
      <c r="L302" s="2" t="str">
        <f>IFERROR(AVERAGEIFS(Master!P$2:P$1695,Master!A$2:A$1695,A302,Master!O$2:O$1695,"Relevant"),"")</f>
        <v/>
      </c>
    </row>
    <row r="303" spans="1:12" ht="15" customHeight="1" x14ac:dyDescent="0.2">
      <c r="A303" s="2">
        <v>302</v>
      </c>
      <c r="B303" s="2" t="s">
        <v>481</v>
      </c>
      <c r="C303" s="2" t="s">
        <v>17</v>
      </c>
      <c r="D303" s="2">
        <v>20240531</v>
      </c>
      <c r="E303" s="2">
        <v>20240601</v>
      </c>
      <c r="F303" s="2">
        <v>3012.8</v>
      </c>
      <c r="G303" s="2">
        <v>2983</v>
      </c>
      <c r="H303" s="2">
        <v>0</v>
      </c>
      <c r="I303" s="2" t="s">
        <v>482</v>
      </c>
      <c r="J303" s="2" t="s">
        <v>483</v>
      </c>
      <c r="K303" s="2">
        <f>COUNTIF(Master!A$2:A$1695,A303)</f>
        <v>0</v>
      </c>
      <c r="L303" s="2" t="str">
        <f>IFERROR(AVERAGEIFS(Master!P$2:P$1695,Master!A$2:A$1695,A303,Master!O$2:O$1695,"Relevant"),"")</f>
        <v/>
      </c>
    </row>
    <row r="304" spans="1:12" ht="15" customHeight="1" x14ac:dyDescent="0.2">
      <c r="A304" s="2">
        <v>303</v>
      </c>
      <c r="B304" s="2" t="s">
        <v>484</v>
      </c>
      <c r="C304" s="2" t="s">
        <v>17</v>
      </c>
      <c r="D304" s="2">
        <v>20240612</v>
      </c>
      <c r="E304" s="2">
        <v>20240614</v>
      </c>
      <c r="F304" s="2">
        <v>1228</v>
      </c>
      <c r="G304" s="2">
        <v>1228</v>
      </c>
      <c r="H304" s="2">
        <v>0</v>
      </c>
      <c r="I304" s="2" t="s">
        <v>250</v>
      </c>
      <c r="J304" s="2" t="s">
        <v>251</v>
      </c>
      <c r="K304" s="2">
        <f>COUNTIF(Master!A$2:A$1695,A304)</f>
        <v>1</v>
      </c>
      <c r="L304" s="2" t="str">
        <f>IFERROR(AVERAGEIFS(Master!P$2:P$1695,Master!A$2:A$1695,A304,Master!O$2:O$1695,"Relevant"),"")</f>
        <v/>
      </c>
    </row>
    <row r="305" spans="1:12" ht="15" customHeight="1" x14ac:dyDescent="0.2">
      <c r="A305" s="2">
        <v>304</v>
      </c>
      <c r="B305" s="2" t="s">
        <v>485</v>
      </c>
      <c r="C305" s="2" t="s">
        <v>25</v>
      </c>
      <c r="D305" s="2">
        <v>20240616</v>
      </c>
      <c r="E305" s="2">
        <v>20240623</v>
      </c>
      <c r="F305" s="2">
        <v>1113</v>
      </c>
      <c r="G305" s="2">
        <v>1113</v>
      </c>
      <c r="H305" s="2">
        <v>4</v>
      </c>
      <c r="I305" s="2" t="s">
        <v>310</v>
      </c>
      <c r="J305" s="2" t="s">
        <v>37</v>
      </c>
      <c r="K305" s="2">
        <f>COUNTIF(Master!A$2:A$1695,A305)</f>
        <v>6</v>
      </c>
      <c r="L305" s="2" t="str">
        <f>IFERROR(AVERAGEIFS(Master!P$2:P$1695,Master!A$2:A$1695,A305,Master!O$2:O$1695,"Relevant"),"")</f>
        <v/>
      </c>
    </row>
    <row r="306" spans="1:12" ht="15" customHeight="1" x14ac:dyDescent="0.2">
      <c r="A306" s="2">
        <v>305</v>
      </c>
      <c r="B306" s="2" t="s">
        <v>486</v>
      </c>
      <c r="C306" s="2" t="s">
        <v>17</v>
      </c>
      <c r="D306" s="2">
        <v>20240624</v>
      </c>
      <c r="E306" s="2">
        <v>20240626</v>
      </c>
      <c r="F306" s="2">
        <v>1704</v>
      </c>
      <c r="G306" s="2">
        <v>1704</v>
      </c>
      <c r="H306" s="2">
        <v>3</v>
      </c>
      <c r="I306" s="2" t="s">
        <v>260</v>
      </c>
      <c r="J306" s="2" t="s">
        <v>261</v>
      </c>
      <c r="K306" s="2">
        <f>COUNTIF(Master!A$2:A$1695,A306)</f>
        <v>3</v>
      </c>
      <c r="L306" s="2" t="str">
        <f>IFERROR(AVERAGEIFS(Master!P$2:P$1695,Master!A$2:A$1695,A306,Master!O$2:O$1695,"Relevant"),"")</f>
        <v/>
      </c>
    </row>
    <row r="307" spans="1:12" ht="15" customHeight="1" x14ac:dyDescent="0.2">
      <c r="A307" s="2">
        <v>306</v>
      </c>
      <c r="B307" s="2" t="s">
        <v>487</v>
      </c>
      <c r="C307" s="2" t="s">
        <v>21</v>
      </c>
      <c r="D307" s="2">
        <v>20240617</v>
      </c>
      <c r="E307" s="2">
        <v>20240707</v>
      </c>
      <c r="F307" s="2">
        <v>1780</v>
      </c>
      <c r="G307" s="2">
        <v>1780</v>
      </c>
      <c r="H307" s="2">
        <v>2</v>
      </c>
      <c r="I307" s="2" t="s">
        <v>488</v>
      </c>
      <c r="J307" s="2" t="s">
        <v>74</v>
      </c>
      <c r="K307" s="2">
        <f>COUNTIF(Master!A$2:A$1695,A307)</f>
        <v>12</v>
      </c>
      <c r="L307" s="2" t="str">
        <f>IFERROR(AVERAGEIFS(Master!P$2:P$1695,Master!A$2:A$1695,A307,Master!O$2:O$1695,"Relevant"),"")</f>
        <v/>
      </c>
    </row>
    <row r="308" spans="1:12" ht="15" customHeight="1" x14ac:dyDescent="0.2">
      <c r="A308" s="2">
        <v>307</v>
      </c>
      <c r="B308" s="2" t="s">
        <v>489</v>
      </c>
      <c r="C308" s="2" t="s">
        <v>39</v>
      </c>
      <c r="D308" s="2">
        <v>20240708</v>
      </c>
      <c r="E308" s="2">
        <v>20240708</v>
      </c>
      <c r="F308" s="2">
        <v>7219</v>
      </c>
      <c r="G308" s="2">
        <v>7219</v>
      </c>
      <c r="H308" s="2">
        <v>46</v>
      </c>
      <c r="I308" s="2" t="s">
        <v>125</v>
      </c>
      <c r="J308" s="2" t="s">
        <v>41</v>
      </c>
      <c r="K308" s="2">
        <f>COUNTIF(Master!A$2:A$1695,A308)</f>
        <v>14</v>
      </c>
      <c r="L308" s="2" t="str">
        <f>IFERROR(AVERAGEIFS(Master!P$2:P$1695,Master!A$2:A$1695,A308,Master!O$2:O$1695,"Relevant"),"")</f>
        <v/>
      </c>
    </row>
    <row r="309" spans="1:12" ht="15" customHeight="1" x14ac:dyDescent="0.2">
      <c r="A309" s="2">
        <v>308</v>
      </c>
      <c r="B309" s="2" t="s">
        <v>490</v>
      </c>
      <c r="C309" s="2" t="s">
        <v>17</v>
      </c>
      <c r="D309" s="2">
        <v>20240713</v>
      </c>
      <c r="E309" s="2">
        <v>20240716</v>
      </c>
      <c r="F309" s="2">
        <v>2435</v>
      </c>
      <c r="G309" s="2">
        <v>2435</v>
      </c>
      <c r="H309" s="2">
        <v>2</v>
      </c>
      <c r="I309" s="2" t="s">
        <v>250</v>
      </c>
      <c r="J309" s="2" t="s">
        <v>251</v>
      </c>
      <c r="K309" s="2">
        <f>COUNTIF(Master!A$2:A$1695,A309)</f>
        <v>2</v>
      </c>
      <c r="L309" s="2" t="str">
        <f>IFERROR(AVERAGEIFS(Master!P$2:P$1695,Master!A$2:A$1695,A309,Master!O$2:O$1695,"Relevant"),"")</f>
        <v/>
      </c>
    </row>
    <row r="310" spans="1:12" ht="15" customHeight="1" x14ac:dyDescent="0.2">
      <c r="A310" s="2">
        <v>309</v>
      </c>
      <c r="B310" s="2" t="s">
        <v>491</v>
      </c>
      <c r="C310" s="2" t="s">
        <v>39</v>
      </c>
      <c r="D310" s="2">
        <v>20240805</v>
      </c>
      <c r="E310" s="2">
        <v>20240809</v>
      </c>
      <c r="F310" s="2">
        <v>2476</v>
      </c>
      <c r="G310" s="2">
        <v>2476</v>
      </c>
      <c r="H310" s="2">
        <v>17</v>
      </c>
      <c r="I310" s="2" t="s">
        <v>78</v>
      </c>
      <c r="J310" s="2" t="s">
        <v>27</v>
      </c>
      <c r="K310" s="2">
        <f>COUNTIF(Master!A$2:A$1695,A310)</f>
        <v>26</v>
      </c>
      <c r="L310" s="2" t="str">
        <f>IFERROR(AVERAGEIFS(Master!P$2:P$1695,Master!A$2:A$1695,A310,Master!O$2:O$1695,"Relevant"),"")</f>
        <v/>
      </c>
    </row>
    <row r="311" spans="1:12" ht="15" customHeight="1" x14ac:dyDescent="0.2">
      <c r="A311" s="2">
        <v>310</v>
      </c>
      <c r="B311" s="2" t="s">
        <v>492</v>
      </c>
      <c r="C311" s="2" t="s">
        <v>39</v>
      </c>
      <c r="D311" s="2">
        <v>20240911</v>
      </c>
      <c r="E311" s="2">
        <v>20240912</v>
      </c>
      <c r="F311" s="2">
        <v>1291</v>
      </c>
      <c r="G311" s="2">
        <v>1291</v>
      </c>
      <c r="H311" s="2">
        <v>0</v>
      </c>
      <c r="I311" s="2" t="s">
        <v>46</v>
      </c>
      <c r="J311" s="2" t="s">
        <v>41</v>
      </c>
      <c r="K311" s="2">
        <f>COUNTIF(Master!A$2:A$1695,A311)</f>
        <v>15</v>
      </c>
      <c r="L311" s="2" t="str">
        <f>IFERROR(AVERAGEIFS(Master!P$2:P$1695,Master!A$2:A$1695,A311,Master!O$2:O$1695,"Relevant"),"")</f>
        <v/>
      </c>
    </row>
    <row r="312" spans="1:12" ht="15" customHeight="1" x14ac:dyDescent="0.2">
      <c r="A312" s="2">
        <v>311</v>
      </c>
      <c r="B312" s="2" t="s">
        <v>493</v>
      </c>
      <c r="C312" s="2" t="s">
        <v>39</v>
      </c>
      <c r="D312" s="2">
        <v>20240924</v>
      </c>
      <c r="E312" s="2">
        <v>20240929</v>
      </c>
      <c r="F312" s="2">
        <v>78721</v>
      </c>
      <c r="G312" s="2">
        <v>78721</v>
      </c>
      <c r="H312" s="2">
        <v>219</v>
      </c>
      <c r="I312" s="2" t="s">
        <v>494</v>
      </c>
      <c r="J312" s="2" t="s">
        <v>15</v>
      </c>
      <c r="K312" s="2">
        <f>COUNTIF(Master!A$2:A$1695,A312)</f>
        <v>26</v>
      </c>
      <c r="L312" s="2" t="str">
        <f>IFERROR(AVERAGEIFS(Master!P$2:P$1695,Master!A$2:A$1695,A312,Master!O$2:O$1695,"Relevant"),"")</f>
        <v/>
      </c>
    </row>
    <row r="313" spans="1:12" ht="15" customHeight="1" x14ac:dyDescent="0.2">
      <c r="A313" s="2">
        <v>312</v>
      </c>
      <c r="B313" s="2" t="s">
        <v>495</v>
      </c>
      <c r="C313" s="2" t="s">
        <v>39</v>
      </c>
      <c r="D313" s="2">
        <v>20241009</v>
      </c>
      <c r="E313" s="2">
        <v>20241010</v>
      </c>
      <c r="F313" s="2">
        <v>34250</v>
      </c>
      <c r="G313" s="2">
        <v>34250</v>
      </c>
      <c r="H313" s="2">
        <v>32</v>
      </c>
      <c r="I313" s="2" t="s">
        <v>26</v>
      </c>
      <c r="J313" s="2" t="s">
        <v>27</v>
      </c>
      <c r="K313" s="2">
        <f>COUNTIF(Master!A$2:A$1695,A313)</f>
        <v>21</v>
      </c>
      <c r="L313" s="2" t="str">
        <f>IFERROR(AVERAGEIFS(Master!P$2:P$1695,Master!A$2:A$1695,A313,Master!O$2:O$1695,"Relevant"),"")</f>
        <v/>
      </c>
    </row>
    <row r="314" spans="1:12" ht="15" customHeight="1" x14ac:dyDescent="0.2">
      <c r="A314" s="2">
        <v>313</v>
      </c>
      <c r="B314" s="2" t="s">
        <v>496</v>
      </c>
      <c r="C314" s="2" t="s">
        <v>29</v>
      </c>
      <c r="D314" s="2">
        <v>20240101</v>
      </c>
      <c r="E314" s="2">
        <v>20241231</v>
      </c>
      <c r="F314" s="2">
        <v>5417</v>
      </c>
      <c r="G314" s="2">
        <v>5311</v>
      </c>
      <c r="H314" s="2">
        <v>136</v>
      </c>
      <c r="I314" s="2" t="s">
        <v>497</v>
      </c>
      <c r="J314" s="2" t="s">
        <v>498</v>
      </c>
      <c r="K314" s="2">
        <f>COUNTIF(Master!A$2:A$1695,A314)</f>
        <v>22</v>
      </c>
      <c r="L314" s="2" t="str">
        <f>IFERROR(AVERAGEIFS(Master!P$2:P$1695,Master!A$2:A$1695,A314,Master!O$2:O$1695,"Relevant"),"")</f>
        <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95"/>
  <sheetViews>
    <sheetView topLeftCell="M1"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10" customWidth="1"/>
    <col min="3" max="3" width="42" customWidth="1"/>
    <col min="4" max="4" width="14" customWidth="1"/>
    <col min="5" max="6" width="12" customWidth="1"/>
    <col min="7" max="8" width="16" customWidth="1"/>
    <col min="9" max="9" width="9" customWidth="1"/>
    <col min="10" max="10" width="26" customWidth="1"/>
    <col min="11" max="11" width="22" customWidth="1"/>
    <col min="12" max="13" width="50" customWidth="1"/>
    <col min="14" max="14" width="60" customWidth="1"/>
    <col min="15" max="15" width="12" customWidth="1"/>
    <col min="16" max="17" width="16" customWidth="1"/>
    <col min="18" max="18" width="14" customWidth="1"/>
    <col min="19" max="19" width="80" customWidth="1"/>
  </cols>
  <sheetData>
    <row r="1" spans="1:19" ht="30" customHeight="1" x14ac:dyDescent="0.2">
      <c r="A1" s="1" t="s">
        <v>0</v>
      </c>
      <c r="B1" s="1" t="s">
        <v>499</v>
      </c>
      <c r="C1" s="1" t="s">
        <v>1</v>
      </c>
      <c r="D1" s="1" t="s">
        <v>2</v>
      </c>
      <c r="E1" s="1" t="s">
        <v>3</v>
      </c>
      <c r="F1" s="1" t="s">
        <v>4</v>
      </c>
      <c r="G1" s="1" t="s">
        <v>5</v>
      </c>
      <c r="H1" s="1" t="s">
        <v>6</v>
      </c>
      <c r="I1" s="1" t="s">
        <v>7</v>
      </c>
      <c r="J1" s="1" t="s">
        <v>8</v>
      </c>
      <c r="K1" s="1" t="s">
        <v>9</v>
      </c>
      <c r="L1" s="1" t="s">
        <v>500</v>
      </c>
      <c r="M1" s="1" t="s">
        <v>501</v>
      </c>
      <c r="N1" s="1" t="s">
        <v>502</v>
      </c>
      <c r="O1" s="1" t="s">
        <v>503</v>
      </c>
      <c r="P1" s="1" t="s">
        <v>504</v>
      </c>
      <c r="Q1" s="1" t="s">
        <v>505</v>
      </c>
      <c r="R1" s="1" t="s">
        <v>506</v>
      </c>
      <c r="S1" s="3" t="s">
        <v>507</v>
      </c>
    </row>
    <row r="2" spans="1:19" ht="34.5" customHeight="1" x14ac:dyDescent="0.2">
      <c r="A2" s="4">
        <v>1</v>
      </c>
      <c r="B2" s="4">
        <v>1</v>
      </c>
      <c r="C2" s="4" t="s">
        <v>12</v>
      </c>
      <c r="D2" s="4" t="s">
        <v>13</v>
      </c>
      <c r="E2" s="4">
        <v>20000121</v>
      </c>
      <c r="F2" s="4">
        <v>20000124</v>
      </c>
      <c r="G2" s="4">
        <v>1320.3</v>
      </c>
      <c r="H2" s="4">
        <v>706</v>
      </c>
      <c r="I2" s="4">
        <v>4</v>
      </c>
      <c r="J2" s="4" t="s">
        <v>14</v>
      </c>
      <c r="K2" s="4" t="s">
        <v>15</v>
      </c>
      <c r="L2" s="4" t="s">
        <v>508</v>
      </c>
      <c r="M2" s="5" t="s">
        <v>509</v>
      </c>
      <c r="N2" s="5" t="s">
        <v>510</v>
      </c>
      <c r="O2" s="4"/>
      <c r="P2" s="4"/>
      <c r="Q2" s="4" t="str">
        <f>IF(SUMPRODUCT(--ISNUMBER(SEARCH('National Domains'!$A$2:$A$48,L2)))&gt;0,"Yes","No")</f>
        <v>Yes</v>
      </c>
      <c r="R2" s="4" t="str">
        <f>IF(COUNTIFS(Calibration!$A:$A,A2,Calibration!$B:$B,B2)&gt;0,"Yes","No")</f>
        <v>Yes</v>
      </c>
      <c r="S2" s="6"/>
    </row>
    <row r="3" spans="1:19" ht="34.5" customHeight="1" x14ac:dyDescent="0.2">
      <c r="A3" s="2">
        <v>3</v>
      </c>
      <c r="B3" s="2">
        <v>1</v>
      </c>
      <c r="C3" s="2" t="s">
        <v>20</v>
      </c>
      <c r="D3" s="2" t="s">
        <v>21</v>
      </c>
      <c r="E3" s="2">
        <v>20000301</v>
      </c>
      <c r="F3" s="2">
        <v>20000831</v>
      </c>
      <c r="G3" s="2">
        <v>1978</v>
      </c>
      <c r="H3" s="2">
        <v>1075</v>
      </c>
      <c r="I3" s="2">
        <v>0</v>
      </c>
      <c r="J3" s="2" t="s">
        <v>22</v>
      </c>
      <c r="K3" s="2" t="s">
        <v>23</v>
      </c>
      <c r="L3" s="2" t="s">
        <v>511</v>
      </c>
      <c r="M3" s="7" t="s">
        <v>512</v>
      </c>
      <c r="N3" s="7" t="s">
        <v>513</v>
      </c>
      <c r="O3" s="2"/>
      <c r="P3" s="2"/>
      <c r="Q3" s="2" t="str">
        <f>IF(SUMPRODUCT(--ISNUMBER(SEARCH('National Domains'!$A$2:$A$48,L3)))&gt;0,"Yes","No")</f>
        <v>Yes</v>
      </c>
      <c r="R3" s="2" t="str">
        <f>IF(COUNTIFS(Calibration!$A:$A,A3,Calibration!$B:$B,B3)&gt;0,"Yes","No")</f>
        <v>No</v>
      </c>
      <c r="S3" s="6"/>
    </row>
    <row r="4" spans="1:19" ht="34.5" customHeight="1" x14ac:dyDescent="0.2">
      <c r="A4" s="2">
        <v>3</v>
      </c>
      <c r="B4" s="2">
        <v>2</v>
      </c>
      <c r="C4" s="2" t="s">
        <v>20</v>
      </c>
      <c r="D4" s="2" t="s">
        <v>21</v>
      </c>
      <c r="E4" s="2">
        <v>20000301</v>
      </c>
      <c r="F4" s="2">
        <v>20000831</v>
      </c>
      <c r="G4" s="2">
        <v>1978</v>
      </c>
      <c r="H4" s="2">
        <v>1075</v>
      </c>
      <c r="I4" s="2">
        <v>0</v>
      </c>
      <c r="J4" s="2" t="s">
        <v>22</v>
      </c>
      <c r="K4" s="2" t="s">
        <v>23</v>
      </c>
      <c r="L4" s="2" t="s">
        <v>514</v>
      </c>
      <c r="M4" s="7" t="s">
        <v>515</v>
      </c>
      <c r="N4" s="7" t="s">
        <v>516</v>
      </c>
      <c r="O4" s="2"/>
      <c r="P4" s="2"/>
      <c r="Q4" s="2" t="str">
        <f>IF(SUMPRODUCT(--ISNUMBER(SEARCH('National Domains'!$A$2:$A$48,L4)))&gt;0,"Yes","No")</f>
        <v>Yes</v>
      </c>
      <c r="R4" s="2" t="str">
        <f>IF(COUNTIFS(Calibration!$A:$A,A4,Calibration!$B:$B,B4)&gt;0,"Yes","No")</f>
        <v>No</v>
      </c>
      <c r="S4" s="6"/>
    </row>
    <row r="5" spans="1:19" ht="34.5" customHeight="1" x14ac:dyDescent="0.2">
      <c r="A5" s="2">
        <v>3</v>
      </c>
      <c r="B5" s="2">
        <v>3</v>
      </c>
      <c r="C5" s="2" t="s">
        <v>20</v>
      </c>
      <c r="D5" s="2" t="s">
        <v>21</v>
      </c>
      <c r="E5" s="2">
        <v>20000301</v>
      </c>
      <c r="F5" s="2">
        <v>20000831</v>
      </c>
      <c r="G5" s="2">
        <v>1978</v>
      </c>
      <c r="H5" s="2">
        <v>1075</v>
      </c>
      <c r="I5" s="2">
        <v>0</v>
      </c>
      <c r="J5" s="2" t="s">
        <v>22</v>
      </c>
      <c r="K5" s="2" t="s">
        <v>23</v>
      </c>
      <c r="L5" s="2" t="s">
        <v>517</v>
      </c>
      <c r="M5" s="7" t="s">
        <v>518</v>
      </c>
      <c r="N5" s="7" t="s">
        <v>519</v>
      </c>
      <c r="O5" s="2"/>
      <c r="P5" s="2"/>
      <c r="Q5" s="2" t="str">
        <f>IF(SUMPRODUCT(--ISNUMBER(SEARCH('National Domains'!$A$2:$A$48,L5)))&gt;0,"Yes","No")</f>
        <v>Yes</v>
      </c>
      <c r="R5" s="2" t="str">
        <f>IF(COUNTIFS(Calibration!$A:$A,A5,Calibration!$B:$B,B5)&gt;0,"Yes","No")</f>
        <v>No</v>
      </c>
      <c r="S5" s="6"/>
    </row>
    <row r="6" spans="1:19" ht="34.5" customHeight="1" x14ac:dyDescent="0.2">
      <c r="A6" s="2">
        <v>3</v>
      </c>
      <c r="B6" s="2">
        <v>4</v>
      </c>
      <c r="C6" s="2" t="s">
        <v>20</v>
      </c>
      <c r="D6" s="2" t="s">
        <v>21</v>
      </c>
      <c r="E6" s="2">
        <v>20000301</v>
      </c>
      <c r="F6" s="2">
        <v>20000831</v>
      </c>
      <c r="G6" s="2">
        <v>1978</v>
      </c>
      <c r="H6" s="2">
        <v>1075</v>
      </c>
      <c r="I6" s="2">
        <v>0</v>
      </c>
      <c r="J6" s="2" t="s">
        <v>22</v>
      </c>
      <c r="K6" s="2" t="s">
        <v>23</v>
      </c>
      <c r="L6" s="2" t="s">
        <v>520</v>
      </c>
      <c r="M6" s="7" t="s">
        <v>521</v>
      </c>
      <c r="N6" s="7" t="s">
        <v>522</v>
      </c>
      <c r="O6" s="2"/>
      <c r="P6" s="2"/>
      <c r="Q6" s="2" t="str">
        <f>IF(SUMPRODUCT(--ISNUMBER(SEARCH('National Domains'!$A$2:$A$48,L6)))&gt;0,"Yes","No")</f>
        <v>Yes</v>
      </c>
      <c r="R6" s="2" t="str">
        <f>IF(COUNTIFS(Calibration!$A:$A,A6,Calibration!$B:$B,B6)&gt;0,"Yes","No")</f>
        <v>No</v>
      </c>
      <c r="S6" s="6"/>
    </row>
    <row r="7" spans="1:19" ht="34.5" customHeight="1" x14ac:dyDescent="0.2">
      <c r="A7" s="2">
        <v>3</v>
      </c>
      <c r="B7" s="2">
        <v>5</v>
      </c>
      <c r="C7" s="2" t="s">
        <v>20</v>
      </c>
      <c r="D7" s="2" t="s">
        <v>21</v>
      </c>
      <c r="E7" s="2">
        <v>20000301</v>
      </c>
      <c r="F7" s="2">
        <v>20000831</v>
      </c>
      <c r="G7" s="2">
        <v>1978</v>
      </c>
      <c r="H7" s="2">
        <v>1075</v>
      </c>
      <c r="I7" s="2">
        <v>0</v>
      </c>
      <c r="J7" s="2" t="s">
        <v>22</v>
      </c>
      <c r="K7" s="2" t="s">
        <v>23</v>
      </c>
      <c r="L7" s="2" t="s">
        <v>523</v>
      </c>
      <c r="M7" s="7" t="s">
        <v>524</v>
      </c>
      <c r="N7" s="7" t="s">
        <v>525</v>
      </c>
      <c r="O7" s="2"/>
      <c r="P7" s="2"/>
      <c r="Q7" s="2" t="str">
        <f>IF(SUMPRODUCT(--ISNUMBER(SEARCH('National Domains'!$A$2:$A$48,L7)))&gt;0,"Yes","No")</f>
        <v>Yes</v>
      </c>
      <c r="R7" s="2" t="str">
        <f>IF(COUNTIFS(Calibration!$A:$A,A7,Calibration!$B:$B,B7)&gt;0,"Yes","No")</f>
        <v>No</v>
      </c>
      <c r="S7" s="6"/>
    </row>
    <row r="8" spans="1:19" ht="34.5" customHeight="1" x14ac:dyDescent="0.2">
      <c r="A8" s="2">
        <v>5</v>
      </c>
      <c r="B8" s="2">
        <v>1</v>
      </c>
      <c r="C8" s="2" t="s">
        <v>28</v>
      </c>
      <c r="D8" s="2" t="s">
        <v>29</v>
      </c>
      <c r="E8" s="2">
        <v>20000301</v>
      </c>
      <c r="F8" s="2">
        <v>20001130</v>
      </c>
      <c r="G8" s="2">
        <v>9344.7999999999993</v>
      </c>
      <c r="H8" s="2">
        <v>4997.2</v>
      </c>
      <c r="I8" s="2">
        <v>140</v>
      </c>
      <c r="J8" s="2" t="s">
        <v>30</v>
      </c>
      <c r="K8" s="2" t="s">
        <v>31</v>
      </c>
      <c r="L8" s="2" t="s">
        <v>526</v>
      </c>
      <c r="M8" s="7" t="s">
        <v>527</v>
      </c>
      <c r="N8" s="7" t="s">
        <v>528</v>
      </c>
      <c r="O8" s="2"/>
      <c r="P8" s="2"/>
      <c r="Q8" s="2" t="str">
        <f>IF(SUMPRODUCT(--ISNUMBER(SEARCH('National Domains'!$A$2:$A$48,L8)))&gt;0,"Yes","No")</f>
        <v>Yes</v>
      </c>
      <c r="R8" s="2" t="str">
        <f>IF(COUNTIFS(Calibration!$A:$A,A8,Calibration!$B:$B,B8)&gt;0,"Yes","No")</f>
        <v>No</v>
      </c>
      <c r="S8" s="6"/>
    </row>
    <row r="9" spans="1:19" ht="34.5" customHeight="1" x14ac:dyDescent="0.2">
      <c r="A9" s="2">
        <v>8</v>
      </c>
      <c r="B9" s="2">
        <v>1</v>
      </c>
      <c r="C9" s="2" t="s">
        <v>38</v>
      </c>
      <c r="D9" s="2" t="s">
        <v>39</v>
      </c>
      <c r="E9" s="2">
        <v>20010605</v>
      </c>
      <c r="F9" s="2">
        <v>20010617</v>
      </c>
      <c r="G9" s="2">
        <v>15084</v>
      </c>
      <c r="H9" s="2">
        <v>8522</v>
      </c>
      <c r="I9" s="2">
        <v>43</v>
      </c>
      <c r="J9" s="2" t="s">
        <v>40</v>
      </c>
      <c r="K9" s="2" t="s">
        <v>41</v>
      </c>
      <c r="L9" s="2" t="s">
        <v>529</v>
      </c>
      <c r="M9" s="7" t="s">
        <v>530</v>
      </c>
      <c r="N9" s="7" t="s">
        <v>531</v>
      </c>
      <c r="O9" s="2"/>
      <c r="P9" s="2"/>
      <c r="Q9" s="2" t="str">
        <f>IF(SUMPRODUCT(--ISNUMBER(SEARCH('National Domains'!$A$2:$A$48,L9)))&gt;0,"Yes","No")</f>
        <v>No</v>
      </c>
      <c r="R9" s="2" t="str">
        <f>IF(COUNTIFS(Calibration!$A:$A,A9,Calibration!$B:$B,B9)&gt;0,"Yes","No")</f>
        <v>No</v>
      </c>
      <c r="S9" s="6"/>
    </row>
    <row r="10" spans="1:19" ht="34.5" customHeight="1" x14ac:dyDescent="0.2">
      <c r="A10" s="2">
        <v>8</v>
      </c>
      <c r="B10" s="2">
        <v>2</v>
      </c>
      <c r="C10" s="2" t="s">
        <v>38</v>
      </c>
      <c r="D10" s="2" t="s">
        <v>39</v>
      </c>
      <c r="E10" s="2">
        <v>20010605</v>
      </c>
      <c r="F10" s="2">
        <v>20010617</v>
      </c>
      <c r="G10" s="2">
        <v>15084</v>
      </c>
      <c r="H10" s="2">
        <v>8522</v>
      </c>
      <c r="I10" s="2">
        <v>43</v>
      </c>
      <c r="J10" s="2" t="s">
        <v>40</v>
      </c>
      <c r="K10" s="2" t="s">
        <v>41</v>
      </c>
      <c r="L10" s="2" t="s">
        <v>532</v>
      </c>
      <c r="M10" s="7" t="s">
        <v>533</v>
      </c>
      <c r="N10" s="7" t="s">
        <v>534</v>
      </c>
      <c r="O10" s="2"/>
      <c r="P10" s="2"/>
      <c r="Q10" s="2" t="str">
        <f>IF(SUMPRODUCT(--ISNUMBER(SEARCH('National Domains'!$A$2:$A$48,L10)))&gt;0,"Yes","No")</f>
        <v>No</v>
      </c>
      <c r="R10" s="2" t="str">
        <f>IF(COUNTIFS(Calibration!$A:$A,A10,Calibration!$B:$B,B10)&gt;0,"Yes","No")</f>
        <v>No</v>
      </c>
      <c r="S10" s="6"/>
    </row>
    <row r="11" spans="1:19" ht="34.5" customHeight="1" x14ac:dyDescent="0.2">
      <c r="A11" s="2">
        <v>8</v>
      </c>
      <c r="B11" s="2">
        <v>3</v>
      </c>
      <c r="C11" s="2" t="s">
        <v>38</v>
      </c>
      <c r="D11" s="2" t="s">
        <v>39</v>
      </c>
      <c r="E11" s="2">
        <v>20010605</v>
      </c>
      <c r="F11" s="2">
        <v>20010617</v>
      </c>
      <c r="G11" s="2">
        <v>15084</v>
      </c>
      <c r="H11" s="2">
        <v>8522</v>
      </c>
      <c r="I11" s="2">
        <v>43</v>
      </c>
      <c r="J11" s="2" t="s">
        <v>40</v>
      </c>
      <c r="K11" s="2" t="s">
        <v>41</v>
      </c>
      <c r="L11" s="2" t="s">
        <v>535</v>
      </c>
      <c r="M11" s="7" t="s">
        <v>536</v>
      </c>
      <c r="N11" s="7" t="s">
        <v>537</v>
      </c>
      <c r="O11" s="2"/>
      <c r="P11" s="2"/>
      <c r="Q11" s="2" t="str">
        <f>IF(SUMPRODUCT(--ISNUMBER(SEARCH('National Domains'!$A$2:$A$48,L11)))&gt;0,"Yes","No")</f>
        <v>Yes</v>
      </c>
      <c r="R11" s="2" t="str">
        <f>IF(COUNTIFS(Calibration!$A:$A,A11,Calibration!$B:$B,B11)&gt;0,"Yes","No")</f>
        <v>No</v>
      </c>
      <c r="S11" s="6"/>
    </row>
    <row r="12" spans="1:19" ht="34.5" customHeight="1" x14ac:dyDescent="0.2">
      <c r="A12" s="2">
        <v>9</v>
      </c>
      <c r="B12" s="2">
        <v>1</v>
      </c>
      <c r="C12" s="2" t="s">
        <v>42</v>
      </c>
      <c r="D12" s="2" t="s">
        <v>17</v>
      </c>
      <c r="E12" s="2">
        <v>20020427</v>
      </c>
      <c r="F12" s="2">
        <v>20020428</v>
      </c>
      <c r="G12" s="2">
        <v>3663.9</v>
      </c>
      <c r="H12" s="2">
        <v>2093.8000000000002</v>
      </c>
      <c r="I12" s="2">
        <v>7</v>
      </c>
      <c r="J12" s="2" t="s">
        <v>43</v>
      </c>
      <c r="K12" s="2" t="s">
        <v>44</v>
      </c>
      <c r="L12" s="2" t="s">
        <v>538</v>
      </c>
      <c r="M12" s="7" t="s">
        <v>539</v>
      </c>
      <c r="N12" s="7" t="s">
        <v>540</v>
      </c>
      <c r="O12" s="2"/>
      <c r="P12" s="2"/>
      <c r="Q12" s="2" t="str">
        <f>IF(SUMPRODUCT(--ISNUMBER(SEARCH('National Domains'!$A$2:$A$48,L12)))&gt;0,"Yes","No")</f>
        <v>Yes</v>
      </c>
      <c r="R12" s="2" t="str">
        <f>IF(COUNTIFS(Calibration!$A:$A,A12,Calibration!$B:$B,B12)&gt;0,"Yes","No")</f>
        <v>No</v>
      </c>
      <c r="S12" s="6"/>
    </row>
    <row r="13" spans="1:19" ht="34.5" customHeight="1" x14ac:dyDescent="0.2">
      <c r="A13" s="2">
        <v>9</v>
      </c>
      <c r="B13" s="2">
        <v>2</v>
      </c>
      <c r="C13" s="2" t="s">
        <v>42</v>
      </c>
      <c r="D13" s="2" t="s">
        <v>17</v>
      </c>
      <c r="E13" s="2">
        <v>20020427</v>
      </c>
      <c r="F13" s="2">
        <v>20020428</v>
      </c>
      <c r="G13" s="2">
        <v>3663.9</v>
      </c>
      <c r="H13" s="2">
        <v>2093.8000000000002</v>
      </c>
      <c r="I13" s="2">
        <v>7</v>
      </c>
      <c r="J13" s="2" t="s">
        <v>43</v>
      </c>
      <c r="K13" s="2" t="s">
        <v>44</v>
      </c>
      <c r="L13" s="2" t="s">
        <v>541</v>
      </c>
      <c r="M13" s="7" t="s">
        <v>542</v>
      </c>
      <c r="N13" s="7" t="s">
        <v>543</v>
      </c>
      <c r="O13" s="2"/>
      <c r="P13" s="2"/>
      <c r="Q13" s="2" t="str">
        <f>IF(SUMPRODUCT(--ISNUMBER(SEARCH('National Domains'!$A$2:$A$48,L13)))&gt;0,"Yes","No")</f>
        <v>Yes</v>
      </c>
      <c r="R13" s="2" t="str">
        <f>IF(COUNTIFS(Calibration!$A:$A,A13,Calibration!$B:$B,B13)&gt;0,"Yes","No")</f>
        <v>No</v>
      </c>
      <c r="S13" s="6"/>
    </row>
    <row r="14" spans="1:19" ht="34.5" customHeight="1" x14ac:dyDescent="0.2">
      <c r="A14" s="2">
        <v>9</v>
      </c>
      <c r="B14" s="2">
        <v>3</v>
      </c>
      <c r="C14" s="2" t="s">
        <v>42</v>
      </c>
      <c r="D14" s="2" t="s">
        <v>17</v>
      </c>
      <c r="E14" s="2">
        <v>20020427</v>
      </c>
      <c r="F14" s="2">
        <v>20020428</v>
      </c>
      <c r="G14" s="2">
        <v>3663.9</v>
      </c>
      <c r="H14" s="2">
        <v>2093.8000000000002</v>
      </c>
      <c r="I14" s="2">
        <v>7</v>
      </c>
      <c r="J14" s="2" t="s">
        <v>43</v>
      </c>
      <c r="K14" s="2" t="s">
        <v>44</v>
      </c>
      <c r="L14" s="2" t="s">
        <v>544</v>
      </c>
      <c r="M14" s="7" t="s">
        <v>545</v>
      </c>
      <c r="N14" s="7" t="s">
        <v>546</v>
      </c>
      <c r="O14" s="2"/>
      <c r="P14" s="2"/>
      <c r="Q14" s="2" t="str">
        <f>IF(SUMPRODUCT(--ISNUMBER(SEARCH('National Domains'!$A$2:$A$48,L14)))&gt;0,"Yes","No")</f>
        <v>Yes</v>
      </c>
      <c r="R14" s="2" t="str">
        <f>IF(COUNTIFS(Calibration!$A:$A,A14,Calibration!$B:$B,B14)&gt;0,"Yes","No")</f>
        <v>No</v>
      </c>
      <c r="S14" s="6"/>
    </row>
    <row r="15" spans="1:19" ht="34.5" customHeight="1" x14ac:dyDescent="0.2">
      <c r="A15" s="2">
        <v>11</v>
      </c>
      <c r="B15" s="2">
        <v>1</v>
      </c>
      <c r="C15" s="2" t="s">
        <v>47</v>
      </c>
      <c r="D15" s="2" t="s">
        <v>39</v>
      </c>
      <c r="E15" s="2">
        <v>20020925</v>
      </c>
      <c r="F15" s="2">
        <v>20020927</v>
      </c>
      <c r="G15" s="2">
        <v>2001</v>
      </c>
      <c r="H15" s="2">
        <v>1150</v>
      </c>
      <c r="I15" s="2">
        <v>5</v>
      </c>
      <c r="J15" s="2" t="s">
        <v>48</v>
      </c>
      <c r="K15" s="2" t="s">
        <v>49</v>
      </c>
      <c r="L15" s="2" t="s">
        <v>547</v>
      </c>
      <c r="M15" s="7" t="s">
        <v>548</v>
      </c>
      <c r="N15" s="7" t="s">
        <v>549</v>
      </c>
      <c r="O15" s="2"/>
      <c r="P15" s="2"/>
      <c r="Q15" s="2" t="str">
        <f>IF(SUMPRODUCT(--ISNUMBER(SEARCH('National Domains'!$A$2:$A$48,L15)))&gt;0,"Yes","No")</f>
        <v>Yes</v>
      </c>
      <c r="R15" s="2" t="str">
        <f>IF(COUNTIFS(Calibration!$A:$A,A15,Calibration!$B:$B,B15)&gt;0,"Yes","No")</f>
        <v>No</v>
      </c>
      <c r="S15" s="6"/>
    </row>
    <row r="16" spans="1:19" ht="34.5" customHeight="1" x14ac:dyDescent="0.2">
      <c r="A16" s="2">
        <v>11</v>
      </c>
      <c r="B16" s="2">
        <v>2</v>
      </c>
      <c r="C16" s="2" t="s">
        <v>47</v>
      </c>
      <c r="D16" s="2" t="s">
        <v>39</v>
      </c>
      <c r="E16" s="2">
        <v>20020925</v>
      </c>
      <c r="F16" s="2">
        <v>20020927</v>
      </c>
      <c r="G16" s="2">
        <v>2001</v>
      </c>
      <c r="H16" s="2">
        <v>1150</v>
      </c>
      <c r="I16" s="2">
        <v>5</v>
      </c>
      <c r="J16" s="2" t="s">
        <v>48</v>
      </c>
      <c r="K16" s="2" t="s">
        <v>49</v>
      </c>
      <c r="L16" s="2" t="s">
        <v>550</v>
      </c>
      <c r="M16" s="7" t="s">
        <v>551</v>
      </c>
      <c r="N16" s="7" t="s">
        <v>552</v>
      </c>
      <c r="O16" s="2"/>
      <c r="P16" s="2"/>
      <c r="Q16" s="2" t="str">
        <f>IF(SUMPRODUCT(--ISNUMBER(SEARCH('National Domains'!$A$2:$A$48,L16)))&gt;0,"Yes","No")</f>
        <v>Yes</v>
      </c>
      <c r="R16" s="2" t="str">
        <f>IF(COUNTIFS(Calibration!$A:$A,A16,Calibration!$B:$B,B16)&gt;0,"Yes","No")</f>
        <v>No</v>
      </c>
      <c r="S16" s="6"/>
    </row>
    <row r="17" spans="1:19" ht="34.5" customHeight="1" x14ac:dyDescent="0.2">
      <c r="A17" s="2">
        <v>11</v>
      </c>
      <c r="B17" s="2">
        <v>3</v>
      </c>
      <c r="C17" s="2" t="s">
        <v>47</v>
      </c>
      <c r="D17" s="2" t="s">
        <v>39</v>
      </c>
      <c r="E17" s="2">
        <v>20020925</v>
      </c>
      <c r="F17" s="2">
        <v>20020927</v>
      </c>
      <c r="G17" s="2">
        <v>2001</v>
      </c>
      <c r="H17" s="2">
        <v>1150</v>
      </c>
      <c r="I17" s="2">
        <v>5</v>
      </c>
      <c r="J17" s="2" t="s">
        <v>48</v>
      </c>
      <c r="K17" s="2" t="s">
        <v>49</v>
      </c>
      <c r="L17" s="2" t="s">
        <v>553</v>
      </c>
      <c r="M17" s="7" t="s">
        <v>554</v>
      </c>
      <c r="N17" s="7" t="s">
        <v>555</v>
      </c>
      <c r="O17" s="2"/>
      <c r="P17" s="2"/>
      <c r="Q17" s="2" t="str">
        <f>IF(SUMPRODUCT(--ISNUMBER(SEARCH('National Domains'!$A$2:$A$48,L17)))&gt;0,"Yes","No")</f>
        <v>Yes</v>
      </c>
      <c r="R17" s="2" t="str">
        <f>IF(COUNTIFS(Calibration!$A:$A,A17,Calibration!$B:$B,B17)&gt;0,"Yes","No")</f>
        <v>No</v>
      </c>
      <c r="S17" s="6"/>
    </row>
    <row r="18" spans="1:19" ht="34.5" customHeight="1" x14ac:dyDescent="0.2">
      <c r="A18" s="4">
        <v>11</v>
      </c>
      <c r="B18" s="4">
        <v>4</v>
      </c>
      <c r="C18" s="4" t="s">
        <v>47</v>
      </c>
      <c r="D18" s="4" t="s">
        <v>39</v>
      </c>
      <c r="E18" s="4">
        <v>20020925</v>
      </c>
      <c r="F18" s="4">
        <v>20020927</v>
      </c>
      <c r="G18" s="4">
        <v>2001</v>
      </c>
      <c r="H18" s="4">
        <v>1150</v>
      </c>
      <c r="I18" s="4">
        <v>5</v>
      </c>
      <c r="J18" s="4" t="s">
        <v>48</v>
      </c>
      <c r="K18" s="4" t="s">
        <v>49</v>
      </c>
      <c r="L18" s="4" t="s">
        <v>556</v>
      </c>
      <c r="M18" s="5" t="s">
        <v>557</v>
      </c>
      <c r="N18" s="5" t="s">
        <v>558</v>
      </c>
      <c r="O18" s="4"/>
      <c r="P18" s="4"/>
      <c r="Q18" s="4" t="str">
        <f>IF(SUMPRODUCT(--ISNUMBER(SEARCH('National Domains'!$A$2:$A$48,L18)))&gt;0,"Yes","No")</f>
        <v>Yes</v>
      </c>
      <c r="R18" s="4" t="str">
        <f>IF(COUNTIFS(Calibration!$A:$A,A18,Calibration!$B:$B,B18)&gt;0,"Yes","No")</f>
        <v>Yes</v>
      </c>
      <c r="S18" s="6"/>
    </row>
    <row r="19" spans="1:19" ht="34.5" customHeight="1" x14ac:dyDescent="0.2">
      <c r="A19" s="4">
        <v>12</v>
      </c>
      <c r="B19" s="4">
        <v>1</v>
      </c>
      <c r="C19" s="4" t="s">
        <v>50</v>
      </c>
      <c r="D19" s="4" t="s">
        <v>17</v>
      </c>
      <c r="E19" s="4">
        <v>20021109</v>
      </c>
      <c r="F19" s="4">
        <v>20021111</v>
      </c>
      <c r="G19" s="4">
        <v>1252.8</v>
      </c>
      <c r="H19" s="4">
        <v>720</v>
      </c>
      <c r="I19" s="4">
        <v>28</v>
      </c>
      <c r="J19" s="4" t="s">
        <v>51</v>
      </c>
      <c r="K19" s="4" t="s">
        <v>52</v>
      </c>
      <c r="L19" s="4" t="s">
        <v>559</v>
      </c>
      <c r="M19" s="5" t="s">
        <v>560</v>
      </c>
      <c r="N19" s="5" t="s">
        <v>561</v>
      </c>
      <c r="O19" s="4"/>
      <c r="P19" s="4"/>
      <c r="Q19" s="4" t="str">
        <f>IF(SUMPRODUCT(--ISNUMBER(SEARCH('National Domains'!$A$2:$A$48,L19)))&gt;0,"Yes","No")</f>
        <v>No</v>
      </c>
      <c r="R19" s="4" t="str">
        <f>IF(COUNTIFS(Calibration!$A:$A,A19,Calibration!$B:$B,B19)&gt;0,"Yes","No")</f>
        <v>Yes</v>
      </c>
      <c r="S19" s="6"/>
    </row>
    <row r="20" spans="1:19" ht="34.5" customHeight="1" x14ac:dyDescent="0.2">
      <c r="A20" s="2">
        <v>13</v>
      </c>
      <c r="B20" s="2">
        <v>1</v>
      </c>
      <c r="C20" s="2" t="s">
        <v>53</v>
      </c>
      <c r="D20" s="2" t="s">
        <v>21</v>
      </c>
      <c r="E20" s="2">
        <v>20020901</v>
      </c>
      <c r="F20" s="2">
        <v>20021130</v>
      </c>
      <c r="G20" s="2">
        <v>2301.8000000000002</v>
      </c>
      <c r="H20" s="2">
        <v>1322.8</v>
      </c>
      <c r="I20" s="2">
        <v>21</v>
      </c>
      <c r="J20" s="2" t="s">
        <v>22</v>
      </c>
      <c r="K20" s="2" t="s">
        <v>23</v>
      </c>
      <c r="L20" s="2" t="s">
        <v>562</v>
      </c>
      <c r="M20" s="7" t="s">
        <v>563</v>
      </c>
      <c r="N20" s="7" t="s">
        <v>564</v>
      </c>
      <c r="O20" s="2"/>
      <c r="P20" s="2"/>
      <c r="Q20" s="2" t="str">
        <f>IF(SUMPRODUCT(--ISNUMBER(SEARCH('National Domains'!$A$2:$A$48,L20)))&gt;0,"Yes","No")</f>
        <v>Yes</v>
      </c>
      <c r="R20" s="2" t="str">
        <f>IF(COUNTIFS(Calibration!$A:$A,A20,Calibration!$B:$B,B20)&gt;0,"Yes","No")</f>
        <v>No</v>
      </c>
      <c r="S20" s="6"/>
    </row>
    <row r="21" spans="1:19" ht="34.5" customHeight="1" x14ac:dyDescent="0.2">
      <c r="A21" s="2">
        <v>13</v>
      </c>
      <c r="B21" s="2">
        <v>2</v>
      </c>
      <c r="C21" s="2" t="s">
        <v>53</v>
      </c>
      <c r="D21" s="2" t="s">
        <v>21</v>
      </c>
      <c r="E21" s="2">
        <v>20020901</v>
      </c>
      <c r="F21" s="2">
        <v>20021130</v>
      </c>
      <c r="G21" s="2">
        <v>2301.8000000000002</v>
      </c>
      <c r="H21" s="2">
        <v>1322.8</v>
      </c>
      <c r="I21" s="2">
        <v>21</v>
      </c>
      <c r="J21" s="2" t="s">
        <v>22</v>
      </c>
      <c r="K21" s="2" t="s">
        <v>23</v>
      </c>
      <c r="L21" s="2" t="s">
        <v>565</v>
      </c>
      <c r="M21" s="7" t="s">
        <v>566</v>
      </c>
      <c r="N21" s="7" t="s">
        <v>567</v>
      </c>
      <c r="O21" s="2"/>
      <c r="P21" s="2"/>
      <c r="Q21" s="2" t="str">
        <f>IF(SUMPRODUCT(--ISNUMBER(SEARCH('National Domains'!$A$2:$A$48,L21)))&gt;0,"Yes","No")</f>
        <v>Yes</v>
      </c>
      <c r="R21" s="2" t="str">
        <f>IF(COUNTIFS(Calibration!$A:$A,A21,Calibration!$B:$B,B21)&gt;0,"Yes","No")</f>
        <v>No</v>
      </c>
      <c r="S21" s="6"/>
    </row>
    <row r="22" spans="1:19" ht="34.5" customHeight="1" x14ac:dyDescent="0.2">
      <c r="A22" s="4">
        <v>14</v>
      </c>
      <c r="B22" s="4">
        <v>1</v>
      </c>
      <c r="C22" s="4" t="s">
        <v>54</v>
      </c>
      <c r="D22" s="4" t="s">
        <v>29</v>
      </c>
      <c r="E22" s="4">
        <v>20020301</v>
      </c>
      <c r="F22" s="4">
        <v>20021130</v>
      </c>
      <c r="G22" s="4">
        <v>16031.6</v>
      </c>
      <c r="H22" s="4">
        <v>9006.4</v>
      </c>
      <c r="I22" s="4">
        <v>0</v>
      </c>
      <c r="J22" s="4" t="s">
        <v>43</v>
      </c>
      <c r="K22" s="4" t="s">
        <v>44</v>
      </c>
      <c r="L22" s="4" t="s">
        <v>568</v>
      </c>
      <c r="M22" s="5" t="s">
        <v>569</v>
      </c>
      <c r="N22" s="5" t="s">
        <v>570</v>
      </c>
      <c r="O22" s="4"/>
      <c r="P22" s="4"/>
      <c r="Q22" s="4" t="str">
        <f>IF(SUMPRODUCT(--ISNUMBER(SEARCH('National Domains'!$A$2:$A$48,L22)))&gt;0,"Yes","No")</f>
        <v>Yes</v>
      </c>
      <c r="R22" s="4" t="str">
        <f>IF(COUNTIFS(Calibration!$A:$A,A22,Calibration!$B:$B,B22)&gt;0,"Yes","No")</f>
        <v>Yes</v>
      </c>
      <c r="S22" s="6"/>
    </row>
    <row r="23" spans="1:19" ht="34.5" customHeight="1" x14ac:dyDescent="0.2">
      <c r="A23" s="2">
        <v>14</v>
      </c>
      <c r="B23" s="2">
        <v>2</v>
      </c>
      <c r="C23" s="2" t="s">
        <v>54</v>
      </c>
      <c r="D23" s="2" t="s">
        <v>29</v>
      </c>
      <c r="E23" s="2">
        <v>20020301</v>
      </c>
      <c r="F23" s="2">
        <v>20021130</v>
      </c>
      <c r="G23" s="2">
        <v>16031.6</v>
      </c>
      <c r="H23" s="2">
        <v>9006.4</v>
      </c>
      <c r="I23" s="2">
        <v>0</v>
      </c>
      <c r="J23" s="2" t="s">
        <v>43</v>
      </c>
      <c r="K23" s="2" t="s">
        <v>44</v>
      </c>
      <c r="L23" s="2" t="s">
        <v>571</v>
      </c>
      <c r="M23" s="7" t="s">
        <v>572</v>
      </c>
      <c r="N23" s="7" t="s">
        <v>573</v>
      </c>
      <c r="O23" s="2"/>
      <c r="P23" s="2"/>
      <c r="Q23" s="2" t="str">
        <f>IF(SUMPRODUCT(--ISNUMBER(SEARCH('National Domains'!$A$2:$A$48,L23)))&gt;0,"Yes","No")</f>
        <v>Yes</v>
      </c>
      <c r="R23" s="2" t="str">
        <f>IF(COUNTIFS(Calibration!$A:$A,A23,Calibration!$B:$B,B23)&gt;0,"Yes","No")</f>
        <v>No</v>
      </c>
      <c r="S23" s="6"/>
    </row>
    <row r="24" spans="1:19" ht="34.5" customHeight="1" x14ac:dyDescent="0.2">
      <c r="A24" s="2">
        <v>14</v>
      </c>
      <c r="B24" s="2">
        <v>3</v>
      </c>
      <c r="C24" s="2" t="s">
        <v>54</v>
      </c>
      <c r="D24" s="2" t="s">
        <v>29</v>
      </c>
      <c r="E24" s="2">
        <v>20020301</v>
      </c>
      <c r="F24" s="2">
        <v>20021130</v>
      </c>
      <c r="G24" s="2">
        <v>16031.6</v>
      </c>
      <c r="H24" s="2">
        <v>9006.4</v>
      </c>
      <c r="I24" s="2">
        <v>0</v>
      </c>
      <c r="J24" s="2" t="s">
        <v>43</v>
      </c>
      <c r="K24" s="2" t="s">
        <v>44</v>
      </c>
      <c r="L24" s="2" t="s">
        <v>574</v>
      </c>
      <c r="M24" s="7" t="s">
        <v>575</v>
      </c>
      <c r="N24" s="7" t="s">
        <v>576</v>
      </c>
      <c r="O24" s="2"/>
      <c r="P24" s="2"/>
      <c r="Q24" s="2" t="str">
        <f>IF(SUMPRODUCT(--ISNUMBER(SEARCH('National Domains'!$A$2:$A$48,L24)))&gt;0,"Yes","No")</f>
        <v>Yes</v>
      </c>
      <c r="R24" s="2" t="str">
        <f>IF(COUNTIFS(Calibration!$A:$A,A24,Calibration!$B:$B,B24)&gt;0,"Yes","No")</f>
        <v>No</v>
      </c>
      <c r="S24" s="6"/>
    </row>
    <row r="25" spans="1:19" ht="34.5" customHeight="1" x14ac:dyDescent="0.2">
      <c r="A25" s="2">
        <v>14</v>
      </c>
      <c r="B25" s="2">
        <v>4</v>
      </c>
      <c r="C25" s="2" t="s">
        <v>54</v>
      </c>
      <c r="D25" s="2" t="s">
        <v>29</v>
      </c>
      <c r="E25" s="2">
        <v>20020301</v>
      </c>
      <c r="F25" s="2">
        <v>20021130</v>
      </c>
      <c r="G25" s="2">
        <v>16031.6</v>
      </c>
      <c r="H25" s="2">
        <v>9006.4</v>
      </c>
      <c r="I25" s="2">
        <v>0</v>
      </c>
      <c r="J25" s="2" t="s">
        <v>43</v>
      </c>
      <c r="K25" s="2" t="s">
        <v>44</v>
      </c>
      <c r="L25" s="2" t="s">
        <v>577</v>
      </c>
      <c r="M25" s="7" t="s">
        <v>578</v>
      </c>
      <c r="N25" s="7" t="s">
        <v>579</v>
      </c>
      <c r="O25" s="2"/>
      <c r="P25" s="2"/>
      <c r="Q25" s="2" t="str">
        <f>IF(SUMPRODUCT(--ISNUMBER(SEARCH('National Domains'!$A$2:$A$48,L25)))&gt;0,"Yes","No")</f>
        <v>Yes</v>
      </c>
      <c r="R25" s="2" t="str">
        <f>IF(COUNTIFS(Calibration!$A:$A,A25,Calibration!$B:$B,B25)&gt;0,"Yes","No")</f>
        <v>No</v>
      </c>
      <c r="S25" s="6"/>
    </row>
    <row r="26" spans="1:19" ht="34.5" customHeight="1" x14ac:dyDescent="0.2">
      <c r="A26" s="2">
        <v>16</v>
      </c>
      <c r="B26" s="2">
        <v>1</v>
      </c>
      <c r="C26" s="2" t="s">
        <v>56</v>
      </c>
      <c r="D26" s="2" t="s">
        <v>17</v>
      </c>
      <c r="E26" s="2">
        <v>20030503</v>
      </c>
      <c r="F26" s="2">
        <v>20030510</v>
      </c>
      <c r="G26" s="2">
        <v>7100.9</v>
      </c>
      <c r="H26" s="2">
        <v>4128.3999999999996</v>
      </c>
      <c r="I26" s="2">
        <v>51</v>
      </c>
      <c r="J26" s="2" t="s">
        <v>43</v>
      </c>
      <c r="K26" s="2" t="s">
        <v>44</v>
      </c>
      <c r="L26" s="2" t="s">
        <v>580</v>
      </c>
      <c r="M26" s="7" t="s">
        <v>581</v>
      </c>
      <c r="N26" s="7" t="s">
        <v>582</v>
      </c>
      <c r="O26" s="2"/>
      <c r="P26" s="2"/>
      <c r="Q26" s="2" t="str">
        <f>IF(SUMPRODUCT(--ISNUMBER(SEARCH('National Domains'!$A$2:$A$48,L26)))&gt;0,"Yes","No")</f>
        <v>Yes</v>
      </c>
      <c r="R26" s="2" t="str">
        <f>IF(COUNTIFS(Calibration!$A:$A,A26,Calibration!$B:$B,B26)&gt;0,"Yes","No")</f>
        <v>No</v>
      </c>
      <c r="S26" s="6"/>
    </row>
    <row r="27" spans="1:19" ht="34.5" customHeight="1" x14ac:dyDescent="0.2">
      <c r="A27" s="2">
        <v>16</v>
      </c>
      <c r="B27" s="2">
        <v>2</v>
      </c>
      <c r="C27" s="2" t="s">
        <v>56</v>
      </c>
      <c r="D27" s="2" t="s">
        <v>17</v>
      </c>
      <c r="E27" s="2">
        <v>20030503</v>
      </c>
      <c r="F27" s="2">
        <v>20030510</v>
      </c>
      <c r="G27" s="2">
        <v>7100.9</v>
      </c>
      <c r="H27" s="2">
        <v>4128.3999999999996</v>
      </c>
      <c r="I27" s="2">
        <v>51</v>
      </c>
      <c r="J27" s="2" t="s">
        <v>43</v>
      </c>
      <c r="K27" s="2" t="s">
        <v>44</v>
      </c>
      <c r="L27" s="2" t="s">
        <v>583</v>
      </c>
      <c r="M27" s="7" t="s">
        <v>584</v>
      </c>
      <c r="N27" s="7" t="s">
        <v>585</v>
      </c>
      <c r="O27" s="2"/>
      <c r="P27" s="2"/>
      <c r="Q27" s="2" t="str">
        <f>IF(SUMPRODUCT(--ISNUMBER(SEARCH('National Domains'!$A$2:$A$48,L27)))&gt;0,"Yes","No")</f>
        <v>Yes</v>
      </c>
      <c r="R27" s="2" t="str">
        <f>IF(COUNTIFS(Calibration!$A:$A,A27,Calibration!$B:$B,B27)&gt;0,"Yes","No")</f>
        <v>No</v>
      </c>
      <c r="S27" s="6"/>
    </row>
    <row r="28" spans="1:19" ht="34.5" customHeight="1" x14ac:dyDescent="0.2">
      <c r="A28" s="2">
        <v>16</v>
      </c>
      <c r="B28" s="2">
        <v>3</v>
      </c>
      <c r="C28" s="2" t="s">
        <v>56</v>
      </c>
      <c r="D28" s="2" t="s">
        <v>17</v>
      </c>
      <c r="E28" s="2">
        <v>20030503</v>
      </c>
      <c r="F28" s="2">
        <v>20030510</v>
      </c>
      <c r="G28" s="2">
        <v>7100.9</v>
      </c>
      <c r="H28" s="2">
        <v>4128.3999999999996</v>
      </c>
      <c r="I28" s="2">
        <v>51</v>
      </c>
      <c r="J28" s="2" t="s">
        <v>43</v>
      </c>
      <c r="K28" s="2" t="s">
        <v>44</v>
      </c>
      <c r="L28" s="2" t="s">
        <v>586</v>
      </c>
      <c r="M28" s="7" t="s">
        <v>587</v>
      </c>
      <c r="N28" s="7" t="s">
        <v>588</v>
      </c>
      <c r="O28" s="2"/>
      <c r="P28" s="2"/>
      <c r="Q28" s="2" t="str">
        <f>IF(SUMPRODUCT(--ISNUMBER(SEARCH('National Domains'!$A$2:$A$48,L28)))&gt;0,"Yes","No")</f>
        <v>Yes</v>
      </c>
      <c r="R28" s="2" t="str">
        <f>IF(COUNTIFS(Calibration!$A:$A,A28,Calibration!$B:$B,B28)&gt;0,"Yes","No")</f>
        <v>No</v>
      </c>
      <c r="S28" s="6"/>
    </row>
    <row r="29" spans="1:19" ht="23.25" customHeight="1" x14ac:dyDescent="0.2">
      <c r="A29" s="2">
        <v>16</v>
      </c>
      <c r="B29" s="2">
        <v>4</v>
      </c>
      <c r="C29" s="2" t="s">
        <v>56</v>
      </c>
      <c r="D29" s="2" t="s">
        <v>17</v>
      </c>
      <c r="E29" s="2">
        <v>20030503</v>
      </c>
      <c r="F29" s="2">
        <v>20030510</v>
      </c>
      <c r="G29" s="2">
        <v>7100.9</v>
      </c>
      <c r="H29" s="2">
        <v>4128.3999999999996</v>
      </c>
      <c r="I29" s="2">
        <v>51</v>
      </c>
      <c r="J29" s="2" t="s">
        <v>43</v>
      </c>
      <c r="K29" s="2" t="s">
        <v>44</v>
      </c>
      <c r="L29" s="2" t="s">
        <v>589</v>
      </c>
      <c r="M29" s="7" t="s">
        <v>590</v>
      </c>
      <c r="N29" s="7" t="s">
        <v>591</v>
      </c>
      <c r="O29" s="2"/>
      <c r="P29" s="2"/>
      <c r="Q29" s="2" t="str">
        <f>IF(SUMPRODUCT(--ISNUMBER(SEARCH('National Domains'!$A$2:$A$48,L29)))&gt;0,"Yes","No")</f>
        <v>Yes</v>
      </c>
      <c r="R29" s="2" t="str">
        <f>IF(COUNTIFS(Calibration!$A:$A,A29,Calibration!$B:$B,B29)&gt;0,"Yes","No")</f>
        <v>No</v>
      </c>
      <c r="S29" s="6"/>
    </row>
    <row r="30" spans="1:19" ht="34.5" customHeight="1" x14ac:dyDescent="0.2">
      <c r="A30" s="2">
        <v>16</v>
      </c>
      <c r="B30" s="2">
        <v>5</v>
      </c>
      <c r="C30" s="2" t="s">
        <v>56</v>
      </c>
      <c r="D30" s="2" t="s">
        <v>17</v>
      </c>
      <c r="E30" s="2">
        <v>20030503</v>
      </c>
      <c r="F30" s="2">
        <v>20030510</v>
      </c>
      <c r="G30" s="2">
        <v>7100.9</v>
      </c>
      <c r="H30" s="2">
        <v>4128.3999999999996</v>
      </c>
      <c r="I30" s="2">
        <v>51</v>
      </c>
      <c r="J30" s="2" t="s">
        <v>43</v>
      </c>
      <c r="K30" s="2" t="s">
        <v>44</v>
      </c>
      <c r="L30" s="2" t="s">
        <v>592</v>
      </c>
      <c r="M30" s="7" t="s">
        <v>593</v>
      </c>
      <c r="N30" s="7" t="s">
        <v>594</v>
      </c>
      <c r="O30" s="2"/>
      <c r="P30" s="2"/>
      <c r="Q30" s="2" t="str">
        <f>IF(SUMPRODUCT(--ISNUMBER(SEARCH('National Domains'!$A$2:$A$48,L30)))&gt;0,"Yes","No")</f>
        <v>Yes</v>
      </c>
      <c r="R30" s="2" t="str">
        <f>IF(COUNTIFS(Calibration!$A:$A,A30,Calibration!$B:$B,B30)&gt;0,"Yes","No")</f>
        <v>No</v>
      </c>
      <c r="S30" s="6"/>
    </row>
    <row r="31" spans="1:19" ht="34.5" customHeight="1" x14ac:dyDescent="0.2">
      <c r="A31" s="2">
        <v>16</v>
      </c>
      <c r="B31" s="2">
        <v>6</v>
      </c>
      <c r="C31" s="2" t="s">
        <v>56</v>
      </c>
      <c r="D31" s="2" t="s">
        <v>17</v>
      </c>
      <c r="E31" s="2">
        <v>20030503</v>
      </c>
      <c r="F31" s="2">
        <v>20030510</v>
      </c>
      <c r="G31" s="2">
        <v>7100.9</v>
      </c>
      <c r="H31" s="2">
        <v>4128.3999999999996</v>
      </c>
      <c r="I31" s="2">
        <v>51</v>
      </c>
      <c r="J31" s="2" t="s">
        <v>43</v>
      </c>
      <c r="K31" s="2" t="s">
        <v>44</v>
      </c>
      <c r="L31" s="2" t="s">
        <v>595</v>
      </c>
      <c r="M31" s="7" t="s">
        <v>596</v>
      </c>
      <c r="N31" s="7" t="s">
        <v>597</v>
      </c>
      <c r="O31" s="2"/>
      <c r="P31" s="2"/>
      <c r="Q31" s="2" t="str">
        <f>IF(SUMPRODUCT(--ISNUMBER(SEARCH('National Domains'!$A$2:$A$48,L31)))&gt;0,"Yes","No")</f>
        <v>Yes</v>
      </c>
      <c r="R31" s="2" t="str">
        <f>IF(COUNTIFS(Calibration!$A:$A,A31,Calibration!$B:$B,B31)&gt;0,"Yes","No")</f>
        <v>No</v>
      </c>
      <c r="S31" s="6"/>
    </row>
    <row r="32" spans="1:19" ht="34.5" customHeight="1" x14ac:dyDescent="0.2">
      <c r="A32" s="2">
        <v>19</v>
      </c>
      <c r="B32" s="2">
        <v>1</v>
      </c>
      <c r="C32" s="2" t="s">
        <v>63</v>
      </c>
      <c r="D32" s="2" t="s">
        <v>39</v>
      </c>
      <c r="E32" s="2">
        <v>20030918</v>
      </c>
      <c r="F32" s="2">
        <v>20030919</v>
      </c>
      <c r="G32" s="2">
        <v>9322.9</v>
      </c>
      <c r="H32" s="2">
        <v>5484</v>
      </c>
      <c r="I32" s="2">
        <v>55</v>
      </c>
      <c r="J32" s="2" t="s">
        <v>64</v>
      </c>
      <c r="K32" s="2" t="s">
        <v>52</v>
      </c>
      <c r="L32" s="2" t="s">
        <v>598</v>
      </c>
      <c r="M32" s="7" t="s">
        <v>599</v>
      </c>
      <c r="N32" s="7" t="s">
        <v>600</v>
      </c>
      <c r="O32" s="2"/>
      <c r="P32" s="2"/>
      <c r="Q32" s="2" t="str">
        <f>IF(SUMPRODUCT(--ISNUMBER(SEARCH('National Domains'!$A$2:$A$48,L32)))&gt;0,"Yes","No")</f>
        <v>Yes</v>
      </c>
      <c r="R32" s="2" t="str">
        <f>IF(COUNTIFS(Calibration!$A:$A,A32,Calibration!$B:$B,B32)&gt;0,"Yes","No")</f>
        <v>No</v>
      </c>
      <c r="S32" s="6"/>
    </row>
    <row r="33" spans="1:19" ht="34.5" customHeight="1" x14ac:dyDescent="0.2">
      <c r="A33" s="2">
        <v>19</v>
      </c>
      <c r="B33" s="2">
        <v>2</v>
      </c>
      <c r="C33" s="2" t="s">
        <v>63</v>
      </c>
      <c r="D33" s="2" t="s">
        <v>39</v>
      </c>
      <c r="E33" s="2">
        <v>20030918</v>
      </c>
      <c r="F33" s="2">
        <v>20030919</v>
      </c>
      <c r="G33" s="2">
        <v>9322.9</v>
      </c>
      <c r="H33" s="2">
        <v>5484</v>
      </c>
      <c r="I33" s="2">
        <v>55</v>
      </c>
      <c r="J33" s="2" t="s">
        <v>64</v>
      </c>
      <c r="K33" s="2" t="s">
        <v>52</v>
      </c>
      <c r="L33" s="2" t="s">
        <v>601</v>
      </c>
      <c r="M33" s="7" t="s">
        <v>602</v>
      </c>
      <c r="N33" s="7" t="s">
        <v>603</v>
      </c>
      <c r="O33" s="2"/>
      <c r="P33" s="2"/>
      <c r="Q33" s="2" t="str">
        <f>IF(SUMPRODUCT(--ISNUMBER(SEARCH('National Domains'!$A$2:$A$48,L33)))&gt;0,"Yes","No")</f>
        <v>Yes</v>
      </c>
      <c r="R33" s="2" t="str">
        <f>IF(COUNTIFS(Calibration!$A:$A,A33,Calibration!$B:$B,B33)&gt;0,"Yes","No")</f>
        <v>No</v>
      </c>
      <c r="S33" s="6"/>
    </row>
    <row r="34" spans="1:19" ht="34.5" customHeight="1" x14ac:dyDescent="0.2">
      <c r="A34" s="2">
        <v>19</v>
      </c>
      <c r="B34" s="2">
        <v>3</v>
      </c>
      <c r="C34" s="2" t="s">
        <v>63</v>
      </c>
      <c r="D34" s="2" t="s">
        <v>39</v>
      </c>
      <c r="E34" s="2">
        <v>20030918</v>
      </c>
      <c r="F34" s="2">
        <v>20030919</v>
      </c>
      <c r="G34" s="2">
        <v>9322.9</v>
      </c>
      <c r="H34" s="2">
        <v>5484</v>
      </c>
      <c r="I34" s="2">
        <v>55</v>
      </c>
      <c r="J34" s="2" t="s">
        <v>64</v>
      </c>
      <c r="K34" s="2" t="s">
        <v>52</v>
      </c>
      <c r="L34" s="2" t="s">
        <v>604</v>
      </c>
      <c r="M34" s="7" t="s">
        <v>605</v>
      </c>
      <c r="N34" s="7" t="s">
        <v>606</v>
      </c>
      <c r="O34" s="2"/>
      <c r="P34" s="2"/>
      <c r="Q34" s="2" t="str">
        <f>IF(SUMPRODUCT(--ISNUMBER(SEARCH('National Domains'!$A$2:$A$48,L34)))&gt;0,"Yes","No")</f>
        <v>Yes</v>
      </c>
      <c r="R34" s="2" t="str">
        <f>IF(COUNTIFS(Calibration!$A:$A,A34,Calibration!$B:$B,B34)&gt;0,"Yes","No")</f>
        <v>No</v>
      </c>
      <c r="S34" s="6"/>
    </row>
    <row r="35" spans="1:19" ht="34.5" customHeight="1" x14ac:dyDescent="0.2">
      <c r="A35" s="2">
        <v>20</v>
      </c>
      <c r="B35" s="2">
        <v>1</v>
      </c>
      <c r="C35" s="2" t="s">
        <v>65</v>
      </c>
      <c r="D35" s="2" t="s">
        <v>21</v>
      </c>
      <c r="E35" s="2">
        <v>20030901</v>
      </c>
      <c r="F35" s="2">
        <v>20031130</v>
      </c>
      <c r="G35" s="2">
        <v>6613.7</v>
      </c>
      <c r="H35" s="2">
        <v>3890.4</v>
      </c>
      <c r="I35" s="2">
        <v>22</v>
      </c>
      <c r="J35" s="2" t="s">
        <v>66</v>
      </c>
      <c r="K35" s="2" t="s">
        <v>67</v>
      </c>
      <c r="L35" s="2" t="s">
        <v>607</v>
      </c>
      <c r="M35" s="7" t="s">
        <v>608</v>
      </c>
      <c r="N35" s="7" t="s">
        <v>609</v>
      </c>
      <c r="O35" s="2"/>
      <c r="P35" s="2"/>
      <c r="Q35" s="2" t="str">
        <f>IF(SUMPRODUCT(--ISNUMBER(SEARCH('National Domains'!$A$2:$A$48,L35)))&gt;0,"Yes","No")</f>
        <v>Yes</v>
      </c>
      <c r="R35" s="2" t="str">
        <f>IF(COUNTIFS(Calibration!$A:$A,A35,Calibration!$B:$B,B35)&gt;0,"Yes","No")</f>
        <v>No</v>
      </c>
      <c r="S35" s="6"/>
    </row>
    <row r="36" spans="1:19" ht="34.5" customHeight="1" x14ac:dyDescent="0.2">
      <c r="A36" s="2">
        <v>20</v>
      </c>
      <c r="B36" s="2">
        <v>2</v>
      </c>
      <c r="C36" s="2" t="s">
        <v>65</v>
      </c>
      <c r="D36" s="2" t="s">
        <v>21</v>
      </c>
      <c r="E36" s="2">
        <v>20030901</v>
      </c>
      <c r="F36" s="2">
        <v>20031130</v>
      </c>
      <c r="G36" s="2">
        <v>6613.7</v>
      </c>
      <c r="H36" s="2">
        <v>3890.4</v>
      </c>
      <c r="I36" s="2">
        <v>22</v>
      </c>
      <c r="J36" s="2" t="s">
        <v>66</v>
      </c>
      <c r="K36" s="2" t="s">
        <v>67</v>
      </c>
      <c r="L36" s="2" t="s">
        <v>610</v>
      </c>
      <c r="M36" s="7" t="s">
        <v>611</v>
      </c>
      <c r="N36" s="7" t="s">
        <v>612</v>
      </c>
      <c r="O36" s="2"/>
      <c r="P36" s="2"/>
      <c r="Q36" s="2" t="str">
        <f>IF(SUMPRODUCT(--ISNUMBER(SEARCH('National Domains'!$A$2:$A$48,L36)))&gt;0,"Yes","No")</f>
        <v>Yes</v>
      </c>
      <c r="R36" s="2" t="str">
        <f>IF(COUNTIFS(Calibration!$A:$A,A36,Calibration!$B:$B,B36)&gt;0,"Yes","No")</f>
        <v>No</v>
      </c>
      <c r="S36" s="6"/>
    </row>
    <row r="37" spans="1:19" ht="34.5" customHeight="1" x14ac:dyDescent="0.2">
      <c r="A37" s="2">
        <v>20</v>
      </c>
      <c r="B37" s="2">
        <v>3</v>
      </c>
      <c r="C37" s="2" t="s">
        <v>65</v>
      </c>
      <c r="D37" s="2" t="s">
        <v>21</v>
      </c>
      <c r="E37" s="2">
        <v>20030901</v>
      </c>
      <c r="F37" s="2">
        <v>20031130</v>
      </c>
      <c r="G37" s="2">
        <v>6613.7</v>
      </c>
      <c r="H37" s="2">
        <v>3890.4</v>
      </c>
      <c r="I37" s="2">
        <v>22</v>
      </c>
      <c r="J37" s="2" t="s">
        <v>66</v>
      </c>
      <c r="K37" s="2" t="s">
        <v>67</v>
      </c>
      <c r="L37" s="2" t="s">
        <v>613</v>
      </c>
      <c r="M37" s="7" t="s">
        <v>614</v>
      </c>
      <c r="N37" s="7" t="s">
        <v>615</v>
      </c>
      <c r="O37" s="2"/>
      <c r="P37" s="2"/>
      <c r="Q37" s="2" t="str">
        <f>IF(SUMPRODUCT(--ISNUMBER(SEARCH('National Domains'!$A$2:$A$48,L37)))&gt;0,"Yes","No")</f>
        <v>Yes</v>
      </c>
      <c r="R37" s="2" t="str">
        <f>IF(COUNTIFS(Calibration!$A:$A,A37,Calibration!$B:$B,B37)&gt;0,"Yes","No")</f>
        <v>No</v>
      </c>
      <c r="S37" s="6"/>
    </row>
    <row r="38" spans="1:19" ht="34.5" customHeight="1" x14ac:dyDescent="0.2">
      <c r="A38" s="2">
        <v>20</v>
      </c>
      <c r="B38" s="2">
        <v>4</v>
      </c>
      <c r="C38" s="2" t="s">
        <v>65</v>
      </c>
      <c r="D38" s="2" t="s">
        <v>21</v>
      </c>
      <c r="E38" s="2">
        <v>20030901</v>
      </c>
      <c r="F38" s="2">
        <v>20031130</v>
      </c>
      <c r="G38" s="2">
        <v>6613.7</v>
      </c>
      <c r="H38" s="2">
        <v>3890.4</v>
      </c>
      <c r="I38" s="2">
        <v>22</v>
      </c>
      <c r="J38" s="2" t="s">
        <v>66</v>
      </c>
      <c r="K38" s="2" t="s">
        <v>67</v>
      </c>
      <c r="L38" s="2" t="s">
        <v>616</v>
      </c>
      <c r="M38" s="7" t="s">
        <v>617</v>
      </c>
      <c r="N38" s="7" t="s">
        <v>618</v>
      </c>
      <c r="O38" s="2"/>
      <c r="P38" s="2"/>
      <c r="Q38" s="2" t="str">
        <f>IF(SUMPRODUCT(--ISNUMBER(SEARCH('National Domains'!$A$2:$A$48,L38)))&gt;0,"Yes","No")</f>
        <v>Yes</v>
      </c>
      <c r="R38" s="2" t="str">
        <f>IF(COUNTIFS(Calibration!$A:$A,A38,Calibration!$B:$B,B38)&gt;0,"Yes","No")</f>
        <v>No</v>
      </c>
      <c r="S38" s="6"/>
    </row>
    <row r="39" spans="1:19" ht="34.5" customHeight="1" x14ac:dyDescent="0.2">
      <c r="A39" s="2">
        <v>20</v>
      </c>
      <c r="B39" s="2">
        <v>5</v>
      </c>
      <c r="C39" s="2" t="s">
        <v>65</v>
      </c>
      <c r="D39" s="2" t="s">
        <v>21</v>
      </c>
      <c r="E39" s="2">
        <v>20030901</v>
      </c>
      <c r="F39" s="2">
        <v>20031130</v>
      </c>
      <c r="G39" s="2">
        <v>6613.7</v>
      </c>
      <c r="H39" s="2">
        <v>3890.4</v>
      </c>
      <c r="I39" s="2">
        <v>22</v>
      </c>
      <c r="J39" s="2" t="s">
        <v>66</v>
      </c>
      <c r="K39" s="2" t="s">
        <v>67</v>
      </c>
      <c r="L39" s="2" t="s">
        <v>619</v>
      </c>
      <c r="M39" s="7" t="s">
        <v>620</v>
      </c>
      <c r="N39" s="7" t="s">
        <v>621</v>
      </c>
      <c r="O39" s="2"/>
      <c r="P39" s="2"/>
      <c r="Q39" s="2" t="str">
        <f>IF(SUMPRODUCT(--ISNUMBER(SEARCH('National Domains'!$A$2:$A$48,L39)))&gt;0,"Yes","No")</f>
        <v>Yes</v>
      </c>
      <c r="R39" s="2" t="str">
        <f>IF(COUNTIFS(Calibration!$A:$A,A39,Calibration!$B:$B,B39)&gt;0,"Yes","No")</f>
        <v>No</v>
      </c>
      <c r="S39" s="6"/>
    </row>
    <row r="40" spans="1:19" ht="34.5" customHeight="1" x14ac:dyDescent="0.2">
      <c r="A40" s="4">
        <v>20</v>
      </c>
      <c r="B40" s="4">
        <v>6</v>
      </c>
      <c r="C40" s="4" t="s">
        <v>65</v>
      </c>
      <c r="D40" s="4" t="s">
        <v>21</v>
      </c>
      <c r="E40" s="4">
        <v>20030901</v>
      </c>
      <c r="F40" s="4">
        <v>20031130</v>
      </c>
      <c r="G40" s="4">
        <v>6613.7</v>
      </c>
      <c r="H40" s="4">
        <v>3890.4</v>
      </c>
      <c r="I40" s="4">
        <v>22</v>
      </c>
      <c r="J40" s="4" t="s">
        <v>66</v>
      </c>
      <c r="K40" s="4" t="s">
        <v>67</v>
      </c>
      <c r="L40" s="4" t="s">
        <v>622</v>
      </c>
      <c r="M40" s="5" t="s">
        <v>623</v>
      </c>
      <c r="N40" s="5" t="s">
        <v>624</v>
      </c>
      <c r="O40" s="4"/>
      <c r="P40" s="4"/>
      <c r="Q40" s="4" t="str">
        <f>IF(SUMPRODUCT(--ISNUMBER(SEARCH('National Domains'!$A$2:$A$48,L40)))&gt;0,"Yes","No")</f>
        <v>No</v>
      </c>
      <c r="R40" s="4" t="str">
        <f>IF(COUNTIFS(Calibration!$A:$A,A40,Calibration!$B:$B,B40)&gt;0,"Yes","No")</f>
        <v>Yes</v>
      </c>
      <c r="S40" s="6"/>
    </row>
    <row r="41" spans="1:19" ht="34.5" customHeight="1" x14ac:dyDescent="0.2">
      <c r="A41" s="2">
        <v>20</v>
      </c>
      <c r="B41" s="2">
        <v>7</v>
      </c>
      <c r="C41" s="2" t="s">
        <v>65</v>
      </c>
      <c r="D41" s="2" t="s">
        <v>21</v>
      </c>
      <c r="E41" s="2">
        <v>20030901</v>
      </c>
      <c r="F41" s="2">
        <v>20031130</v>
      </c>
      <c r="G41" s="2">
        <v>6613.7</v>
      </c>
      <c r="H41" s="2">
        <v>3890.4</v>
      </c>
      <c r="I41" s="2">
        <v>22</v>
      </c>
      <c r="J41" s="2" t="s">
        <v>66</v>
      </c>
      <c r="K41" s="2" t="s">
        <v>67</v>
      </c>
      <c r="L41" s="2" t="s">
        <v>625</v>
      </c>
      <c r="M41" s="7" t="s">
        <v>626</v>
      </c>
      <c r="N41" s="7" t="s">
        <v>627</v>
      </c>
      <c r="O41" s="2"/>
      <c r="P41" s="2"/>
      <c r="Q41" s="2" t="str">
        <f>IF(SUMPRODUCT(--ISNUMBER(SEARCH('National Domains'!$A$2:$A$48,L41)))&gt;0,"Yes","No")</f>
        <v>Yes</v>
      </c>
      <c r="R41" s="2" t="str">
        <f>IF(COUNTIFS(Calibration!$A:$A,A41,Calibration!$B:$B,B41)&gt;0,"Yes","No")</f>
        <v>No</v>
      </c>
      <c r="S41" s="6"/>
    </row>
    <row r="42" spans="1:19" ht="34.5" customHeight="1" x14ac:dyDescent="0.2">
      <c r="A42" s="2">
        <v>20</v>
      </c>
      <c r="B42" s="2">
        <v>8</v>
      </c>
      <c r="C42" s="2" t="s">
        <v>65</v>
      </c>
      <c r="D42" s="2" t="s">
        <v>21</v>
      </c>
      <c r="E42" s="2">
        <v>20030901</v>
      </c>
      <c r="F42" s="2">
        <v>20031130</v>
      </c>
      <c r="G42" s="2">
        <v>6613.7</v>
      </c>
      <c r="H42" s="2">
        <v>3890.4</v>
      </c>
      <c r="I42" s="2">
        <v>22</v>
      </c>
      <c r="J42" s="2" t="s">
        <v>66</v>
      </c>
      <c r="K42" s="2" t="s">
        <v>67</v>
      </c>
      <c r="L42" s="2" t="s">
        <v>628</v>
      </c>
      <c r="M42" s="7" t="s">
        <v>629</v>
      </c>
      <c r="N42" s="7" t="s">
        <v>630</v>
      </c>
      <c r="O42" s="2"/>
      <c r="P42" s="2"/>
      <c r="Q42" s="2" t="str">
        <f>IF(SUMPRODUCT(--ISNUMBER(SEARCH('National Domains'!$A$2:$A$48,L42)))&gt;0,"Yes","No")</f>
        <v>No</v>
      </c>
      <c r="R42" s="2" t="str">
        <f>IF(COUNTIFS(Calibration!$A:$A,A42,Calibration!$B:$B,B42)&gt;0,"Yes","No")</f>
        <v>No</v>
      </c>
      <c r="S42" s="6"/>
    </row>
    <row r="43" spans="1:19" ht="34.5" customHeight="1" x14ac:dyDescent="0.2">
      <c r="A43" s="2">
        <v>20</v>
      </c>
      <c r="B43" s="2">
        <v>9</v>
      </c>
      <c r="C43" s="2" t="s">
        <v>65</v>
      </c>
      <c r="D43" s="2" t="s">
        <v>21</v>
      </c>
      <c r="E43" s="2">
        <v>20030901</v>
      </c>
      <c r="F43" s="2">
        <v>20031130</v>
      </c>
      <c r="G43" s="2">
        <v>6613.7</v>
      </c>
      <c r="H43" s="2">
        <v>3890.4</v>
      </c>
      <c r="I43" s="2">
        <v>22</v>
      </c>
      <c r="J43" s="2" t="s">
        <v>66</v>
      </c>
      <c r="K43" s="2" t="s">
        <v>67</v>
      </c>
      <c r="L43" s="2" t="s">
        <v>631</v>
      </c>
      <c r="M43" s="7" t="s">
        <v>632</v>
      </c>
      <c r="N43" s="7" t="s">
        <v>633</v>
      </c>
      <c r="O43" s="2"/>
      <c r="P43" s="2"/>
      <c r="Q43" s="2" t="str">
        <f>IF(SUMPRODUCT(--ISNUMBER(SEARCH('National Domains'!$A$2:$A$48,L43)))&gt;0,"Yes","No")</f>
        <v>Yes</v>
      </c>
      <c r="R43" s="2" t="str">
        <f>IF(COUNTIFS(Calibration!$A:$A,A43,Calibration!$B:$B,B43)&gt;0,"Yes","No")</f>
        <v>No</v>
      </c>
      <c r="S43" s="6"/>
    </row>
    <row r="44" spans="1:19" ht="34.5" customHeight="1" x14ac:dyDescent="0.2">
      <c r="A44" s="2">
        <v>21</v>
      </c>
      <c r="B44" s="2">
        <v>1</v>
      </c>
      <c r="C44" s="2" t="s">
        <v>68</v>
      </c>
      <c r="D44" s="2" t="s">
        <v>29</v>
      </c>
      <c r="E44" s="2">
        <v>20030301</v>
      </c>
      <c r="F44" s="2">
        <v>20031130</v>
      </c>
      <c r="G44" s="2">
        <v>8731.1</v>
      </c>
      <c r="H44" s="2">
        <v>5017.7</v>
      </c>
      <c r="I44" s="2">
        <v>35</v>
      </c>
      <c r="J44" s="2" t="s">
        <v>69</v>
      </c>
      <c r="K44" s="2" t="s">
        <v>70</v>
      </c>
      <c r="L44" s="2" t="s">
        <v>634</v>
      </c>
      <c r="M44" s="7" t="s">
        <v>635</v>
      </c>
      <c r="N44" s="7" t="s">
        <v>636</v>
      </c>
      <c r="O44" s="2"/>
      <c r="P44" s="2"/>
      <c r="Q44" s="2" t="str">
        <f>IF(SUMPRODUCT(--ISNUMBER(SEARCH('National Domains'!$A$2:$A$48,L44)))&gt;0,"Yes","No")</f>
        <v>Yes</v>
      </c>
      <c r="R44" s="2" t="str">
        <f>IF(COUNTIFS(Calibration!$A:$A,A44,Calibration!$B:$B,B44)&gt;0,"Yes","No")</f>
        <v>No</v>
      </c>
      <c r="S44" s="6"/>
    </row>
    <row r="45" spans="1:19" ht="34.5" customHeight="1" x14ac:dyDescent="0.2">
      <c r="A45" s="2">
        <v>24</v>
      </c>
      <c r="B45" s="2">
        <v>1</v>
      </c>
      <c r="C45" s="2" t="s">
        <v>75</v>
      </c>
      <c r="D45" s="2" t="s">
        <v>39</v>
      </c>
      <c r="E45" s="2">
        <v>20040813</v>
      </c>
      <c r="F45" s="2">
        <v>20040814</v>
      </c>
      <c r="G45" s="2">
        <v>26559.200000000001</v>
      </c>
      <c r="H45" s="2">
        <v>15999.5</v>
      </c>
      <c r="I45" s="2">
        <v>35</v>
      </c>
      <c r="J45" s="2" t="s">
        <v>76</v>
      </c>
      <c r="K45" s="2" t="s">
        <v>27</v>
      </c>
      <c r="L45" s="2" t="s">
        <v>637</v>
      </c>
      <c r="M45" s="7" t="s">
        <v>638</v>
      </c>
      <c r="N45" s="7" t="s">
        <v>639</v>
      </c>
      <c r="O45" s="2"/>
      <c r="P45" s="2"/>
      <c r="Q45" s="2" t="str">
        <f>IF(SUMPRODUCT(--ISNUMBER(SEARCH('National Domains'!$A$2:$A$48,L45)))&gt;0,"Yes","No")</f>
        <v>Yes</v>
      </c>
      <c r="R45" s="2" t="str">
        <f>IF(COUNTIFS(Calibration!$A:$A,A45,Calibration!$B:$B,B45)&gt;0,"Yes","No")</f>
        <v>No</v>
      </c>
      <c r="S45" s="6"/>
    </row>
    <row r="46" spans="1:19" ht="34.5" customHeight="1" x14ac:dyDescent="0.2">
      <c r="A46" s="2">
        <v>24</v>
      </c>
      <c r="B46" s="2">
        <v>2</v>
      </c>
      <c r="C46" s="2" t="s">
        <v>75</v>
      </c>
      <c r="D46" s="2" t="s">
        <v>39</v>
      </c>
      <c r="E46" s="2">
        <v>20040813</v>
      </c>
      <c r="F46" s="2">
        <v>20040814</v>
      </c>
      <c r="G46" s="2">
        <v>26559.200000000001</v>
      </c>
      <c r="H46" s="2">
        <v>15999.5</v>
      </c>
      <c r="I46" s="2">
        <v>35</v>
      </c>
      <c r="J46" s="2" t="s">
        <v>76</v>
      </c>
      <c r="K46" s="2" t="s">
        <v>27</v>
      </c>
      <c r="L46" s="2" t="s">
        <v>640</v>
      </c>
      <c r="M46" s="7" t="s">
        <v>641</v>
      </c>
      <c r="N46" s="7" t="s">
        <v>642</v>
      </c>
      <c r="O46" s="2"/>
      <c r="P46" s="2"/>
      <c r="Q46" s="2" t="str">
        <f>IF(SUMPRODUCT(--ISNUMBER(SEARCH('National Domains'!$A$2:$A$48,L46)))&gt;0,"Yes","No")</f>
        <v>Yes</v>
      </c>
      <c r="R46" s="2" t="str">
        <f>IF(COUNTIFS(Calibration!$A:$A,A46,Calibration!$B:$B,B46)&gt;0,"Yes","No")</f>
        <v>No</v>
      </c>
      <c r="S46" s="6"/>
    </row>
    <row r="47" spans="1:19" ht="34.5" customHeight="1" x14ac:dyDescent="0.2">
      <c r="A47" s="2">
        <v>24</v>
      </c>
      <c r="B47" s="2">
        <v>3</v>
      </c>
      <c r="C47" s="2" t="s">
        <v>75</v>
      </c>
      <c r="D47" s="2" t="s">
        <v>39</v>
      </c>
      <c r="E47" s="2">
        <v>20040813</v>
      </c>
      <c r="F47" s="2">
        <v>20040814</v>
      </c>
      <c r="G47" s="2">
        <v>26559.200000000001</v>
      </c>
      <c r="H47" s="2">
        <v>15999.5</v>
      </c>
      <c r="I47" s="2">
        <v>35</v>
      </c>
      <c r="J47" s="2" t="s">
        <v>76</v>
      </c>
      <c r="K47" s="2" t="s">
        <v>27</v>
      </c>
      <c r="L47" s="2" t="s">
        <v>643</v>
      </c>
      <c r="M47" s="7" t="s">
        <v>644</v>
      </c>
      <c r="N47" s="7" t="s">
        <v>645</v>
      </c>
      <c r="O47" s="2"/>
      <c r="P47" s="2"/>
      <c r="Q47" s="2" t="str">
        <f>IF(SUMPRODUCT(--ISNUMBER(SEARCH('National Domains'!$A$2:$A$48,L47)))&gt;0,"Yes","No")</f>
        <v>Yes</v>
      </c>
      <c r="R47" s="2" t="str">
        <f>IF(COUNTIFS(Calibration!$A:$A,A47,Calibration!$B:$B,B47)&gt;0,"Yes","No")</f>
        <v>No</v>
      </c>
      <c r="S47" s="6"/>
    </row>
    <row r="48" spans="1:19" ht="23.25" customHeight="1" x14ac:dyDescent="0.2">
      <c r="A48" s="2">
        <v>24</v>
      </c>
      <c r="B48" s="2">
        <v>4</v>
      </c>
      <c r="C48" s="2" t="s">
        <v>75</v>
      </c>
      <c r="D48" s="2" t="s">
        <v>39</v>
      </c>
      <c r="E48" s="2">
        <v>20040813</v>
      </c>
      <c r="F48" s="2">
        <v>20040814</v>
      </c>
      <c r="G48" s="2">
        <v>26559.200000000001</v>
      </c>
      <c r="H48" s="2">
        <v>15999.5</v>
      </c>
      <c r="I48" s="2">
        <v>35</v>
      </c>
      <c r="J48" s="2" t="s">
        <v>76</v>
      </c>
      <c r="K48" s="2" t="s">
        <v>27</v>
      </c>
      <c r="L48" s="2" t="s">
        <v>646</v>
      </c>
      <c r="M48" s="7" t="s">
        <v>647</v>
      </c>
      <c r="N48" s="7" t="s">
        <v>648</v>
      </c>
      <c r="O48" s="2"/>
      <c r="P48" s="2"/>
      <c r="Q48" s="2" t="str">
        <f>IF(SUMPRODUCT(--ISNUMBER(SEARCH('National Domains'!$A$2:$A$48,L48)))&gt;0,"Yes","No")</f>
        <v>Yes</v>
      </c>
      <c r="R48" s="2" t="str">
        <f>IF(COUNTIFS(Calibration!$A:$A,A48,Calibration!$B:$B,B48)&gt;0,"Yes","No")</f>
        <v>No</v>
      </c>
      <c r="S48" s="6"/>
    </row>
    <row r="49" spans="1:19" ht="34.5" customHeight="1" x14ac:dyDescent="0.2">
      <c r="A49" s="2">
        <v>24</v>
      </c>
      <c r="B49" s="2">
        <v>5</v>
      </c>
      <c r="C49" s="2" t="s">
        <v>75</v>
      </c>
      <c r="D49" s="2" t="s">
        <v>39</v>
      </c>
      <c r="E49" s="2">
        <v>20040813</v>
      </c>
      <c r="F49" s="2">
        <v>20040814</v>
      </c>
      <c r="G49" s="2">
        <v>26559.200000000001</v>
      </c>
      <c r="H49" s="2">
        <v>15999.5</v>
      </c>
      <c r="I49" s="2">
        <v>35</v>
      </c>
      <c r="J49" s="2" t="s">
        <v>76</v>
      </c>
      <c r="K49" s="2" t="s">
        <v>27</v>
      </c>
      <c r="L49" s="2" t="s">
        <v>649</v>
      </c>
      <c r="M49" s="7" t="s">
        <v>650</v>
      </c>
      <c r="N49" s="7" t="s">
        <v>651</v>
      </c>
      <c r="O49" s="2"/>
      <c r="P49" s="2"/>
      <c r="Q49" s="2" t="str">
        <f>IF(SUMPRODUCT(--ISNUMBER(SEARCH('National Domains'!$A$2:$A$48,L49)))&gt;0,"Yes","No")</f>
        <v>Yes</v>
      </c>
      <c r="R49" s="2" t="str">
        <f>IF(COUNTIFS(Calibration!$A:$A,A49,Calibration!$B:$B,B49)&gt;0,"Yes","No")</f>
        <v>No</v>
      </c>
      <c r="S49" s="6"/>
    </row>
    <row r="50" spans="1:19" ht="34.5" customHeight="1" x14ac:dyDescent="0.2">
      <c r="A50" s="2">
        <v>24</v>
      </c>
      <c r="B50" s="2">
        <v>6</v>
      </c>
      <c r="C50" s="2" t="s">
        <v>75</v>
      </c>
      <c r="D50" s="2" t="s">
        <v>39</v>
      </c>
      <c r="E50" s="2">
        <v>20040813</v>
      </c>
      <c r="F50" s="2">
        <v>20040814</v>
      </c>
      <c r="G50" s="2">
        <v>26559.200000000001</v>
      </c>
      <c r="H50" s="2">
        <v>15999.5</v>
      </c>
      <c r="I50" s="2">
        <v>35</v>
      </c>
      <c r="J50" s="2" t="s">
        <v>76</v>
      </c>
      <c r="K50" s="2" t="s">
        <v>27</v>
      </c>
      <c r="L50" s="2" t="s">
        <v>652</v>
      </c>
      <c r="M50" s="7" t="s">
        <v>653</v>
      </c>
      <c r="N50" s="7" t="s">
        <v>654</v>
      </c>
      <c r="O50" s="2"/>
      <c r="P50" s="2"/>
      <c r="Q50" s="2" t="str">
        <f>IF(SUMPRODUCT(--ISNUMBER(SEARCH('National Domains'!$A$2:$A$48,L50)))&gt;0,"Yes","No")</f>
        <v>Yes</v>
      </c>
      <c r="R50" s="2" t="str">
        <f>IF(COUNTIFS(Calibration!$A:$A,A50,Calibration!$B:$B,B50)&gt;0,"Yes","No")</f>
        <v>No</v>
      </c>
      <c r="S50" s="6"/>
    </row>
    <row r="51" spans="1:19" ht="34.5" customHeight="1" x14ac:dyDescent="0.2">
      <c r="A51" s="2">
        <v>25</v>
      </c>
      <c r="B51" s="2">
        <v>1</v>
      </c>
      <c r="C51" s="2" t="s">
        <v>77</v>
      </c>
      <c r="D51" s="2" t="s">
        <v>39</v>
      </c>
      <c r="E51" s="2">
        <v>20040903</v>
      </c>
      <c r="F51" s="2">
        <v>20040909</v>
      </c>
      <c r="G51" s="2">
        <v>16268</v>
      </c>
      <c r="H51" s="2">
        <v>9800</v>
      </c>
      <c r="I51" s="2">
        <v>48</v>
      </c>
      <c r="J51" s="2" t="s">
        <v>78</v>
      </c>
      <c r="K51" s="2" t="s">
        <v>27</v>
      </c>
      <c r="L51" s="2" t="s">
        <v>655</v>
      </c>
      <c r="M51" s="7" t="s">
        <v>656</v>
      </c>
      <c r="N51" s="7" t="s">
        <v>657</v>
      </c>
      <c r="O51" s="2"/>
      <c r="P51" s="2"/>
      <c r="Q51" s="2" t="str">
        <f>IF(SUMPRODUCT(--ISNUMBER(SEARCH('National Domains'!$A$2:$A$48,L51)))&gt;0,"Yes","No")</f>
        <v>No</v>
      </c>
      <c r="R51" s="2" t="str">
        <f>IF(COUNTIFS(Calibration!$A:$A,A51,Calibration!$B:$B,B51)&gt;0,"Yes","No")</f>
        <v>No</v>
      </c>
      <c r="S51" s="6"/>
    </row>
    <row r="52" spans="1:19" ht="34.5" customHeight="1" x14ac:dyDescent="0.2">
      <c r="A52" s="2">
        <v>25</v>
      </c>
      <c r="B52" s="2">
        <v>2</v>
      </c>
      <c r="C52" s="2" t="s">
        <v>77</v>
      </c>
      <c r="D52" s="2" t="s">
        <v>39</v>
      </c>
      <c r="E52" s="2">
        <v>20040903</v>
      </c>
      <c r="F52" s="2">
        <v>20040909</v>
      </c>
      <c r="G52" s="2">
        <v>16268</v>
      </c>
      <c r="H52" s="2">
        <v>9800</v>
      </c>
      <c r="I52" s="2">
        <v>48</v>
      </c>
      <c r="J52" s="2" t="s">
        <v>78</v>
      </c>
      <c r="K52" s="2" t="s">
        <v>27</v>
      </c>
      <c r="L52" s="2" t="s">
        <v>658</v>
      </c>
      <c r="M52" s="7" t="s">
        <v>659</v>
      </c>
      <c r="N52" s="7" t="s">
        <v>660</v>
      </c>
      <c r="O52" s="2"/>
      <c r="P52" s="2"/>
      <c r="Q52" s="2" t="str">
        <f>IF(SUMPRODUCT(--ISNUMBER(SEARCH('National Domains'!$A$2:$A$48,L52)))&gt;0,"Yes","No")</f>
        <v>No</v>
      </c>
      <c r="R52" s="2" t="str">
        <f>IF(COUNTIFS(Calibration!$A:$A,A52,Calibration!$B:$B,B52)&gt;0,"Yes","No")</f>
        <v>No</v>
      </c>
      <c r="S52" s="6"/>
    </row>
    <row r="53" spans="1:19" ht="34.5" customHeight="1" x14ac:dyDescent="0.2">
      <c r="A53" s="2">
        <v>25</v>
      </c>
      <c r="B53" s="2">
        <v>3</v>
      </c>
      <c r="C53" s="2" t="s">
        <v>77</v>
      </c>
      <c r="D53" s="2" t="s">
        <v>39</v>
      </c>
      <c r="E53" s="2">
        <v>20040903</v>
      </c>
      <c r="F53" s="2">
        <v>20040909</v>
      </c>
      <c r="G53" s="2">
        <v>16268</v>
      </c>
      <c r="H53" s="2">
        <v>9800</v>
      </c>
      <c r="I53" s="2">
        <v>48</v>
      </c>
      <c r="J53" s="2" t="s">
        <v>78</v>
      </c>
      <c r="K53" s="2" t="s">
        <v>27</v>
      </c>
      <c r="L53" s="2" t="s">
        <v>661</v>
      </c>
      <c r="M53" s="7" t="s">
        <v>662</v>
      </c>
      <c r="N53" s="7" t="s">
        <v>663</v>
      </c>
      <c r="O53" s="2"/>
      <c r="P53" s="2"/>
      <c r="Q53" s="2" t="str">
        <f>IF(SUMPRODUCT(--ISNUMBER(SEARCH('National Domains'!$A$2:$A$48,L53)))&gt;0,"Yes","No")</f>
        <v>Yes</v>
      </c>
      <c r="R53" s="2" t="str">
        <f>IF(COUNTIFS(Calibration!$A:$A,A53,Calibration!$B:$B,B53)&gt;0,"Yes","No")</f>
        <v>No</v>
      </c>
      <c r="S53" s="6"/>
    </row>
    <row r="54" spans="1:19" ht="34.5" customHeight="1" x14ac:dyDescent="0.2">
      <c r="A54" s="2">
        <v>25</v>
      </c>
      <c r="B54" s="2">
        <v>4</v>
      </c>
      <c r="C54" s="2" t="s">
        <v>77</v>
      </c>
      <c r="D54" s="2" t="s">
        <v>39</v>
      </c>
      <c r="E54" s="2">
        <v>20040903</v>
      </c>
      <c r="F54" s="2">
        <v>20040909</v>
      </c>
      <c r="G54" s="2">
        <v>16268</v>
      </c>
      <c r="H54" s="2">
        <v>9800</v>
      </c>
      <c r="I54" s="2">
        <v>48</v>
      </c>
      <c r="J54" s="2" t="s">
        <v>78</v>
      </c>
      <c r="K54" s="2" t="s">
        <v>27</v>
      </c>
      <c r="L54" s="2" t="s">
        <v>664</v>
      </c>
      <c r="M54" s="7" t="s">
        <v>665</v>
      </c>
      <c r="N54" s="7" t="s">
        <v>666</v>
      </c>
      <c r="O54" s="2"/>
      <c r="P54" s="2"/>
      <c r="Q54" s="2" t="str">
        <f>IF(SUMPRODUCT(--ISNUMBER(SEARCH('National Domains'!$A$2:$A$48,L54)))&gt;0,"Yes","No")</f>
        <v>Yes</v>
      </c>
      <c r="R54" s="2" t="str">
        <f>IF(COUNTIFS(Calibration!$A:$A,A54,Calibration!$B:$B,B54)&gt;0,"Yes","No")</f>
        <v>No</v>
      </c>
      <c r="S54" s="6"/>
    </row>
    <row r="55" spans="1:19" ht="34.5" customHeight="1" x14ac:dyDescent="0.2">
      <c r="A55" s="2">
        <v>25</v>
      </c>
      <c r="B55" s="2">
        <v>5</v>
      </c>
      <c r="C55" s="2" t="s">
        <v>77</v>
      </c>
      <c r="D55" s="2" t="s">
        <v>39</v>
      </c>
      <c r="E55" s="2">
        <v>20040903</v>
      </c>
      <c r="F55" s="2">
        <v>20040909</v>
      </c>
      <c r="G55" s="2">
        <v>16268</v>
      </c>
      <c r="H55" s="2">
        <v>9800</v>
      </c>
      <c r="I55" s="2">
        <v>48</v>
      </c>
      <c r="J55" s="2" t="s">
        <v>78</v>
      </c>
      <c r="K55" s="2" t="s">
        <v>27</v>
      </c>
      <c r="L55" s="2" t="s">
        <v>667</v>
      </c>
      <c r="M55" s="7" t="s">
        <v>668</v>
      </c>
      <c r="N55" s="7" t="s">
        <v>669</v>
      </c>
      <c r="O55" s="2"/>
      <c r="P55" s="2"/>
      <c r="Q55" s="2" t="str">
        <f>IF(SUMPRODUCT(--ISNUMBER(SEARCH('National Domains'!$A$2:$A$48,L55)))&gt;0,"Yes","No")</f>
        <v>Yes</v>
      </c>
      <c r="R55" s="2" t="str">
        <f>IF(COUNTIFS(Calibration!$A:$A,A55,Calibration!$B:$B,B55)&gt;0,"Yes","No")</f>
        <v>No</v>
      </c>
      <c r="S55" s="6"/>
    </row>
    <row r="56" spans="1:19" ht="34.5" customHeight="1" x14ac:dyDescent="0.2">
      <c r="A56" s="2">
        <v>26</v>
      </c>
      <c r="B56" s="2">
        <v>1</v>
      </c>
      <c r="C56" s="2" t="s">
        <v>79</v>
      </c>
      <c r="D56" s="2" t="s">
        <v>39</v>
      </c>
      <c r="E56" s="2">
        <v>20040912</v>
      </c>
      <c r="F56" s="2">
        <v>20040921</v>
      </c>
      <c r="G56" s="2">
        <v>34031</v>
      </c>
      <c r="H56" s="2">
        <v>20500.5</v>
      </c>
      <c r="I56" s="2">
        <v>57</v>
      </c>
      <c r="J56" s="2" t="s">
        <v>80</v>
      </c>
      <c r="K56" s="2" t="s">
        <v>15</v>
      </c>
      <c r="L56" s="2" t="s">
        <v>670</v>
      </c>
      <c r="M56" s="7" t="s">
        <v>671</v>
      </c>
      <c r="N56" s="7" t="s">
        <v>672</v>
      </c>
      <c r="O56" s="2"/>
      <c r="P56" s="2"/>
      <c r="Q56" s="2" t="str">
        <f>IF(SUMPRODUCT(--ISNUMBER(SEARCH('National Domains'!$A$2:$A$48,L56)))&gt;0,"Yes","No")</f>
        <v>Yes</v>
      </c>
      <c r="R56" s="2" t="str">
        <f>IF(COUNTIFS(Calibration!$A:$A,A56,Calibration!$B:$B,B56)&gt;0,"Yes","No")</f>
        <v>No</v>
      </c>
      <c r="S56" s="6"/>
    </row>
    <row r="57" spans="1:19" ht="34.5" customHeight="1" x14ac:dyDescent="0.2">
      <c r="A57" s="2">
        <v>26</v>
      </c>
      <c r="B57" s="2">
        <v>2</v>
      </c>
      <c r="C57" s="2" t="s">
        <v>79</v>
      </c>
      <c r="D57" s="2" t="s">
        <v>39</v>
      </c>
      <c r="E57" s="2">
        <v>20040912</v>
      </c>
      <c r="F57" s="2">
        <v>20040921</v>
      </c>
      <c r="G57" s="2">
        <v>34031</v>
      </c>
      <c r="H57" s="2">
        <v>20500.5</v>
      </c>
      <c r="I57" s="2">
        <v>57</v>
      </c>
      <c r="J57" s="2" t="s">
        <v>80</v>
      </c>
      <c r="K57" s="2" t="s">
        <v>15</v>
      </c>
      <c r="L57" s="2" t="s">
        <v>673</v>
      </c>
      <c r="M57" s="7" t="s">
        <v>674</v>
      </c>
      <c r="N57" s="7" t="s">
        <v>675</v>
      </c>
      <c r="O57" s="2"/>
      <c r="P57" s="2"/>
      <c r="Q57" s="2" t="str">
        <f>IF(SUMPRODUCT(--ISNUMBER(SEARCH('National Domains'!$A$2:$A$48,L57)))&gt;0,"Yes","No")</f>
        <v>Yes</v>
      </c>
      <c r="R57" s="2" t="str">
        <f>IF(COUNTIFS(Calibration!$A:$A,A57,Calibration!$B:$B,B57)&gt;0,"Yes","No")</f>
        <v>No</v>
      </c>
      <c r="S57" s="6"/>
    </row>
    <row r="58" spans="1:19" ht="34.5" customHeight="1" x14ac:dyDescent="0.2">
      <c r="A58" s="2">
        <v>26</v>
      </c>
      <c r="B58" s="2">
        <v>3</v>
      </c>
      <c r="C58" s="2" t="s">
        <v>79</v>
      </c>
      <c r="D58" s="2" t="s">
        <v>39</v>
      </c>
      <c r="E58" s="2">
        <v>20040912</v>
      </c>
      <c r="F58" s="2">
        <v>20040921</v>
      </c>
      <c r="G58" s="2">
        <v>34031</v>
      </c>
      <c r="H58" s="2">
        <v>20500.5</v>
      </c>
      <c r="I58" s="2">
        <v>57</v>
      </c>
      <c r="J58" s="2" t="s">
        <v>80</v>
      </c>
      <c r="K58" s="2" t="s">
        <v>15</v>
      </c>
      <c r="L58" s="2" t="s">
        <v>676</v>
      </c>
      <c r="M58" s="7" t="s">
        <v>677</v>
      </c>
      <c r="N58" s="7" t="s">
        <v>678</v>
      </c>
      <c r="O58" s="2"/>
      <c r="P58" s="2"/>
      <c r="Q58" s="2" t="str">
        <f>IF(SUMPRODUCT(--ISNUMBER(SEARCH('National Domains'!$A$2:$A$48,L58)))&gt;0,"Yes","No")</f>
        <v>Yes</v>
      </c>
      <c r="R58" s="2" t="str">
        <f>IF(COUNTIFS(Calibration!$A:$A,A58,Calibration!$B:$B,B58)&gt;0,"Yes","No")</f>
        <v>No</v>
      </c>
      <c r="S58" s="6"/>
    </row>
    <row r="59" spans="1:19" ht="34.5" customHeight="1" x14ac:dyDescent="0.2">
      <c r="A59" s="2">
        <v>26</v>
      </c>
      <c r="B59" s="2">
        <v>4</v>
      </c>
      <c r="C59" s="2" t="s">
        <v>79</v>
      </c>
      <c r="D59" s="2" t="s">
        <v>39</v>
      </c>
      <c r="E59" s="2">
        <v>20040912</v>
      </c>
      <c r="F59" s="2">
        <v>20040921</v>
      </c>
      <c r="G59" s="2">
        <v>34031</v>
      </c>
      <c r="H59" s="2">
        <v>20500.5</v>
      </c>
      <c r="I59" s="2">
        <v>57</v>
      </c>
      <c r="J59" s="2" t="s">
        <v>80</v>
      </c>
      <c r="K59" s="2" t="s">
        <v>15</v>
      </c>
      <c r="L59" s="2" t="s">
        <v>679</v>
      </c>
      <c r="M59" s="7" t="s">
        <v>680</v>
      </c>
      <c r="N59" s="7" t="s">
        <v>681</v>
      </c>
      <c r="O59" s="2"/>
      <c r="P59" s="2"/>
      <c r="Q59" s="2" t="str">
        <f>IF(SUMPRODUCT(--ISNUMBER(SEARCH('National Domains'!$A$2:$A$48,L59)))&gt;0,"Yes","No")</f>
        <v>Yes</v>
      </c>
      <c r="R59" s="2" t="str">
        <f>IF(COUNTIFS(Calibration!$A:$A,A59,Calibration!$B:$B,B59)&gt;0,"Yes","No")</f>
        <v>No</v>
      </c>
      <c r="S59" s="6"/>
    </row>
    <row r="60" spans="1:19" ht="34.5" customHeight="1" x14ac:dyDescent="0.2">
      <c r="A60" s="2">
        <v>26</v>
      </c>
      <c r="B60" s="2">
        <v>5</v>
      </c>
      <c r="C60" s="2" t="s">
        <v>79</v>
      </c>
      <c r="D60" s="2" t="s">
        <v>39</v>
      </c>
      <c r="E60" s="2">
        <v>20040912</v>
      </c>
      <c r="F60" s="2">
        <v>20040921</v>
      </c>
      <c r="G60" s="2">
        <v>34031</v>
      </c>
      <c r="H60" s="2">
        <v>20500.5</v>
      </c>
      <c r="I60" s="2">
        <v>57</v>
      </c>
      <c r="J60" s="2" t="s">
        <v>80</v>
      </c>
      <c r="K60" s="2" t="s">
        <v>15</v>
      </c>
      <c r="L60" s="2" t="s">
        <v>682</v>
      </c>
      <c r="M60" s="7" t="s">
        <v>683</v>
      </c>
      <c r="N60" s="7" t="s">
        <v>684</v>
      </c>
      <c r="O60" s="2"/>
      <c r="P60" s="2"/>
      <c r="Q60" s="2" t="str">
        <f>IF(SUMPRODUCT(--ISNUMBER(SEARCH('National Domains'!$A$2:$A$48,L60)))&gt;0,"Yes","No")</f>
        <v>No</v>
      </c>
      <c r="R60" s="2" t="str">
        <f>IF(COUNTIFS(Calibration!$A:$A,A60,Calibration!$B:$B,B60)&gt;0,"Yes","No")</f>
        <v>No</v>
      </c>
      <c r="S60" s="6"/>
    </row>
    <row r="61" spans="1:19" ht="34.5" customHeight="1" x14ac:dyDescent="0.2">
      <c r="A61" s="2">
        <v>26</v>
      </c>
      <c r="B61" s="2">
        <v>6</v>
      </c>
      <c r="C61" s="2" t="s">
        <v>79</v>
      </c>
      <c r="D61" s="2" t="s">
        <v>39</v>
      </c>
      <c r="E61" s="2">
        <v>20040912</v>
      </c>
      <c r="F61" s="2">
        <v>20040921</v>
      </c>
      <c r="G61" s="2">
        <v>34031</v>
      </c>
      <c r="H61" s="2">
        <v>20500.5</v>
      </c>
      <c r="I61" s="2">
        <v>57</v>
      </c>
      <c r="J61" s="2" t="s">
        <v>80</v>
      </c>
      <c r="K61" s="2" t="s">
        <v>15</v>
      </c>
      <c r="L61" s="2" t="s">
        <v>685</v>
      </c>
      <c r="M61" s="7" t="s">
        <v>686</v>
      </c>
      <c r="N61" s="7" t="s">
        <v>687</v>
      </c>
      <c r="O61" s="2"/>
      <c r="P61" s="2"/>
      <c r="Q61" s="2" t="str">
        <f>IF(SUMPRODUCT(--ISNUMBER(SEARCH('National Domains'!$A$2:$A$48,L61)))&gt;0,"Yes","No")</f>
        <v>Yes</v>
      </c>
      <c r="R61" s="2" t="str">
        <f>IF(COUNTIFS(Calibration!$A:$A,A61,Calibration!$B:$B,B61)&gt;0,"Yes","No")</f>
        <v>No</v>
      </c>
      <c r="S61" s="6"/>
    </row>
    <row r="62" spans="1:19" ht="34.5" customHeight="1" x14ac:dyDescent="0.2">
      <c r="A62" s="2">
        <v>26</v>
      </c>
      <c r="B62" s="2">
        <v>7</v>
      </c>
      <c r="C62" s="2" t="s">
        <v>79</v>
      </c>
      <c r="D62" s="2" t="s">
        <v>39</v>
      </c>
      <c r="E62" s="2">
        <v>20040912</v>
      </c>
      <c r="F62" s="2">
        <v>20040921</v>
      </c>
      <c r="G62" s="2">
        <v>34031</v>
      </c>
      <c r="H62" s="2">
        <v>20500.5</v>
      </c>
      <c r="I62" s="2">
        <v>57</v>
      </c>
      <c r="J62" s="2" t="s">
        <v>80</v>
      </c>
      <c r="K62" s="2" t="s">
        <v>15</v>
      </c>
      <c r="L62" s="2" t="s">
        <v>688</v>
      </c>
      <c r="M62" s="7" t="s">
        <v>689</v>
      </c>
      <c r="N62" s="7" t="s">
        <v>690</v>
      </c>
      <c r="O62" s="2"/>
      <c r="P62" s="2"/>
      <c r="Q62" s="2" t="str">
        <f>IF(SUMPRODUCT(--ISNUMBER(SEARCH('National Domains'!$A$2:$A$48,L62)))&gt;0,"Yes","No")</f>
        <v>Yes</v>
      </c>
      <c r="R62" s="2" t="str">
        <f>IF(COUNTIFS(Calibration!$A:$A,A62,Calibration!$B:$B,B62)&gt;0,"Yes","No")</f>
        <v>No</v>
      </c>
      <c r="S62" s="6"/>
    </row>
    <row r="63" spans="1:19" ht="34.5" customHeight="1" x14ac:dyDescent="0.2">
      <c r="A63" s="2">
        <v>27</v>
      </c>
      <c r="B63" s="2">
        <v>1</v>
      </c>
      <c r="C63" s="2" t="s">
        <v>81</v>
      </c>
      <c r="D63" s="2" t="s">
        <v>39</v>
      </c>
      <c r="E63" s="2">
        <v>20040915</v>
      </c>
      <c r="F63" s="2">
        <v>20040929</v>
      </c>
      <c r="G63" s="2">
        <v>12444.5</v>
      </c>
      <c r="H63" s="2">
        <v>7496.5</v>
      </c>
      <c r="I63" s="2">
        <v>28</v>
      </c>
      <c r="J63" s="2" t="s">
        <v>26</v>
      </c>
      <c r="K63" s="2" t="s">
        <v>27</v>
      </c>
      <c r="L63" s="2" t="s">
        <v>691</v>
      </c>
      <c r="M63" s="7" t="s">
        <v>692</v>
      </c>
      <c r="N63" s="7" t="s">
        <v>693</v>
      </c>
      <c r="O63" s="2"/>
      <c r="P63" s="2"/>
      <c r="Q63" s="2" t="str">
        <f>IF(SUMPRODUCT(--ISNUMBER(SEARCH('National Domains'!$A$2:$A$48,L63)))&gt;0,"Yes","No")</f>
        <v>Yes</v>
      </c>
      <c r="R63" s="2" t="str">
        <f>IF(COUNTIFS(Calibration!$A:$A,A63,Calibration!$B:$B,B63)&gt;0,"Yes","No")</f>
        <v>No</v>
      </c>
      <c r="S63" s="6"/>
    </row>
    <row r="64" spans="1:19" ht="34.5" customHeight="1" x14ac:dyDescent="0.2">
      <c r="A64" s="4">
        <v>27</v>
      </c>
      <c r="B64" s="4">
        <v>2</v>
      </c>
      <c r="C64" s="4" t="s">
        <v>81</v>
      </c>
      <c r="D64" s="4" t="s">
        <v>39</v>
      </c>
      <c r="E64" s="4">
        <v>20040915</v>
      </c>
      <c r="F64" s="4">
        <v>20040929</v>
      </c>
      <c r="G64" s="4">
        <v>12444.5</v>
      </c>
      <c r="H64" s="4">
        <v>7496.5</v>
      </c>
      <c r="I64" s="4">
        <v>28</v>
      </c>
      <c r="J64" s="4" t="s">
        <v>26</v>
      </c>
      <c r="K64" s="4" t="s">
        <v>27</v>
      </c>
      <c r="L64" s="4" t="s">
        <v>694</v>
      </c>
      <c r="M64" s="5" t="s">
        <v>695</v>
      </c>
      <c r="N64" s="5" t="s">
        <v>696</v>
      </c>
      <c r="O64" s="4"/>
      <c r="P64" s="4"/>
      <c r="Q64" s="4" t="str">
        <f>IF(SUMPRODUCT(--ISNUMBER(SEARCH('National Domains'!$A$2:$A$48,L64)))&gt;0,"Yes","No")</f>
        <v>Yes</v>
      </c>
      <c r="R64" s="4" t="str">
        <f>IF(COUNTIFS(Calibration!$A:$A,A64,Calibration!$B:$B,B64)&gt;0,"Yes","No")</f>
        <v>Yes</v>
      </c>
      <c r="S64" s="6"/>
    </row>
    <row r="65" spans="1:19" ht="34.5" customHeight="1" x14ac:dyDescent="0.2">
      <c r="A65" s="2">
        <v>27</v>
      </c>
      <c r="B65" s="2">
        <v>3</v>
      </c>
      <c r="C65" s="2" t="s">
        <v>81</v>
      </c>
      <c r="D65" s="2" t="s">
        <v>39</v>
      </c>
      <c r="E65" s="2">
        <v>20040915</v>
      </c>
      <c r="F65" s="2">
        <v>20040929</v>
      </c>
      <c r="G65" s="2">
        <v>12444.5</v>
      </c>
      <c r="H65" s="2">
        <v>7496.5</v>
      </c>
      <c r="I65" s="2">
        <v>28</v>
      </c>
      <c r="J65" s="2" t="s">
        <v>26</v>
      </c>
      <c r="K65" s="2" t="s">
        <v>27</v>
      </c>
      <c r="L65" s="2" t="s">
        <v>697</v>
      </c>
      <c r="M65" s="7" t="s">
        <v>698</v>
      </c>
      <c r="N65" s="7" t="s">
        <v>699</v>
      </c>
      <c r="O65" s="2"/>
      <c r="P65" s="2"/>
      <c r="Q65" s="2" t="str">
        <f>IF(SUMPRODUCT(--ISNUMBER(SEARCH('National Domains'!$A$2:$A$48,L65)))&gt;0,"Yes","No")</f>
        <v>Yes</v>
      </c>
      <c r="R65" s="2" t="str">
        <f>IF(COUNTIFS(Calibration!$A:$A,A65,Calibration!$B:$B,B65)&gt;0,"Yes","No")</f>
        <v>No</v>
      </c>
      <c r="S65" s="6"/>
    </row>
    <row r="66" spans="1:19" ht="34.5" customHeight="1" x14ac:dyDescent="0.2">
      <c r="A66" s="2">
        <v>27</v>
      </c>
      <c r="B66" s="2">
        <v>4</v>
      </c>
      <c r="C66" s="2" t="s">
        <v>81</v>
      </c>
      <c r="D66" s="2" t="s">
        <v>39</v>
      </c>
      <c r="E66" s="2">
        <v>20040915</v>
      </c>
      <c r="F66" s="2">
        <v>20040929</v>
      </c>
      <c r="G66" s="2">
        <v>12444.5</v>
      </c>
      <c r="H66" s="2">
        <v>7496.5</v>
      </c>
      <c r="I66" s="2">
        <v>28</v>
      </c>
      <c r="J66" s="2" t="s">
        <v>26</v>
      </c>
      <c r="K66" s="2" t="s">
        <v>27</v>
      </c>
      <c r="L66" s="2" t="s">
        <v>700</v>
      </c>
      <c r="M66" s="7" t="s">
        <v>701</v>
      </c>
      <c r="N66" s="7" t="s">
        <v>702</v>
      </c>
      <c r="O66" s="2"/>
      <c r="P66" s="2"/>
      <c r="Q66" s="2" t="str">
        <f>IF(SUMPRODUCT(--ISNUMBER(SEARCH('National Domains'!$A$2:$A$48,L66)))&gt;0,"Yes","No")</f>
        <v>Yes</v>
      </c>
      <c r="R66" s="2" t="str">
        <f>IF(COUNTIFS(Calibration!$A:$A,A66,Calibration!$B:$B,B66)&gt;0,"Yes","No")</f>
        <v>No</v>
      </c>
      <c r="S66" s="6"/>
    </row>
    <row r="67" spans="1:19" ht="34.5" customHeight="1" x14ac:dyDescent="0.2">
      <c r="A67" s="2">
        <v>27</v>
      </c>
      <c r="B67" s="2">
        <v>5</v>
      </c>
      <c r="C67" s="2" t="s">
        <v>81</v>
      </c>
      <c r="D67" s="2" t="s">
        <v>39</v>
      </c>
      <c r="E67" s="2">
        <v>20040915</v>
      </c>
      <c r="F67" s="2">
        <v>20040929</v>
      </c>
      <c r="G67" s="2">
        <v>12444.5</v>
      </c>
      <c r="H67" s="2">
        <v>7496.5</v>
      </c>
      <c r="I67" s="2">
        <v>28</v>
      </c>
      <c r="J67" s="2" t="s">
        <v>26</v>
      </c>
      <c r="K67" s="2" t="s">
        <v>27</v>
      </c>
      <c r="L67" s="2" t="s">
        <v>688</v>
      </c>
      <c r="M67" s="7" t="s">
        <v>689</v>
      </c>
      <c r="N67" s="7" t="s">
        <v>703</v>
      </c>
      <c r="O67" s="2"/>
      <c r="P67" s="2"/>
      <c r="Q67" s="2" t="str">
        <f>IF(SUMPRODUCT(--ISNUMBER(SEARCH('National Domains'!$A$2:$A$48,L67)))&gt;0,"Yes","No")</f>
        <v>Yes</v>
      </c>
      <c r="R67" s="2" t="str">
        <f>IF(COUNTIFS(Calibration!$A:$A,A67,Calibration!$B:$B,B67)&gt;0,"Yes","No")</f>
        <v>No</v>
      </c>
      <c r="S67" s="6"/>
    </row>
    <row r="68" spans="1:19" ht="34.5" customHeight="1" x14ac:dyDescent="0.2">
      <c r="A68" s="2">
        <v>29</v>
      </c>
      <c r="B68" s="2">
        <v>1</v>
      </c>
      <c r="C68" s="2" t="s">
        <v>83</v>
      </c>
      <c r="D68" s="2" t="s">
        <v>39</v>
      </c>
      <c r="E68" s="2">
        <v>20050709</v>
      </c>
      <c r="F68" s="2">
        <v>20050711</v>
      </c>
      <c r="G68" s="2">
        <v>4017</v>
      </c>
      <c r="H68" s="2">
        <v>2495</v>
      </c>
      <c r="I68" s="2">
        <v>15</v>
      </c>
      <c r="J68" s="2" t="s">
        <v>84</v>
      </c>
      <c r="K68" s="2" t="s">
        <v>15</v>
      </c>
      <c r="L68" s="2" t="s">
        <v>704</v>
      </c>
      <c r="M68" s="7" t="s">
        <v>705</v>
      </c>
      <c r="N68" s="7" t="s">
        <v>706</v>
      </c>
      <c r="O68" s="2"/>
      <c r="P68" s="2"/>
      <c r="Q68" s="2" t="str">
        <f>IF(SUMPRODUCT(--ISNUMBER(SEARCH('National Domains'!$A$2:$A$48,L68)))&gt;0,"Yes","No")</f>
        <v>No</v>
      </c>
      <c r="R68" s="2" t="str">
        <f>IF(COUNTIFS(Calibration!$A:$A,A68,Calibration!$B:$B,B68)&gt;0,"Yes","No")</f>
        <v>No</v>
      </c>
      <c r="S68" s="6"/>
    </row>
    <row r="69" spans="1:19" ht="34.5" customHeight="1" x14ac:dyDescent="0.2">
      <c r="A69" s="2">
        <v>29</v>
      </c>
      <c r="B69" s="2">
        <v>2</v>
      </c>
      <c r="C69" s="2" t="s">
        <v>83</v>
      </c>
      <c r="D69" s="2" t="s">
        <v>39</v>
      </c>
      <c r="E69" s="2">
        <v>20050709</v>
      </c>
      <c r="F69" s="2">
        <v>20050711</v>
      </c>
      <c r="G69" s="2">
        <v>4017</v>
      </c>
      <c r="H69" s="2">
        <v>2495</v>
      </c>
      <c r="I69" s="2">
        <v>15</v>
      </c>
      <c r="J69" s="2" t="s">
        <v>84</v>
      </c>
      <c r="K69" s="2" t="s">
        <v>15</v>
      </c>
      <c r="L69" s="2" t="s">
        <v>707</v>
      </c>
      <c r="M69" s="7" t="s">
        <v>708</v>
      </c>
      <c r="N69" s="7" t="s">
        <v>709</v>
      </c>
      <c r="O69" s="2"/>
      <c r="P69" s="2"/>
      <c r="Q69" s="2" t="str">
        <f>IF(SUMPRODUCT(--ISNUMBER(SEARCH('National Domains'!$A$2:$A$48,L69)))&gt;0,"Yes","No")</f>
        <v>Yes</v>
      </c>
      <c r="R69" s="2" t="str">
        <f>IF(COUNTIFS(Calibration!$A:$A,A69,Calibration!$B:$B,B69)&gt;0,"Yes","No")</f>
        <v>No</v>
      </c>
      <c r="S69" s="6"/>
    </row>
    <row r="70" spans="1:19" ht="23.25" customHeight="1" x14ac:dyDescent="0.2">
      <c r="A70" s="2">
        <v>29</v>
      </c>
      <c r="B70" s="2">
        <v>3</v>
      </c>
      <c r="C70" s="2" t="s">
        <v>83</v>
      </c>
      <c r="D70" s="2" t="s">
        <v>39</v>
      </c>
      <c r="E70" s="2">
        <v>20050709</v>
      </c>
      <c r="F70" s="2">
        <v>20050711</v>
      </c>
      <c r="G70" s="2">
        <v>4017</v>
      </c>
      <c r="H70" s="2">
        <v>2495</v>
      </c>
      <c r="I70" s="2">
        <v>15</v>
      </c>
      <c r="J70" s="2" t="s">
        <v>84</v>
      </c>
      <c r="K70" s="2" t="s">
        <v>15</v>
      </c>
      <c r="L70" s="2" t="s">
        <v>710</v>
      </c>
      <c r="M70" s="7" t="s">
        <v>711</v>
      </c>
      <c r="N70" s="7" t="s">
        <v>712</v>
      </c>
      <c r="O70" s="2"/>
      <c r="P70" s="2"/>
      <c r="Q70" s="2" t="str">
        <f>IF(SUMPRODUCT(--ISNUMBER(SEARCH('National Domains'!$A$2:$A$48,L70)))&gt;0,"Yes","No")</f>
        <v>Yes</v>
      </c>
      <c r="R70" s="2" t="str">
        <f>IF(COUNTIFS(Calibration!$A:$A,A70,Calibration!$B:$B,B70)&gt;0,"Yes","No")</f>
        <v>No</v>
      </c>
      <c r="S70" s="6"/>
    </row>
    <row r="71" spans="1:19" ht="34.5" customHeight="1" x14ac:dyDescent="0.2">
      <c r="A71" s="2">
        <v>29</v>
      </c>
      <c r="B71" s="2">
        <v>4</v>
      </c>
      <c r="C71" s="2" t="s">
        <v>83</v>
      </c>
      <c r="D71" s="2" t="s">
        <v>39</v>
      </c>
      <c r="E71" s="2">
        <v>20050709</v>
      </c>
      <c r="F71" s="2">
        <v>20050711</v>
      </c>
      <c r="G71" s="2">
        <v>4017</v>
      </c>
      <c r="H71" s="2">
        <v>2495</v>
      </c>
      <c r="I71" s="2">
        <v>15</v>
      </c>
      <c r="J71" s="2" t="s">
        <v>84</v>
      </c>
      <c r="K71" s="2" t="s">
        <v>15</v>
      </c>
      <c r="L71" s="2" t="s">
        <v>713</v>
      </c>
      <c r="M71" s="7" t="s">
        <v>714</v>
      </c>
      <c r="N71" s="7" t="s">
        <v>715</v>
      </c>
      <c r="O71" s="2"/>
      <c r="P71" s="2"/>
      <c r="Q71" s="2" t="str">
        <f>IF(SUMPRODUCT(--ISNUMBER(SEARCH('National Domains'!$A$2:$A$48,L71)))&gt;0,"Yes","No")</f>
        <v>No</v>
      </c>
      <c r="R71" s="2" t="str">
        <f>IF(COUNTIFS(Calibration!$A:$A,A71,Calibration!$B:$B,B71)&gt;0,"Yes","No")</f>
        <v>No</v>
      </c>
      <c r="S71" s="6"/>
    </row>
    <row r="72" spans="1:19" ht="34.5" customHeight="1" x14ac:dyDescent="0.2">
      <c r="A72" s="2">
        <v>29</v>
      </c>
      <c r="B72" s="2">
        <v>5</v>
      </c>
      <c r="C72" s="2" t="s">
        <v>83</v>
      </c>
      <c r="D72" s="2" t="s">
        <v>39</v>
      </c>
      <c r="E72" s="2">
        <v>20050709</v>
      </c>
      <c r="F72" s="2">
        <v>20050711</v>
      </c>
      <c r="G72" s="2">
        <v>4017</v>
      </c>
      <c r="H72" s="2">
        <v>2495</v>
      </c>
      <c r="I72" s="2">
        <v>15</v>
      </c>
      <c r="J72" s="2" t="s">
        <v>84</v>
      </c>
      <c r="K72" s="2" t="s">
        <v>15</v>
      </c>
      <c r="L72" s="2" t="s">
        <v>716</v>
      </c>
      <c r="M72" s="7" t="s">
        <v>717</v>
      </c>
      <c r="N72" s="7" t="s">
        <v>718</v>
      </c>
      <c r="O72" s="2"/>
      <c r="P72" s="2"/>
      <c r="Q72" s="2" t="str">
        <f>IF(SUMPRODUCT(--ISNUMBER(SEARCH('National Domains'!$A$2:$A$48,L72)))&gt;0,"Yes","No")</f>
        <v>No</v>
      </c>
      <c r="R72" s="2" t="str">
        <f>IF(COUNTIFS(Calibration!$A:$A,A72,Calibration!$B:$B,B72)&gt;0,"Yes","No")</f>
        <v>No</v>
      </c>
      <c r="S72" s="6"/>
    </row>
    <row r="73" spans="1:19" ht="34.5" customHeight="1" x14ac:dyDescent="0.2">
      <c r="A73" s="2">
        <v>29</v>
      </c>
      <c r="B73" s="2">
        <v>6</v>
      </c>
      <c r="C73" s="2" t="s">
        <v>83</v>
      </c>
      <c r="D73" s="2" t="s">
        <v>39</v>
      </c>
      <c r="E73" s="2">
        <v>20050709</v>
      </c>
      <c r="F73" s="2">
        <v>20050711</v>
      </c>
      <c r="G73" s="2">
        <v>4017</v>
      </c>
      <c r="H73" s="2">
        <v>2495</v>
      </c>
      <c r="I73" s="2">
        <v>15</v>
      </c>
      <c r="J73" s="2" t="s">
        <v>84</v>
      </c>
      <c r="K73" s="2" t="s">
        <v>15</v>
      </c>
      <c r="L73" s="2" t="s">
        <v>719</v>
      </c>
      <c r="M73" s="7" t="s">
        <v>720</v>
      </c>
      <c r="N73" s="7" t="s">
        <v>721</v>
      </c>
      <c r="O73" s="2"/>
      <c r="P73" s="2"/>
      <c r="Q73" s="2" t="str">
        <f>IF(SUMPRODUCT(--ISNUMBER(SEARCH('National Domains'!$A$2:$A$48,L73)))&gt;0,"Yes","No")</f>
        <v>Yes</v>
      </c>
      <c r="R73" s="2" t="str">
        <f>IF(COUNTIFS(Calibration!$A:$A,A73,Calibration!$B:$B,B73)&gt;0,"Yes","No")</f>
        <v>No</v>
      </c>
      <c r="S73" s="6"/>
    </row>
    <row r="74" spans="1:19" ht="34.5" customHeight="1" x14ac:dyDescent="0.2">
      <c r="A74" s="2">
        <v>30</v>
      </c>
      <c r="B74" s="2">
        <v>1</v>
      </c>
      <c r="C74" s="2" t="s">
        <v>85</v>
      </c>
      <c r="D74" s="2" t="s">
        <v>39</v>
      </c>
      <c r="E74" s="2">
        <v>20050825</v>
      </c>
      <c r="F74" s="2">
        <v>20050830</v>
      </c>
      <c r="G74" s="2">
        <v>201297.5</v>
      </c>
      <c r="H74" s="2">
        <v>125029.5</v>
      </c>
      <c r="I74" s="2">
        <v>1833</v>
      </c>
      <c r="J74" s="2" t="s">
        <v>86</v>
      </c>
      <c r="K74" s="2" t="s">
        <v>19</v>
      </c>
      <c r="L74" s="2" t="s">
        <v>722</v>
      </c>
      <c r="M74" s="7" t="s">
        <v>723</v>
      </c>
      <c r="N74" s="7" t="s">
        <v>724</v>
      </c>
      <c r="O74" s="2"/>
      <c r="P74" s="2"/>
      <c r="Q74" s="2" t="str">
        <f>IF(SUMPRODUCT(--ISNUMBER(SEARCH('National Domains'!$A$2:$A$48,L74)))&gt;0,"Yes","No")</f>
        <v>No</v>
      </c>
      <c r="R74" s="2" t="str">
        <f>IF(COUNTIFS(Calibration!$A:$A,A74,Calibration!$B:$B,B74)&gt;0,"Yes","No")</f>
        <v>No</v>
      </c>
      <c r="S74" s="6"/>
    </row>
    <row r="75" spans="1:19" ht="34.5" customHeight="1" x14ac:dyDescent="0.2">
      <c r="A75" s="2">
        <v>30</v>
      </c>
      <c r="B75" s="2">
        <v>2</v>
      </c>
      <c r="C75" s="2" t="s">
        <v>85</v>
      </c>
      <c r="D75" s="2" t="s">
        <v>39</v>
      </c>
      <c r="E75" s="2">
        <v>20050825</v>
      </c>
      <c r="F75" s="2">
        <v>20050830</v>
      </c>
      <c r="G75" s="2">
        <v>201297.5</v>
      </c>
      <c r="H75" s="2">
        <v>125029.5</v>
      </c>
      <c r="I75" s="2">
        <v>1833</v>
      </c>
      <c r="J75" s="2" t="s">
        <v>86</v>
      </c>
      <c r="K75" s="2" t="s">
        <v>19</v>
      </c>
      <c r="L75" s="2" t="s">
        <v>725</v>
      </c>
      <c r="M75" s="7" t="s">
        <v>726</v>
      </c>
      <c r="N75" s="7" t="s">
        <v>727</v>
      </c>
      <c r="O75" s="2"/>
      <c r="P75" s="2"/>
      <c r="Q75" s="2" t="str">
        <f>IF(SUMPRODUCT(--ISNUMBER(SEARCH('National Domains'!$A$2:$A$48,L75)))&gt;0,"Yes","No")</f>
        <v>Yes</v>
      </c>
      <c r="R75" s="2" t="str">
        <f>IF(COUNTIFS(Calibration!$A:$A,A75,Calibration!$B:$B,B75)&gt;0,"Yes","No")</f>
        <v>No</v>
      </c>
      <c r="S75" s="6"/>
    </row>
    <row r="76" spans="1:19" ht="34.5" customHeight="1" x14ac:dyDescent="0.2">
      <c r="A76" s="2">
        <v>30</v>
      </c>
      <c r="B76" s="2">
        <v>3</v>
      </c>
      <c r="C76" s="2" t="s">
        <v>85</v>
      </c>
      <c r="D76" s="2" t="s">
        <v>39</v>
      </c>
      <c r="E76" s="2">
        <v>20050825</v>
      </c>
      <c r="F76" s="2">
        <v>20050830</v>
      </c>
      <c r="G76" s="2">
        <v>201297.5</v>
      </c>
      <c r="H76" s="2">
        <v>125029.5</v>
      </c>
      <c r="I76" s="2">
        <v>1833</v>
      </c>
      <c r="J76" s="2" t="s">
        <v>86</v>
      </c>
      <c r="K76" s="2" t="s">
        <v>19</v>
      </c>
      <c r="L76" s="2" t="s">
        <v>728</v>
      </c>
      <c r="M76" s="7" t="s">
        <v>729</v>
      </c>
      <c r="N76" s="7" t="s">
        <v>730</v>
      </c>
      <c r="O76" s="2"/>
      <c r="P76" s="2"/>
      <c r="Q76" s="2" t="str">
        <f>IF(SUMPRODUCT(--ISNUMBER(SEARCH('National Domains'!$A$2:$A$48,L76)))&gt;0,"Yes","No")</f>
        <v>No</v>
      </c>
      <c r="R76" s="2" t="str">
        <f>IF(COUNTIFS(Calibration!$A:$A,A76,Calibration!$B:$B,B76)&gt;0,"Yes","No")</f>
        <v>No</v>
      </c>
      <c r="S76" s="6"/>
    </row>
    <row r="77" spans="1:19" ht="34.5" customHeight="1" x14ac:dyDescent="0.2">
      <c r="A77" s="2">
        <v>30</v>
      </c>
      <c r="B77" s="2">
        <v>4</v>
      </c>
      <c r="C77" s="2" t="s">
        <v>85</v>
      </c>
      <c r="D77" s="2" t="s">
        <v>39</v>
      </c>
      <c r="E77" s="2">
        <v>20050825</v>
      </c>
      <c r="F77" s="2">
        <v>20050830</v>
      </c>
      <c r="G77" s="2">
        <v>201297.5</v>
      </c>
      <c r="H77" s="2">
        <v>125029.5</v>
      </c>
      <c r="I77" s="2">
        <v>1833</v>
      </c>
      <c r="J77" s="2" t="s">
        <v>86</v>
      </c>
      <c r="K77" s="2" t="s">
        <v>19</v>
      </c>
      <c r="L77" s="2" t="s">
        <v>731</v>
      </c>
      <c r="M77" s="7" t="s">
        <v>732</v>
      </c>
      <c r="N77" s="7" t="s">
        <v>733</v>
      </c>
      <c r="O77" s="2"/>
      <c r="P77" s="2"/>
      <c r="Q77" s="2" t="str">
        <f>IF(SUMPRODUCT(--ISNUMBER(SEARCH('National Domains'!$A$2:$A$48,L77)))&gt;0,"Yes","No")</f>
        <v>No</v>
      </c>
      <c r="R77" s="2" t="str">
        <f>IF(COUNTIFS(Calibration!$A:$A,A77,Calibration!$B:$B,B77)&gt;0,"Yes","No")</f>
        <v>No</v>
      </c>
      <c r="S77" s="6"/>
    </row>
    <row r="78" spans="1:19" ht="34.5" customHeight="1" x14ac:dyDescent="0.2">
      <c r="A78" s="2">
        <v>30</v>
      </c>
      <c r="B78" s="2">
        <v>5</v>
      </c>
      <c r="C78" s="2" t="s">
        <v>85</v>
      </c>
      <c r="D78" s="2" t="s">
        <v>39</v>
      </c>
      <c r="E78" s="2">
        <v>20050825</v>
      </c>
      <c r="F78" s="2">
        <v>20050830</v>
      </c>
      <c r="G78" s="2">
        <v>201297.5</v>
      </c>
      <c r="H78" s="2">
        <v>125029.5</v>
      </c>
      <c r="I78" s="2">
        <v>1833</v>
      </c>
      <c r="J78" s="2" t="s">
        <v>86</v>
      </c>
      <c r="K78" s="2" t="s">
        <v>19</v>
      </c>
      <c r="L78" s="2" t="s">
        <v>734</v>
      </c>
      <c r="M78" s="7" t="s">
        <v>735</v>
      </c>
      <c r="N78" s="7" t="s">
        <v>736</v>
      </c>
      <c r="O78" s="2"/>
      <c r="P78" s="2"/>
      <c r="Q78" s="2" t="str">
        <f>IF(SUMPRODUCT(--ISNUMBER(SEARCH('National Domains'!$A$2:$A$48,L78)))&gt;0,"Yes","No")</f>
        <v>Yes</v>
      </c>
      <c r="R78" s="2" t="str">
        <f>IF(COUNTIFS(Calibration!$A:$A,A78,Calibration!$B:$B,B78)&gt;0,"Yes","No")</f>
        <v>No</v>
      </c>
      <c r="S78" s="6"/>
    </row>
    <row r="79" spans="1:19" ht="34.5" customHeight="1" x14ac:dyDescent="0.2">
      <c r="A79" s="2">
        <v>30</v>
      </c>
      <c r="B79" s="2">
        <v>6</v>
      </c>
      <c r="C79" s="2" t="s">
        <v>85</v>
      </c>
      <c r="D79" s="2" t="s">
        <v>39</v>
      </c>
      <c r="E79" s="2">
        <v>20050825</v>
      </c>
      <c r="F79" s="2">
        <v>20050830</v>
      </c>
      <c r="G79" s="2">
        <v>201297.5</v>
      </c>
      <c r="H79" s="2">
        <v>125029.5</v>
      </c>
      <c r="I79" s="2">
        <v>1833</v>
      </c>
      <c r="J79" s="2" t="s">
        <v>86</v>
      </c>
      <c r="K79" s="2" t="s">
        <v>19</v>
      </c>
      <c r="L79" s="2" t="s">
        <v>737</v>
      </c>
      <c r="M79" s="7" t="s">
        <v>738</v>
      </c>
      <c r="N79" s="7" t="s">
        <v>739</v>
      </c>
      <c r="O79" s="2"/>
      <c r="P79" s="2"/>
      <c r="Q79" s="2" t="str">
        <f>IF(SUMPRODUCT(--ISNUMBER(SEARCH('National Domains'!$A$2:$A$48,L79)))&gt;0,"Yes","No")</f>
        <v>Yes</v>
      </c>
      <c r="R79" s="2" t="str">
        <f>IF(COUNTIFS(Calibration!$A:$A,A79,Calibration!$B:$B,B79)&gt;0,"Yes","No")</f>
        <v>No</v>
      </c>
      <c r="S79" s="6"/>
    </row>
    <row r="80" spans="1:19" ht="45.75" customHeight="1" x14ac:dyDescent="0.2">
      <c r="A80" s="2">
        <v>30</v>
      </c>
      <c r="B80" s="2">
        <v>7</v>
      </c>
      <c r="C80" s="2" t="s">
        <v>85</v>
      </c>
      <c r="D80" s="2" t="s">
        <v>39</v>
      </c>
      <c r="E80" s="2">
        <v>20050825</v>
      </c>
      <c r="F80" s="2">
        <v>20050830</v>
      </c>
      <c r="G80" s="2">
        <v>201297.5</v>
      </c>
      <c r="H80" s="2">
        <v>125029.5</v>
      </c>
      <c r="I80" s="2">
        <v>1833</v>
      </c>
      <c r="J80" s="2" t="s">
        <v>86</v>
      </c>
      <c r="K80" s="2" t="s">
        <v>19</v>
      </c>
      <c r="L80" s="2" t="s">
        <v>740</v>
      </c>
      <c r="M80" s="7" t="s">
        <v>741</v>
      </c>
      <c r="N80" s="7" t="s">
        <v>742</v>
      </c>
      <c r="O80" s="2"/>
      <c r="P80" s="2"/>
      <c r="Q80" s="2" t="str">
        <f>IF(SUMPRODUCT(--ISNUMBER(SEARCH('National Domains'!$A$2:$A$48,L80)))&gt;0,"Yes","No")</f>
        <v>Yes</v>
      </c>
      <c r="R80" s="2" t="str">
        <f>IF(COUNTIFS(Calibration!$A:$A,A80,Calibration!$B:$B,B80)&gt;0,"Yes","No")</f>
        <v>No</v>
      </c>
      <c r="S80" s="6"/>
    </row>
    <row r="81" spans="1:19" ht="34.5" customHeight="1" x14ac:dyDescent="0.2">
      <c r="A81" s="2">
        <v>31</v>
      </c>
      <c r="B81" s="2">
        <v>1</v>
      </c>
      <c r="C81" s="2" t="s">
        <v>87</v>
      </c>
      <c r="D81" s="2" t="s">
        <v>29</v>
      </c>
      <c r="E81" s="2">
        <v>20050301</v>
      </c>
      <c r="F81" s="2">
        <v>20050831</v>
      </c>
      <c r="G81" s="2">
        <v>2433.6</v>
      </c>
      <c r="H81" s="2">
        <v>1474.8</v>
      </c>
      <c r="I81" s="2">
        <v>0</v>
      </c>
      <c r="J81" s="2" t="s">
        <v>36</v>
      </c>
      <c r="K81" s="2" t="s">
        <v>37</v>
      </c>
      <c r="L81" s="2" t="s">
        <v>743</v>
      </c>
      <c r="M81" s="7" t="s">
        <v>744</v>
      </c>
      <c r="N81" s="7" t="s">
        <v>745</v>
      </c>
      <c r="O81" s="2"/>
      <c r="P81" s="2"/>
      <c r="Q81" s="2" t="str">
        <f>IF(SUMPRODUCT(--ISNUMBER(SEARCH('National Domains'!$A$2:$A$48,L81)))&gt;0,"Yes","No")</f>
        <v>Yes</v>
      </c>
      <c r="R81" s="2" t="str">
        <f>IF(COUNTIFS(Calibration!$A:$A,A81,Calibration!$B:$B,B81)&gt;0,"Yes","No")</f>
        <v>No</v>
      </c>
      <c r="S81" s="6"/>
    </row>
    <row r="82" spans="1:19" ht="34.5" customHeight="1" x14ac:dyDescent="0.2">
      <c r="A82" s="2">
        <v>31</v>
      </c>
      <c r="B82" s="2">
        <v>2</v>
      </c>
      <c r="C82" s="2" t="s">
        <v>87</v>
      </c>
      <c r="D82" s="2" t="s">
        <v>29</v>
      </c>
      <c r="E82" s="2">
        <v>20050301</v>
      </c>
      <c r="F82" s="2">
        <v>20050831</v>
      </c>
      <c r="G82" s="2">
        <v>2433.6</v>
      </c>
      <c r="H82" s="2">
        <v>1474.8</v>
      </c>
      <c r="I82" s="2">
        <v>0</v>
      </c>
      <c r="J82" s="2" t="s">
        <v>36</v>
      </c>
      <c r="K82" s="2" t="s">
        <v>37</v>
      </c>
      <c r="L82" s="2" t="s">
        <v>746</v>
      </c>
      <c r="M82" s="7" t="s">
        <v>747</v>
      </c>
      <c r="N82" s="7" t="s">
        <v>748</v>
      </c>
      <c r="O82" s="2"/>
      <c r="P82" s="2"/>
      <c r="Q82" s="2" t="str">
        <f>IF(SUMPRODUCT(--ISNUMBER(SEARCH('National Domains'!$A$2:$A$48,L82)))&gt;0,"Yes","No")</f>
        <v>Yes</v>
      </c>
      <c r="R82" s="2" t="str">
        <f>IF(COUNTIFS(Calibration!$A:$A,A82,Calibration!$B:$B,B82)&gt;0,"Yes","No")</f>
        <v>No</v>
      </c>
      <c r="S82" s="6"/>
    </row>
    <row r="83" spans="1:19" ht="34.5" customHeight="1" x14ac:dyDescent="0.2">
      <c r="A83" s="2">
        <v>31</v>
      </c>
      <c r="B83" s="2">
        <v>3</v>
      </c>
      <c r="C83" s="2" t="s">
        <v>87</v>
      </c>
      <c r="D83" s="2" t="s">
        <v>29</v>
      </c>
      <c r="E83" s="2">
        <v>20050301</v>
      </c>
      <c r="F83" s="2">
        <v>20050831</v>
      </c>
      <c r="G83" s="2">
        <v>2433.6</v>
      </c>
      <c r="H83" s="2">
        <v>1474.8</v>
      </c>
      <c r="I83" s="2">
        <v>0</v>
      </c>
      <c r="J83" s="2" t="s">
        <v>36</v>
      </c>
      <c r="K83" s="2" t="s">
        <v>37</v>
      </c>
      <c r="L83" s="2" t="s">
        <v>749</v>
      </c>
      <c r="M83" s="7" t="s">
        <v>750</v>
      </c>
      <c r="N83" s="7" t="s">
        <v>751</v>
      </c>
      <c r="O83" s="2"/>
      <c r="P83" s="2"/>
      <c r="Q83" s="2" t="str">
        <f>IF(SUMPRODUCT(--ISNUMBER(SEARCH('National Domains'!$A$2:$A$48,L83)))&gt;0,"Yes","No")</f>
        <v>Yes</v>
      </c>
      <c r="R83" s="2" t="str">
        <f>IF(COUNTIFS(Calibration!$A:$A,A83,Calibration!$B:$B,B83)&gt;0,"Yes","No")</f>
        <v>No</v>
      </c>
      <c r="S83" s="6"/>
    </row>
    <row r="84" spans="1:19" ht="34.5" customHeight="1" x14ac:dyDescent="0.2">
      <c r="A84" s="2">
        <v>32</v>
      </c>
      <c r="B84" s="2">
        <v>1</v>
      </c>
      <c r="C84" s="2" t="s">
        <v>88</v>
      </c>
      <c r="D84" s="2" t="s">
        <v>39</v>
      </c>
      <c r="E84" s="2">
        <v>20050920</v>
      </c>
      <c r="F84" s="2">
        <v>20050924</v>
      </c>
      <c r="G84" s="2">
        <v>29415.200000000001</v>
      </c>
      <c r="H84" s="2">
        <v>18500.099999999999</v>
      </c>
      <c r="I84" s="2">
        <v>119</v>
      </c>
      <c r="J84" s="2" t="s">
        <v>40</v>
      </c>
      <c r="K84" s="2" t="s">
        <v>41</v>
      </c>
      <c r="L84" s="2" t="s">
        <v>752</v>
      </c>
      <c r="M84" s="7" t="s">
        <v>753</v>
      </c>
      <c r="N84" s="7" t="s">
        <v>754</v>
      </c>
      <c r="O84" s="2"/>
      <c r="P84" s="2"/>
      <c r="Q84" s="2" t="str">
        <f>IF(SUMPRODUCT(--ISNUMBER(SEARCH('National Domains'!$A$2:$A$48,L84)))&gt;0,"Yes","No")</f>
        <v>No</v>
      </c>
      <c r="R84" s="2" t="str">
        <f>IF(COUNTIFS(Calibration!$A:$A,A84,Calibration!$B:$B,B84)&gt;0,"Yes","No")</f>
        <v>No</v>
      </c>
      <c r="S84" s="6"/>
    </row>
    <row r="85" spans="1:19" ht="34.5" customHeight="1" x14ac:dyDescent="0.2">
      <c r="A85" s="2">
        <v>32</v>
      </c>
      <c r="B85" s="2">
        <v>2</v>
      </c>
      <c r="C85" s="2" t="s">
        <v>88</v>
      </c>
      <c r="D85" s="2" t="s">
        <v>39</v>
      </c>
      <c r="E85" s="2">
        <v>20050920</v>
      </c>
      <c r="F85" s="2">
        <v>20050924</v>
      </c>
      <c r="G85" s="2">
        <v>29415.200000000001</v>
      </c>
      <c r="H85" s="2">
        <v>18500.099999999999</v>
      </c>
      <c r="I85" s="2">
        <v>119</v>
      </c>
      <c r="J85" s="2" t="s">
        <v>40</v>
      </c>
      <c r="K85" s="2" t="s">
        <v>41</v>
      </c>
      <c r="L85" s="2" t="s">
        <v>755</v>
      </c>
      <c r="M85" s="7" t="s">
        <v>756</v>
      </c>
      <c r="N85" s="7" t="s">
        <v>757</v>
      </c>
      <c r="O85" s="2"/>
      <c r="P85" s="2"/>
      <c r="Q85" s="2" t="str">
        <f>IF(SUMPRODUCT(--ISNUMBER(SEARCH('National Domains'!$A$2:$A$48,L85)))&gt;0,"Yes","No")</f>
        <v>Yes</v>
      </c>
      <c r="R85" s="2" t="str">
        <f>IF(COUNTIFS(Calibration!$A:$A,A85,Calibration!$B:$B,B85)&gt;0,"Yes","No")</f>
        <v>No</v>
      </c>
      <c r="S85" s="6"/>
    </row>
    <row r="86" spans="1:19" ht="34.5" customHeight="1" x14ac:dyDescent="0.2">
      <c r="A86" s="2">
        <v>32</v>
      </c>
      <c r="B86" s="2">
        <v>3</v>
      </c>
      <c r="C86" s="2" t="s">
        <v>88</v>
      </c>
      <c r="D86" s="2" t="s">
        <v>39</v>
      </c>
      <c r="E86" s="2">
        <v>20050920</v>
      </c>
      <c r="F86" s="2">
        <v>20050924</v>
      </c>
      <c r="G86" s="2">
        <v>29415.200000000001</v>
      </c>
      <c r="H86" s="2">
        <v>18500.099999999999</v>
      </c>
      <c r="I86" s="2">
        <v>119</v>
      </c>
      <c r="J86" s="2" t="s">
        <v>40</v>
      </c>
      <c r="K86" s="2" t="s">
        <v>41</v>
      </c>
      <c r="L86" s="2" t="s">
        <v>758</v>
      </c>
      <c r="M86" s="7" t="s">
        <v>759</v>
      </c>
      <c r="N86" s="7" t="s">
        <v>760</v>
      </c>
      <c r="O86" s="2"/>
      <c r="P86" s="2"/>
      <c r="Q86" s="2" t="str">
        <f>IF(SUMPRODUCT(--ISNUMBER(SEARCH('National Domains'!$A$2:$A$48,L86)))&gt;0,"Yes","No")</f>
        <v>Yes</v>
      </c>
      <c r="R86" s="2" t="str">
        <f>IF(COUNTIFS(Calibration!$A:$A,A86,Calibration!$B:$B,B86)&gt;0,"Yes","No")</f>
        <v>No</v>
      </c>
      <c r="S86" s="6"/>
    </row>
    <row r="87" spans="1:19" ht="34.5" customHeight="1" x14ac:dyDescent="0.2">
      <c r="A87" s="2">
        <v>32</v>
      </c>
      <c r="B87" s="2">
        <v>4</v>
      </c>
      <c r="C87" s="2" t="s">
        <v>88</v>
      </c>
      <c r="D87" s="2" t="s">
        <v>39</v>
      </c>
      <c r="E87" s="2">
        <v>20050920</v>
      </c>
      <c r="F87" s="2">
        <v>20050924</v>
      </c>
      <c r="G87" s="2">
        <v>29415.200000000001</v>
      </c>
      <c r="H87" s="2">
        <v>18500.099999999999</v>
      </c>
      <c r="I87" s="2">
        <v>119</v>
      </c>
      <c r="J87" s="2" t="s">
        <v>40</v>
      </c>
      <c r="K87" s="2" t="s">
        <v>41</v>
      </c>
      <c r="L87" s="2" t="s">
        <v>761</v>
      </c>
      <c r="M87" s="7" t="s">
        <v>762</v>
      </c>
      <c r="N87" s="7" t="s">
        <v>763</v>
      </c>
      <c r="O87" s="2"/>
      <c r="P87" s="2"/>
      <c r="Q87" s="2" t="str">
        <f>IF(SUMPRODUCT(--ISNUMBER(SEARCH('National Domains'!$A$2:$A$48,L87)))&gt;0,"Yes","No")</f>
        <v>Yes</v>
      </c>
      <c r="R87" s="2" t="str">
        <f>IF(COUNTIFS(Calibration!$A:$A,A87,Calibration!$B:$B,B87)&gt;0,"Yes","No")</f>
        <v>No</v>
      </c>
      <c r="S87" s="6"/>
    </row>
    <row r="88" spans="1:19" ht="34.5" customHeight="1" x14ac:dyDescent="0.2">
      <c r="A88" s="2">
        <v>32</v>
      </c>
      <c r="B88" s="2">
        <v>5</v>
      </c>
      <c r="C88" s="2" t="s">
        <v>88</v>
      </c>
      <c r="D88" s="2" t="s">
        <v>39</v>
      </c>
      <c r="E88" s="2">
        <v>20050920</v>
      </c>
      <c r="F88" s="2">
        <v>20050924</v>
      </c>
      <c r="G88" s="2">
        <v>29415.200000000001</v>
      </c>
      <c r="H88" s="2">
        <v>18500.099999999999</v>
      </c>
      <c r="I88" s="2">
        <v>119</v>
      </c>
      <c r="J88" s="2" t="s">
        <v>40</v>
      </c>
      <c r="K88" s="2" t="s">
        <v>41</v>
      </c>
      <c r="L88" s="2" t="s">
        <v>764</v>
      </c>
      <c r="M88" s="7" t="s">
        <v>765</v>
      </c>
      <c r="N88" s="7" t="s">
        <v>766</v>
      </c>
      <c r="O88" s="2"/>
      <c r="P88" s="2"/>
      <c r="Q88" s="2" t="str">
        <f>IF(SUMPRODUCT(--ISNUMBER(SEARCH('National Domains'!$A$2:$A$48,L88)))&gt;0,"Yes","No")</f>
        <v>Yes</v>
      </c>
      <c r="R88" s="2" t="str">
        <f>IF(COUNTIFS(Calibration!$A:$A,A88,Calibration!$B:$B,B88)&gt;0,"Yes","No")</f>
        <v>No</v>
      </c>
      <c r="S88" s="6"/>
    </row>
    <row r="89" spans="1:19" ht="34.5" customHeight="1" x14ac:dyDescent="0.2">
      <c r="A89" s="2">
        <v>32</v>
      </c>
      <c r="B89" s="2">
        <v>6</v>
      </c>
      <c r="C89" s="2" t="s">
        <v>88</v>
      </c>
      <c r="D89" s="2" t="s">
        <v>39</v>
      </c>
      <c r="E89" s="2">
        <v>20050920</v>
      </c>
      <c r="F89" s="2">
        <v>20050924</v>
      </c>
      <c r="G89" s="2">
        <v>29415.200000000001</v>
      </c>
      <c r="H89" s="2">
        <v>18500.099999999999</v>
      </c>
      <c r="I89" s="2">
        <v>119</v>
      </c>
      <c r="J89" s="2" t="s">
        <v>40</v>
      </c>
      <c r="K89" s="2" t="s">
        <v>41</v>
      </c>
      <c r="L89" s="2" t="s">
        <v>767</v>
      </c>
      <c r="M89" s="7" t="s">
        <v>768</v>
      </c>
      <c r="N89" s="7" t="s">
        <v>769</v>
      </c>
      <c r="O89" s="2"/>
      <c r="P89" s="2"/>
      <c r="Q89" s="2" t="str">
        <f>IF(SUMPRODUCT(--ISNUMBER(SEARCH('National Domains'!$A$2:$A$48,L89)))&gt;0,"Yes","No")</f>
        <v>Yes</v>
      </c>
      <c r="R89" s="2" t="str">
        <f>IF(COUNTIFS(Calibration!$A:$A,A89,Calibration!$B:$B,B89)&gt;0,"Yes","No")</f>
        <v>No</v>
      </c>
      <c r="S89" s="6"/>
    </row>
    <row r="90" spans="1:19" ht="45.75" customHeight="1" x14ac:dyDescent="0.2">
      <c r="A90" s="2">
        <v>32</v>
      </c>
      <c r="B90" s="2">
        <v>7</v>
      </c>
      <c r="C90" s="2" t="s">
        <v>88</v>
      </c>
      <c r="D90" s="2" t="s">
        <v>39</v>
      </c>
      <c r="E90" s="2">
        <v>20050920</v>
      </c>
      <c r="F90" s="2">
        <v>20050924</v>
      </c>
      <c r="G90" s="2">
        <v>29415.200000000001</v>
      </c>
      <c r="H90" s="2">
        <v>18500.099999999999</v>
      </c>
      <c r="I90" s="2">
        <v>119</v>
      </c>
      <c r="J90" s="2" t="s">
        <v>40</v>
      </c>
      <c r="K90" s="2" t="s">
        <v>41</v>
      </c>
      <c r="L90" s="2" t="s">
        <v>770</v>
      </c>
      <c r="M90" s="7" t="s">
        <v>771</v>
      </c>
      <c r="N90" s="7" t="s">
        <v>772</v>
      </c>
      <c r="O90" s="2"/>
      <c r="P90" s="2"/>
      <c r="Q90" s="2" t="str">
        <f>IF(SUMPRODUCT(--ISNUMBER(SEARCH('National Domains'!$A$2:$A$48,L90)))&gt;0,"Yes","No")</f>
        <v>No</v>
      </c>
      <c r="R90" s="2" t="str">
        <f>IF(COUNTIFS(Calibration!$A:$A,A90,Calibration!$B:$B,B90)&gt;0,"Yes","No")</f>
        <v>No</v>
      </c>
      <c r="S90" s="6"/>
    </row>
    <row r="91" spans="1:19" ht="34.5" customHeight="1" x14ac:dyDescent="0.2">
      <c r="A91" s="2">
        <v>32</v>
      </c>
      <c r="B91" s="2">
        <v>8</v>
      </c>
      <c r="C91" s="2" t="s">
        <v>88</v>
      </c>
      <c r="D91" s="2" t="s">
        <v>39</v>
      </c>
      <c r="E91" s="2">
        <v>20050920</v>
      </c>
      <c r="F91" s="2">
        <v>20050924</v>
      </c>
      <c r="G91" s="2">
        <v>29415.200000000001</v>
      </c>
      <c r="H91" s="2">
        <v>18500.099999999999</v>
      </c>
      <c r="I91" s="2">
        <v>119</v>
      </c>
      <c r="J91" s="2" t="s">
        <v>40</v>
      </c>
      <c r="K91" s="2" t="s">
        <v>41</v>
      </c>
      <c r="L91" s="2" t="s">
        <v>773</v>
      </c>
      <c r="M91" s="7" t="s">
        <v>774</v>
      </c>
      <c r="N91" s="7" t="s">
        <v>775</v>
      </c>
      <c r="O91" s="2"/>
      <c r="P91" s="2"/>
      <c r="Q91" s="2" t="str">
        <f>IF(SUMPRODUCT(--ISNUMBER(SEARCH('National Domains'!$A$2:$A$48,L91)))&gt;0,"Yes","No")</f>
        <v>No</v>
      </c>
      <c r="R91" s="2" t="str">
        <f>IF(COUNTIFS(Calibration!$A:$A,A91,Calibration!$B:$B,B91)&gt;0,"Yes","No")</f>
        <v>No</v>
      </c>
      <c r="S91" s="6"/>
    </row>
    <row r="92" spans="1:19" ht="34.5" customHeight="1" x14ac:dyDescent="0.2">
      <c r="A92" s="2">
        <v>32</v>
      </c>
      <c r="B92" s="2">
        <v>9</v>
      </c>
      <c r="C92" s="2" t="s">
        <v>88</v>
      </c>
      <c r="D92" s="2" t="s">
        <v>39</v>
      </c>
      <c r="E92" s="2">
        <v>20050920</v>
      </c>
      <c r="F92" s="2">
        <v>20050924</v>
      </c>
      <c r="G92" s="2">
        <v>29415.200000000001</v>
      </c>
      <c r="H92" s="2">
        <v>18500.099999999999</v>
      </c>
      <c r="I92" s="2">
        <v>119</v>
      </c>
      <c r="J92" s="2" t="s">
        <v>40</v>
      </c>
      <c r="K92" s="2" t="s">
        <v>41</v>
      </c>
      <c r="L92" s="2" t="s">
        <v>776</v>
      </c>
      <c r="M92" s="7" t="s">
        <v>777</v>
      </c>
      <c r="N92" s="7" t="s">
        <v>778</v>
      </c>
      <c r="O92" s="2"/>
      <c r="P92" s="2"/>
      <c r="Q92" s="2" t="str">
        <f>IF(SUMPRODUCT(--ISNUMBER(SEARCH('National Domains'!$A$2:$A$48,L92)))&gt;0,"Yes","No")</f>
        <v>Yes</v>
      </c>
      <c r="R92" s="2" t="str">
        <f>IF(COUNTIFS(Calibration!$A:$A,A92,Calibration!$B:$B,B92)&gt;0,"Yes","No")</f>
        <v>No</v>
      </c>
      <c r="S92" s="6"/>
    </row>
    <row r="93" spans="1:19" ht="34.5" customHeight="1" x14ac:dyDescent="0.2">
      <c r="A93" s="2">
        <v>32</v>
      </c>
      <c r="B93" s="2">
        <v>10</v>
      </c>
      <c r="C93" s="2" t="s">
        <v>88</v>
      </c>
      <c r="D93" s="2" t="s">
        <v>39</v>
      </c>
      <c r="E93" s="2">
        <v>20050920</v>
      </c>
      <c r="F93" s="2">
        <v>20050924</v>
      </c>
      <c r="G93" s="2">
        <v>29415.200000000001</v>
      </c>
      <c r="H93" s="2">
        <v>18500.099999999999</v>
      </c>
      <c r="I93" s="2">
        <v>119</v>
      </c>
      <c r="J93" s="2" t="s">
        <v>40</v>
      </c>
      <c r="K93" s="2" t="s">
        <v>41</v>
      </c>
      <c r="L93" s="2" t="s">
        <v>779</v>
      </c>
      <c r="M93" s="7" t="s">
        <v>780</v>
      </c>
      <c r="N93" s="7" t="s">
        <v>781</v>
      </c>
      <c r="O93" s="2"/>
      <c r="P93" s="2"/>
      <c r="Q93" s="2" t="str">
        <f>IF(SUMPRODUCT(--ISNUMBER(SEARCH('National Domains'!$A$2:$A$48,L93)))&gt;0,"Yes","No")</f>
        <v>Yes</v>
      </c>
      <c r="R93" s="2" t="str">
        <f>IF(COUNTIFS(Calibration!$A:$A,A93,Calibration!$B:$B,B93)&gt;0,"Yes","No")</f>
        <v>No</v>
      </c>
      <c r="S93" s="6"/>
    </row>
    <row r="94" spans="1:19" ht="34.5" customHeight="1" x14ac:dyDescent="0.2">
      <c r="A94" s="2">
        <v>33</v>
      </c>
      <c r="B94" s="2">
        <v>1</v>
      </c>
      <c r="C94" s="2" t="s">
        <v>89</v>
      </c>
      <c r="D94" s="2" t="s">
        <v>39</v>
      </c>
      <c r="E94" s="2">
        <v>20051024</v>
      </c>
      <c r="F94" s="2">
        <v>20051024</v>
      </c>
      <c r="G94" s="2">
        <v>30020</v>
      </c>
      <c r="H94" s="2">
        <v>19000</v>
      </c>
      <c r="I94" s="2">
        <v>35</v>
      </c>
      <c r="J94" s="2" t="s">
        <v>26</v>
      </c>
      <c r="K94" s="2" t="s">
        <v>27</v>
      </c>
      <c r="L94" s="2" t="s">
        <v>782</v>
      </c>
      <c r="M94" s="7" t="s">
        <v>783</v>
      </c>
      <c r="N94" s="7" t="s">
        <v>784</v>
      </c>
      <c r="O94" s="2"/>
      <c r="P94" s="2"/>
      <c r="Q94" s="2" t="str">
        <f>IF(SUMPRODUCT(--ISNUMBER(SEARCH('National Domains'!$A$2:$A$48,L94)))&gt;0,"Yes","No")</f>
        <v>Yes</v>
      </c>
      <c r="R94" s="2" t="str">
        <f>IF(COUNTIFS(Calibration!$A:$A,A94,Calibration!$B:$B,B94)&gt;0,"Yes","No")</f>
        <v>No</v>
      </c>
      <c r="S94" s="6"/>
    </row>
    <row r="95" spans="1:19" ht="34.5" customHeight="1" x14ac:dyDescent="0.2">
      <c r="A95" s="2">
        <v>33</v>
      </c>
      <c r="B95" s="2">
        <v>2</v>
      </c>
      <c r="C95" s="2" t="s">
        <v>89</v>
      </c>
      <c r="D95" s="2" t="s">
        <v>39</v>
      </c>
      <c r="E95" s="2">
        <v>20051024</v>
      </c>
      <c r="F95" s="2">
        <v>20051024</v>
      </c>
      <c r="G95" s="2">
        <v>30020</v>
      </c>
      <c r="H95" s="2">
        <v>19000</v>
      </c>
      <c r="I95" s="2">
        <v>35</v>
      </c>
      <c r="J95" s="2" t="s">
        <v>26</v>
      </c>
      <c r="K95" s="2" t="s">
        <v>27</v>
      </c>
      <c r="L95" s="2" t="s">
        <v>785</v>
      </c>
      <c r="M95" s="7" t="s">
        <v>786</v>
      </c>
      <c r="N95" s="7" t="s">
        <v>787</v>
      </c>
      <c r="O95" s="2"/>
      <c r="P95" s="2"/>
      <c r="Q95" s="2" t="str">
        <f>IF(SUMPRODUCT(--ISNUMBER(SEARCH('National Domains'!$A$2:$A$48,L95)))&gt;0,"Yes","No")</f>
        <v>Yes</v>
      </c>
      <c r="R95" s="2" t="str">
        <f>IF(COUNTIFS(Calibration!$A:$A,A95,Calibration!$B:$B,B95)&gt;0,"Yes","No")</f>
        <v>No</v>
      </c>
      <c r="S95" s="6"/>
    </row>
    <row r="96" spans="1:19" ht="34.5" customHeight="1" x14ac:dyDescent="0.2">
      <c r="A96" s="2">
        <v>33</v>
      </c>
      <c r="B96" s="2">
        <v>3</v>
      </c>
      <c r="C96" s="2" t="s">
        <v>89</v>
      </c>
      <c r="D96" s="2" t="s">
        <v>39</v>
      </c>
      <c r="E96" s="2">
        <v>20051024</v>
      </c>
      <c r="F96" s="2">
        <v>20051024</v>
      </c>
      <c r="G96" s="2">
        <v>30020</v>
      </c>
      <c r="H96" s="2">
        <v>19000</v>
      </c>
      <c r="I96" s="2">
        <v>35</v>
      </c>
      <c r="J96" s="2" t="s">
        <v>26</v>
      </c>
      <c r="K96" s="2" t="s">
        <v>27</v>
      </c>
      <c r="L96" s="2" t="s">
        <v>788</v>
      </c>
      <c r="M96" s="7" t="s">
        <v>789</v>
      </c>
      <c r="N96" s="7" t="s">
        <v>790</v>
      </c>
      <c r="O96" s="2"/>
      <c r="P96" s="2"/>
      <c r="Q96" s="2" t="str">
        <f>IF(SUMPRODUCT(--ISNUMBER(SEARCH('National Domains'!$A$2:$A$48,L96)))&gt;0,"Yes","No")</f>
        <v>Yes</v>
      </c>
      <c r="R96" s="2" t="str">
        <f>IF(COUNTIFS(Calibration!$A:$A,A96,Calibration!$B:$B,B96)&gt;0,"Yes","No")</f>
        <v>No</v>
      </c>
      <c r="S96" s="6"/>
    </row>
    <row r="97" spans="1:19" ht="23.25" customHeight="1" x14ac:dyDescent="0.2">
      <c r="A97" s="2">
        <v>36</v>
      </c>
      <c r="B97" s="2">
        <v>1</v>
      </c>
      <c r="C97" s="2" t="s">
        <v>93</v>
      </c>
      <c r="D97" s="2" t="s">
        <v>17</v>
      </c>
      <c r="E97" s="2">
        <v>20060413</v>
      </c>
      <c r="F97" s="2">
        <v>20060416</v>
      </c>
      <c r="G97" s="2">
        <v>3804.9</v>
      </c>
      <c r="H97" s="2">
        <v>2423.5</v>
      </c>
      <c r="I97" s="2">
        <v>27</v>
      </c>
      <c r="J97" s="2" t="s">
        <v>36</v>
      </c>
      <c r="K97" s="2" t="s">
        <v>37</v>
      </c>
      <c r="L97" s="2" t="s">
        <v>791</v>
      </c>
      <c r="M97" s="7" t="s">
        <v>792</v>
      </c>
      <c r="N97" s="7" t="s">
        <v>793</v>
      </c>
      <c r="O97" s="2"/>
      <c r="P97" s="2"/>
      <c r="Q97" s="2" t="str">
        <f>IF(SUMPRODUCT(--ISNUMBER(SEARCH('National Domains'!$A$2:$A$48,L97)))&gt;0,"Yes","No")</f>
        <v>Yes</v>
      </c>
      <c r="R97" s="2" t="str">
        <f>IF(COUNTIFS(Calibration!$A:$A,A97,Calibration!$B:$B,B97)&gt;0,"Yes","No")</f>
        <v>No</v>
      </c>
      <c r="S97" s="6"/>
    </row>
    <row r="98" spans="1:19" ht="34.5" customHeight="1" x14ac:dyDescent="0.2">
      <c r="A98" s="2">
        <v>36</v>
      </c>
      <c r="B98" s="2">
        <v>2</v>
      </c>
      <c r="C98" s="2" t="s">
        <v>93</v>
      </c>
      <c r="D98" s="2" t="s">
        <v>17</v>
      </c>
      <c r="E98" s="2">
        <v>20060413</v>
      </c>
      <c r="F98" s="2">
        <v>20060416</v>
      </c>
      <c r="G98" s="2">
        <v>3804.9</v>
      </c>
      <c r="H98" s="2">
        <v>2423.5</v>
      </c>
      <c r="I98" s="2">
        <v>27</v>
      </c>
      <c r="J98" s="2" t="s">
        <v>36</v>
      </c>
      <c r="K98" s="2" t="s">
        <v>37</v>
      </c>
      <c r="L98" s="2" t="s">
        <v>794</v>
      </c>
      <c r="M98" s="7" t="s">
        <v>741</v>
      </c>
      <c r="N98" s="7" t="s">
        <v>795</v>
      </c>
      <c r="O98" s="2"/>
      <c r="P98" s="2"/>
      <c r="Q98" s="2" t="str">
        <f>IF(SUMPRODUCT(--ISNUMBER(SEARCH('National Domains'!$A$2:$A$48,L98)))&gt;0,"Yes","No")</f>
        <v>Yes</v>
      </c>
      <c r="R98" s="2" t="str">
        <f>IF(COUNTIFS(Calibration!$A:$A,A98,Calibration!$B:$B,B98)&gt;0,"Yes","No")</f>
        <v>No</v>
      </c>
      <c r="S98" s="6"/>
    </row>
    <row r="99" spans="1:19" ht="34.5" customHeight="1" x14ac:dyDescent="0.2">
      <c r="A99" s="2">
        <v>36</v>
      </c>
      <c r="B99" s="2">
        <v>3</v>
      </c>
      <c r="C99" s="2" t="s">
        <v>93</v>
      </c>
      <c r="D99" s="2" t="s">
        <v>17</v>
      </c>
      <c r="E99" s="2">
        <v>20060413</v>
      </c>
      <c r="F99" s="2">
        <v>20060416</v>
      </c>
      <c r="G99" s="2">
        <v>3804.9</v>
      </c>
      <c r="H99" s="2">
        <v>2423.5</v>
      </c>
      <c r="I99" s="2">
        <v>27</v>
      </c>
      <c r="J99" s="2" t="s">
        <v>36</v>
      </c>
      <c r="K99" s="2" t="s">
        <v>37</v>
      </c>
      <c r="L99" s="2" t="s">
        <v>796</v>
      </c>
      <c r="M99" s="7" t="s">
        <v>741</v>
      </c>
      <c r="N99" s="7" t="s">
        <v>797</v>
      </c>
      <c r="O99" s="2"/>
      <c r="P99" s="2"/>
      <c r="Q99" s="2" t="str">
        <f>IF(SUMPRODUCT(--ISNUMBER(SEARCH('National Domains'!$A$2:$A$48,L99)))&gt;0,"Yes","No")</f>
        <v>Yes</v>
      </c>
      <c r="R99" s="2" t="str">
        <f>IF(COUNTIFS(Calibration!$A:$A,A99,Calibration!$B:$B,B99)&gt;0,"Yes","No")</f>
        <v>No</v>
      </c>
      <c r="S99" s="6"/>
    </row>
    <row r="100" spans="1:19" ht="34.5" customHeight="1" x14ac:dyDescent="0.2">
      <c r="A100" s="2">
        <v>37</v>
      </c>
      <c r="B100" s="2">
        <v>1</v>
      </c>
      <c r="C100" s="2" t="s">
        <v>94</v>
      </c>
      <c r="D100" s="2" t="s">
        <v>25</v>
      </c>
      <c r="E100" s="2">
        <v>20060625</v>
      </c>
      <c r="F100" s="2">
        <v>20060628</v>
      </c>
      <c r="G100" s="2">
        <v>2358.5</v>
      </c>
      <c r="H100" s="2">
        <v>1521.6</v>
      </c>
      <c r="I100" s="2">
        <v>20</v>
      </c>
      <c r="J100" s="2" t="s">
        <v>95</v>
      </c>
      <c r="K100" s="2" t="s">
        <v>96</v>
      </c>
      <c r="L100" s="2" t="s">
        <v>798</v>
      </c>
      <c r="M100" s="7" t="s">
        <v>799</v>
      </c>
      <c r="N100" s="7" t="s">
        <v>800</v>
      </c>
      <c r="O100" s="2"/>
      <c r="P100" s="2"/>
      <c r="Q100" s="2" t="str">
        <f>IF(SUMPRODUCT(--ISNUMBER(SEARCH('National Domains'!$A$2:$A$48,L100)))&gt;0,"Yes","No")</f>
        <v>No</v>
      </c>
      <c r="R100" s="2" t="str">
        <f>IF(COUNTIFS(Calibration!$A:$A,A100,Calibration!$B:$B,B100)&gt;0,"Yes","No")</f>
        <v>No</v>
      </c>
      <c r="S100" s="6"/>
    </row>
    <row r="101" spans="1:19" ht="34.5" customHeight="1" x14ac:dyDescent="0.2">
      <c r="A101" s="2">
        <v>37</v>
      </c>
      <c r="B101" s="2">
        <v>2</v>
      </c>
      <c r="C101" s="2" t="s">
        <v>94</v>
      </c>
      <c r="D101" s="2" t="s">
        <v>25</v>
      </c>
      <c r="E101" s="2">
        <v>20060625</v>
      </c>
      <c r="F101" s="2">
        <v>20060628</v>
      </c>
      <c r="G101" s="2">
        <v>2358.5</v>
      </c>
      <c r="H101" s="2">
        <v>1521.6</v>
      </c>
      <c r="I101" s="2">
        <v>20</v>
      </c>
      <c r="J101" s="2" t="s">
        <v>95</v>
      </c>
      <c r="K101" s="2" t="s">
        <v>96</v>
      </c>
      <c r="L101" s="2" t="s">
        <v>801</v>
      </c>
      <c r="M101" s="7" t="s">
        <v>802</v>
      </c>
      <c r="N101" s="7" t="s">
        <v>803</v>
      </c>
      <c r="O101" s="2"/>
      <c r="P101" s="2"/>
      <c r="Q101" s="2" t="str">
        <f>IF(SUMPRODUCT(--ISNUMBER(SEARCH('National Domains'!$A$2:$A$48,L101)))&gt;0,"Yes","No")</f>
        <v>Yes</v>
      </c>
      <c r="R101" s="2" t="str">
        <f>IF(COUNTIFS(Calibration!$A:$A,A101,Calibration!$B:$B,B101)&gt;0,"Yes","No")</f>
        <v>No</v>
      </c>
      <c r="S101" s="6"/>
    </row>
    <row r="102" spans="1:19" ht="34.5" customHeight="1" x14ac:dyDescent="0.2">
      <c r="A102" s="2">
        <v>37</v>
      </c>
      <c r="B102" s="2">
        <v>3</v>
      </c>
      <c r="C102" s="2" t="s">
        <v>94</v>
      </c>
      <c r="D102" s="2" t="s">
        <v>25</v>
      </c>
      <c r="E102" s="2">
        <v>20060625</v>
      </c>
      <c r="F102" s="2">
        <v>20060628</v>
      </c>
      <c r="G102" s="2">
        <v>2358.5</v>
      </c>
      <c r="H102" s="2">
        <v>1521.6</v>
      </c>
      <c r="I102" s="2">
        <v>20</v>
      </c>
      <c r="J102" s="2" t="s">
        <v>95</v>
      </c>
      <c r="K102" s="2" t="s">
        <v>96</v>
      </c>
      <c r="L102" s="2" t="s">
        <v>804</v>
      </c>
      <c r="M102" s="7" t="s">
        <v>805</v>
      </c>
      <c r="N102" s="7" t="s">
        <v>806</v>
      </c>
      <c r="O102" s="2"/>
      <c r="P102" s="2"/>
      <c r="Q102" s="2" t="str">
        <f>IF(SUMPRODUCT(--ISNUMBER(SEARCH('National Domains'!$A$2:$A$48,L102)))&gt;0,"Yes","No")</f>
        <v>Yes</v>
      </c>
      <c r="R102" s="2" t="str">
        <f>IF(COUNTIFS(Calibration!$A:$A,A102,Calibration!$B:$B,B102)&gt;0,"Yes","No")</f>
        <v>No</v>
      </c>
      <c r="S102" s="6"/>
    </row>
    <row r="103" spans="1:19" ht="34.5" customHeight="1" x14ac:dyDescent="0.2">
      <c r="A103" s="2">
        <v>41</v>
      </c>
      <c r="B103" s="2">
        <v>1</v>
      </c>
      <c r="C103" s="2" t="s">
        <v>104</v>
      </c>
      <c r="D103" s="2" t="s">
        <v>21</v>
      </c>
      <c r="E103" s="2">
        <v>20060101</v>
      </c>
      <c r="F103" s="2">
        <v>20061231</v>
      </c>
      <c r="G103" s="2">
        <v>2332.8000000000002</v>
      </c>
      <c r="H103" s="2">
        <v>1467.1</v>
      </c>
      <c r="I103" s="2">
        <v>28</v>
      </c>
      <c r="J103" s="2" t="s">
        <v>43</v>
      </c>
      <c r="K103" s="2" t="s">
        <v>44</v>
      </c>
      <c r="L103" s="2" t="s">
        <v>807</v>
      </c>
      <c r="M103" s="7" t="s">
        <v>808</v>
      </c>
      <c r="N103" s="7" t="s">
        <v>809</v>
      </c>
      <c r="O103" s="2"/>
      <c r="P103" s="2"/>
      <c r="Q103" s="2" t="str">
        <f>IF(SUMPRODUCT(--ISNUMBER(SEARCH('National Domains'!$A$2:$A$48,L103)))&gt;0,"Yes","No")</f>
        <v>Yes</v>
      </c>
      <c r="R103" s="2" t="str">
        <f>IF(COUNTIFS(Calibration!$A:$A,A103,Calibration!$B:$B,B103)&gt;0,"Yes","No")</f>
        <v>No</v>
      </c>
      <c r="S103" s="6"/>
    </row>
    <row r="104" spans="1:19" ht="34.5" customHeight="1" x14ac:dyDescent="0.2">
      <c r="A104" s="2">
        <v>41</v>
      </c>
      <c r="B104" s="2">
        <v>2</v>
      </c>
      <c r="C104" s="2" t="s">
        <v>104</v>
      </c>
      <c r="D104" s="2" t="s">
        <v>21</v>
      </c>
      <c r="E104" s="2">
        <v>20060101</v>
      </c>
      <c r="F104" s="2">
        <v>20061231</v>
      </c>
      <c r="G104" s="2">
        <v>2332.8000000000002</v>
      </c>
      <c r="H104" s="2">
        <v>1467.1</v>
      </c>
      <c r="I104" s="2">
        <v>28</v>
      </c>
      <c r="J104" s="2" t="s">
        <v>43</v>
      </c>
      <c r="K104" s="2" t="s">
        <v>44</v>
      </c>
      <c r="L104" s="2" t="s">
        <v>810</v>
      </c>
      <c r="M104" s="7" t="s">
        <v>811</v>
      </c>
      <c r="N104" s="7" t="s">
        <v>812</v>
      </c>
      <c r="O104" s="2"/>
      <c r="P104" s="2"/>
      <c r="Q104" s="2" t="str">
        <f>IF(SUMPRODUCT(--ISNUMBER(SEARCH('National Domains'!$A$2:$A$48,L104)))&gt;0,"Yes","No")</f>
        <v>Yes</v>
      </c>
      <c r="R104" s="2" t="str">
        <f>IF(COUNTIFS(Calibration!$A:$A,A104,Calibration!$B:$B,B104)&gt;0,"Yes","No")</f>
        <v>No</v>
      </c>
      <c r="S104" s="6"/>
    </row>
    <row r="105" spans="1:19" ht="34.5" customHeight="1" x14ac:dyDescent="0.2">
      <c r="A105" s="4">
        <v>42</v>
      </c>
      <c r="B105" s="4">
        <v>1</v>
      </c>
      <c r="C105" s="4" t="s">
        <v>105</v>
      </c>
      <c r="D105" s="4" t="s">
        <v>106</v>
      </c>
      <c r="E105" s="4">
        <v>20070111</v>
      </c>
      <c r="F105" s="4">
        <v>20070117</v>
      </c>
      <c r="G105" s="4">
        <v>2184</v>
      </c>
      <c r="H105" s="4">
        <v>1400</v>
      </c>
      <c r="I105" s="4">
        <v>1</v>
      </c>
      <c r="J105" s="4" t="s">
        <v>66</v>
      </c>
      <c r="K105" s="4" t="s">
        <v>67</v>
      </c>
      <c r="L105" s="4" t="s">
        <v>813</v>
      </c>
      <c r="M105" s="5" t="s">
        <v>814</v>
      </c>
      <c r="N105" s="5" t="s">
        <v>815</v>
      </c>
      <c r="O105" s="4"/>
      <c r="P105" s="4"/>
      <c r="Q105" s="4" t="str">
        <f>IF(SUMPRODUCT(--ISNUMBER(SEARCH('National Domains'!$A$2:$A$48,L105)))&gt;0,"Yes","No")</f>
        <v>Yes</v>
      </c>
      <c r="R105" s="4" t="str">
        <f>IF(COUNTIFS(Calibration!$A:$A,A105,Calibration!$B:$B,B105)&gt;0,"Yes","No")</f>
        <v>Yes</v>
      </c>
      <c r="S105" s="6"/>
    </row>
    <row r="106" spans="1:19" ht="34.5" customHeight="1" x14ac:dyDescent="0.2">
      <c r="A106" s="2">
        <v>42</v>
      </c>
      <c r="B106" s="2">
        <v>2</v>
      </c>
      <c r="C106" s="2" t="s">
        <v>105</v>
      </c>
      <c r="D106" s="2" t="s">
        <v>106</v>
      </c>
      <c r="E106" s="2">
        <v>20070111</v>
      </c>
      <c r="F106" s="2">
        <v>20070117</v>
      </c>
      <c r="G106" s="2">
        <v>2184</v>
      </c>
      <c r="H106" s="2">
        <v>1400</v>
      </c>
      <c r="I106" s="2">
        <v>1</v>
      </c>
      <c r="J106" s="2" t="s">
        <v>66</v>
      </c>
      <c r="K106" s="2" t="s">
        <v>67</v>
      </c>
      <c r="L106" s="2" t="s">
        <v>816</v>
      </c>
      <c r="M106" s="7" t="s">
        <v>817</v>
      </c>
      <c r="N106" s="7" t="s">
        <v>818</v>
      </c>
      <c r="O106" s="2"/>
      <c r="P106" s="2"/>
      <c r="Q106" s="2" t="str">
        <f>IF(SUMPRODUCT(--ISNUMBER(SEARCH('National Domains'!$A$2:$A$48,L106)))&gt;0,"Yes","No")</f>
        <v>Yes</v>
      </c>
      <c r="R106" s="2" t="str">
        <f>IF(COUNTIFS(Calibration!$A:$A,A106,Calibration!$B:$B,B106)&gt;0,"Yes","No")</f>
        <v>No</v>
      </c>
      <c r="S106" s="6"/>
    </row>
    <row r="107" spans="1:19" ht="23.25" customHeight="1" x14ac:dyDescent="0.2">
      <c r="A107" s="2">
        <v>42</v>
      </c>
      <c r="B107" s="2">
        <v>3</v>
      </c>
      <c r="C107" s="2" t="s">
        <v>105</v>
      </c>
      <c r="D107" s="2" t="s">
        <v>106</v>
      </c>
      <c r="E107" s="2">
        <v>20070111</v>
      </c>
      <c r="F107" s="2">
        <v>20070117</v>
      </c>
      <c r="G107" s="2">
        <v>2184</v>
      </c>
      <c r="H107" s="2">
        <v>1400</v>
      </c>
      <c r="I107" s="2">
        <v>1</v>
      </c>
      <c r="J107" s="2" t="s">
        <v>66</v>
      </c>
      <c r="K107" s="2" t="s">
        <v>67</v>
      </c>
      <c r="L107" s="2" t="s">
        <v>819</v>
      </c>
      <c r="M107" s="7" t="s">
        <v>817</v>
      </c>
      <c r="N107" s="7" t="s">
        <v>820</v>
      </c>
      <c r="O107" s="2"/>
      <c r="P107" s="2"/>
      <c r="Q107" s="2" t="str">
        <f>IF(SUMPRODUCT(--ISNUMBER(SEARCH('National Domains'!$A$2:$A$48,L107)))&gt;0,"Yes","No")</f>
        <v>Yes</v>
      </c>
      <c r="R107" s="2" t="str">
        <f>IF(COUNTIFS(Calibration!$A:$A,A107,Calibration!$B:$B,B107)&gt;0,"Yes","No")</f>
        <v>No</v>
      </c>
      <c r="S107" s="6"/>
    </row>
    <row r="108" spans="1:19" ht="34.5" customHeight="1" x14ac:dyDescent="0.2">
      <c r="A108" s="2">
        <v>42</v>
      </c>
      <c r="B108" s="2">
        <v>4</v>
      </c>
      <c r="C108" s="2" t="s">
        <v>105</v>
      </c>
      <c r="D108" s="2" t="s">
        <v>106</v>
      </c>
      <c r="E108" s="2">
        <v>20070111</v>
      </c>
      <c r="F108" s="2">
        <v>20070117</v>
      </c>
      <c r="G108" s="2">
        <v>2184</v>
      </c>
      <c r="H108" s="2">
        <v>1400</v>
      </c>
      <c r="I108" s="2">
        <v>1</v>
      </c>
      <c r="J108" s="2" t="s">
        <v>66</v>
      </c>
      <c r="K108" s="2" t="s">
        <v>67</v>
      </c>
      <c r="L108" s="2" t="s">
        <v>821</v>
      </c>
      <c r="M108" s="7" t="s">
        <v>822</v>
      </c>
      <c r="N108" s="7" t="s">
        <v>823</v>
      </c>
      <c r="O108" s="2"/>
      <c r="P108" s="2"/>
      <c r="Q108" s="2" t="str">
        <f>IF(SUMPRODUCT(--ISNUMBER(SEARCH('National Domains'!$A$2:$A$48,L108)))&gt;0,"Yes","No")</f>
        <v>No</v>
      </c>
      <c r="R108" s="2" t="str">
        <f>IF(COUNTIFS(Calibration!$A:$A,A108,Calibration!$B:$B,B108)&gt;0,"Yes","No")</f>
        <v>No</v>
      </c>
      <c r="S108" s="6"/>
    </row>
    <row r="109" spans="1:19" ht="34.5" customHeight="1" x14ac:dyDescent="0.2">
      <c r="A109" s="2">
        <v>44</v>
      </c>
      <c r="B109" s="2">
        <v>1</v>
      </c>
      <c r="C109" s="2" t="s">
        <v>110</v>
      </c>
      <c r="D109" s="2" t="s">
        <v>17</v>
      </c>
      <c r="E109" s="2">
        <v>20070413</v>
      </c>
      <c r="F109" s="2">
        <v>20070417</v>
      </c>
      <c r="G109" s="2">
        <v>3836.9</v>
      </c>
      <c r="H109" s="2">
        <v>2507.8000000000002</v>
      </c>
      <c r="I109" s="2">
        <v>9</v>
      </c>
      <c r="J109" s="2" t="s">
        <v>61</v>
      </c>
      <c r="K109" s="2" t="s">
        <v>62</v>
      </c>
      <c r="L109" s="2" t="s">
        <v>824</v>
      </c>
      <c r="M109" s="7" t="s">
        <v>825</v>
      </c>
      <c r="N109" s="7" t="s">
        <v>826</v>
      </c>
      <c r="O109" s="2"/>
      <c r="P109" s="2"/>
      <c r="Q109" s="2" t="str">
        <f>IF(SUMPRODUCT(--ISNUMBER(SEARCH('National Domains'!$A$2:$A$48,L109)))&gt;0,"Yes","No")</f>
        <v>No</v>
      </c>
      <c r="R109" s="2" t="str">
        <f>IF(COUNTIFS(Calibration!$A:$A,A109,Calibration!$B:$B,B109)&gt;0,"Yes","No")</f>
        <v>No</v>
      </c>
      <c r="S109" s="6"/>
    </row>
    <row r="110" spans="1:19" ht="34.5" customHeight="1" x14ac:dyDescent="0.2">
      <c r="A110" s="2">
        <v>44</v>
      </c>
      <c r="B110" s="2">
        <v>2</v>
      </c>
      <c r="C110" s="2" t="s">
        <v>110</v>
      </c>
      <c r="D110" s="2" t="s">
        <v>17</v>
      </c>
      <c r="E110" s="2">
        <v>20070413</v>
      </c>
      <c r="F110" s="2">
        <v>20070417</v>
      </c>
      <c r="G110" s="2">
        <v>3836.9</v>
      </c>
      <c r="H110" s="2">
        <v>2507.8000000000002</v>
      </c>
      <c r="I110" s="2">
        <v>9</v>
      </c>
      <c r="J110" s="2" t="s">
        <v>61</v>
      </c>
      <c r="K110" s="2" t="s">
        <v>62</v>
      </c>
      <c r="L110" s="2" t="s">
        <v>827</v>
      </c>
      <c r="M110" s="7" t="s">
        <v>828</v>
      </c>
      <c r="N110" s="7" t="s">
        <v>829</v>
      </c>
      <c r="O110" s="2"/>
      <c r="P110" s="2"/>
      <c r="Q110" s="2" t="str">
        <f>IF(SUMPRODUCT(--ISNUMBER(SEARCH('National Domains'!$A$2:$A$48,L110)))&gt;0,"Yes","No")</f>
        <v>No</v>
      </c>
      <c r="R110" s="2" t="str">
        <f>IF(COUNTIFS(Calibration!$A:$A,A110,Calibration!$B:$B,B110)&gt;0,"Yes","No")</f>
        <v>No</v>
      </c>
      <c r="S110" s="6"/>
    </row>
    <row r="111" spans="1:19" ht="34.5" customHeight="1" x14ac:dyDescent="0.2">
      <c r="A111" s="2">
        <v>44</v>
      </c>
      <c r="B111" s="2">
        <v>3</v>
      </c>
      <c r="C111" s="2" t="s">
        <v>110</v>
      </c>
      <c r="D111" s="2" t="s">
        <v>17</v>
      </c>
      <c r="E111" s="2">
        <v>20070413</v>
      </c>
      <c r="F111" s="2">
        <v>20070417</v>
      </c>
      <c r="G111" s="2">
        <v>3836.9</v>
      </c>
      <c r="H111" s="2">
        <v>2507.8000000000002</v>
      </c>
      <c r="I111" s="2">
        <v>9</v>
      </c>
      <c r="J111" s="2" t="s">
        <v>61</v>
      </c>
      <c r="K111" s="2" t="s">
        <v>62</v>
      </c>
      <c r="L111" s="2" t="s">
        <v>830</v>
      </c>
      <c r="M111" s="7" t="s">
        <v>741</v>
      </c>
      <c r="N111" s="7" t="s">
        <v>831</v>
      </c>
      <c r="O111" s="2"/>
      <c r="P111" s="2"/>
      <c r="Q111" s="2" t="str">
        <f>IF(SUMPRODUCT(--ISNUMBER(SEARCH('National Domains'!$A$2:$A$48,L111)))&gt;0,"Yes","No")</f>
        <v>Yes</v>
      </c>
      <c r="R111" s="2" t="str">
        <f>IF(COUNTIFS(Calibration!$A:$A,A111,Calibration!$B:$B,B111)&gt;0,"Yes","No")</f>
        <v>No</v>
      </c>
      <c r="S111" s="6"/>
    </row>
    <row r="112" spans="1:19" ht="34.5" customHeight="1" x14ac:dyDescent="0.2">
      <c r="A112" s="2">
        <v>45</v>
      </c>
      <c r="B112" s="2">
        <v>1</v>
      </c>
      <c r="C112" s="2" t="s">
        <v>111</v>
      </c>
      <c r="D112" s="2" t="s">
        <v>21</v>
      </c>
      <c r="E112" s="2">
        <v>20070601</v>
      </c>
      <c r="F112" s="2">
        <v>20070831</v>
      </c>
      <c r="G112" s="2">
        <v>4139.3999999999996</v>
      </c>
      <c r="H112" s="2">
        <v>2741.3</v>
      </c>
      <c r="I112" s="2">
        <v>12</v>
      </c>
      <c r="J112" s="2" t="s">
        <v>22</v>
      </c>
      <c r="K112" s="2" t="s">
        <v>23</v>
      </c>
      <c r="L112" s="2" t="s">
        <v>832</v>
      </c>
      <c r="M112" s="7" t="s">
        <v>833</v>
      </c>
      <c r="N112" s="7" t="s">
        <v>834</v>
      </c>
      <c r="O112" s="2"/>
      <c r="P112" s="2"/>
      <c r="Q112" s="2" t="str">
        <f>IF(SUMPRODUCT(--ISNUMBER(SEARCH('National Domains'!$A$2:$A$48,L112)))&gt;0,"Yes","No")</f>
        <v>No</v>
      </c>
      <c r="R112" s="2" t="str">
        <f>IF(COUNTIFS(Calibration!$A:$A,A112,Calibration!$B:$B,B112)&gt;0,"Yes","No")</f>
        <v>No</v>
      </c>
      <c r="S112" s="6"/>
    </row>
    <row r="113" spans="1:19" ht="34.5" customHeight="1" x14ac:dyDescent="0.2">
      <c r="A113" s="2">
        <v>45</v>
      </c>
      <c r="B113" s="2">
        <v>2</v>
      </c>
      <c r="C113" s="2" t="s">
        <v>111</v>
      </c>
      <c r="D113" s="2" t="s">
        <v>21</v>
      </c>
      <c r="E113" s="2">
        <v>20070601</v>
      </c>
      <c r="F113" s="2">
        <v>20070831</v>
      </c>
      <c r="G113" s="2">
        <v>4139.3999999999996</v>
      </c>
      <c r="H113" s="2">
        <v>2741.3</v>
      </c>
      <c r="I113" s="2">
        <v>12</v>
      </c>
      <c r="J113" s="2" t="s">
        <v>22</v>
      </c>
      <c r="K113" s="2" t="s">
        <v>23</v>
      </c>
      <c r="L113" s="2" t="s">
        <v>835</v>
      </c>
      <c r="M113" s="7" t="s">
        <v>836</v>
      </c>
      <c r="N113" s="7" t="s">
        <v>837</v>
      </c>
      <c r="O113" s="2"/>
      <c r="P113" s="2"/>
      <c r="Q113" s="2" t="str">
        <f>IF(SUMPRODUCT(--ISNUMBER(SEARCH('National Domains'!$A$2:$A$48,L113)))&gt;0,"Yes","No")</f>
        <v>Yes</v>
      </c>
      <c r="R113" s="2" t="str">
        <f>IF(COUNTIFS(Calibration!$A:$A,A113,Calibration!$B:$B,B113)&gt;0,"Yes","No")</f>
        <v>No</v>
      </c>
      <c r="S113" s="6"/>
    </row>
    <row r="114" spans="1:19" ht="34.5" customHeight="1" x14ac:dyDescent="0.2">
      <c r="A114" s="2">
        <v>46</v>
      </c>
      <c r="B114" s="2">
        <v>1</v>
      </c>
      <c r="C114" s="2" t="s">
        <v>112</v>
      </c>
      <c r="D114" s="2" t="s">
        <v>29</v>
      </c>
      <c r="E114" s="2">
        <v>20070601</v>
      </c>
      <c r="F114" s="2">
        <v>20071130</v>
      </c>
      <c r="G114" s="2">
        <v>5519.7</v>
      </c>
      <c r="H114" s="2">
        <v>3538.3</v>
      </c>
      <c r="I114" s="2">
        <v>15</v>
      </c>
      <c r="J114" s="2" t="s">
        <v>113</v>
      </c>
      <c r="K114" s="2" t="s">
        <v>114</v>
      </c>
      <c r="L114" s="2" t="s">
        <v>838</v>
      </c>
      <c r="M114" s="7" t="s">
        <v>839</v>
      </c>
      <c r="N114" s="7" t="s">
        <v>840</v>
      </c>
      <c r="O114" s="2"/>
      <c r="P114" s="2"/>
      <c r="Q114" s="2" t="str">
        <f>IF(SUMPRODUCT(--ISNUMBER(SEARCH('National Domains'!$A$2:$A$48,L114)))&gt;0,"Yes","No")</f>
        <v>Yes</v>
      </c>
      <c r="R114" s="2" t="str">
        <f>IF(COUNTIFS(Calibration!$A:$A,A114,Calibration!$B:$B,B114)&gt;0,"Yes","No")</f>
        <v>No</v>
      </c>
      <c r="S114" s="6"/>
    </row>
    <row r="115" spans="1:19" ht="34.5" customHeight="1" x14ac:dyDescent="0.2">
      <c r="A115" s="2">
        <v>46</v>
      </c>
      <c r="B115" s="2">
        <v>2</v>
      </c>
      <c r="C115" s="2" t="s">
        <v>112</v>
      </c>
      <c r="D115" s="2" t="s">
        <v>29</v>
      </c>
      <c r="E115" s="2">
        <v>20070601</v>
      </c>
      <c r="F115" s="2">
        <v>20071130</v>
      </c>
      <c r="G115" s="2">
        <v>5519.7</v>
      </c>
      <c r="H115" s="2">
        <v>3538.3</v>
      </c>
      <c r="I115" s="2">
        <v>15</v>
      </c>
      <c r="J115" s="2" t="s">
        <v>113</v>
      </c>
      <c r="K115" s="2" t="s">
        <v>114</v>
      </c>
      <c r="L115" s="2" t="s">
        <v>841</v>
      </c>
      <c r="M115" s="7" t="s">
        <v>842</v>
      </c>
      <c r="N115" s="7" t="s">
        <v>843</v>
      </c>
      <c r="O115" s="2"/>
      <c r="P115" s="2"/>
      <c r="Q115" s="2" t="str">
        <f>IF(SUMPRODUCT(--ISNUMBER(SEARCH('National Domains'!$A$2:$A$48,L115)))&gt;0,"Yes","No")</f>
        <v>Yes</v>
      </c>
      <c r="R115" s="2" t="str">
        <f>IF(COUNTIFS(Calibration!$A:$A,A115,Calibration!$B:$B,B115)&gt;0,"Yes","No")</f>
        <v>No</v>
      </c>
      <c r="S115" s="6"/>
    </row>
    <row r="116" spans="1:19" ht="34.5" customHeight="1" x14ac:dyDescent="0.2">
      <c r="A116" s="2">
        <v>46</v>
      </c>
      <c r="B116" s="2">
        <v>3</v>
      </c>
      <c r="C116" s="2" t="s">
        <v>112</v>
      </c>
      <c r="D116" s="2" t="s">
        <v>29</v>
      </c>
      <c r="E116" s="2">
        <v>20070601</v>
      </c>
      <c r="F116" s="2">
        <v>20071130</v>
      </c>
      <c r="G116" s="2">
        <v>5519.7</v>
      </c>
      <c r="H116" s="2">
        <v>3538.3</v>
      </c>
      <c r="I116" s="2">
        <v>15</v>
      </c>
      <c r="J116" s="2" t="s">
        <v>113</v>
      </c>
      <c r="K116" s="2" t="s">
        <v>114</v>
      </c>
      <c r="L116" s="2" t="s">
        <v>844</v>
      </c>
      <c r="M116" s="7" t="s">
        <v>845</v>
      </c>
      <c r="N116" s="7" t="s">
        <v>846</v>
      </c>
      <c r="O116" s="2"/>
      <c r="P116" s="2"/>
      <c r="Q116" s="2" t="str">
        <f>IF(SUMPRODUCT(--ISNUMBER(SEARCH('National Domains'!$A$2:$A$48,L116)))&gt;0,"Yes","No")</f>
        <v>Yes</v>
      </c>
      <c r="R116" s="2" t="str">
        <f>IF(COUNTIFS(Calibration!$A:$A,A116,Calibration!$B:$B,B116)&gt;0,"Yes","No")</f>
        <v>No</v>
      </c>
      <c r="S116" s="6"/>
    </row>
    <row r="117" spans="1:19" ht="34.5" customHeight="1" x14ac:dyDescent="0.2">
      <c r="A117" s="2">
        <v>46</v>
      </c>
      <c r="B117" s="2">
        <v>4</v>
      </c>
      <c r="C117" s="2" t="s">
        <v>112</v>
      </c>
      <c r="D117" s="2" t="s">
        <v>29</v>
      </c>
      <c r="E117" s="2">
        <v>20070601</v>
      </c>
      <c r="F117" s="2">
        <v>20071130</v>
      </c>
      <c r="G117" s="2">
        <v>5519.7</v>
      </c>
      <c r="H117" s="2">
        <v>3538.3</v>
      </c>
      <c r="I117" s="2">
        <v>15</v>
      </c>
      <c r="J117" s="2" t="s">
        <v>113</v>
      </c>
      <c r="K117" s="2" t="s">
        <v>114</v>
      </c>
      <c r="L117" s="2" t="s">
        <v>847</v>
      </c>
      <c r="M117" s="7" t="s">
        <v>848</v>
      </c>
      <c r="N117" s="7" t="s">
        <v>849</v>
      </c>
      <c r="O117" s="2"/>
      <c r="P117" s="2"/>
      <c r="Q117" s="2" t="str">
        <f>IF(SUMPRODUCT(--ISNUMBER(SEARCH('National Domains'!$A$2:$A$48,L117)))&gt;0,"Yes","No")</f>
        <v>Yes</v>
      </c>
      <c r="R117" s="2" t="str">
        <f>IF(COUNTIFS(Calibration!$A:$A,A117,Calibration!$B:$B,B117)&gt;0,"Yes","No")</f>
        <v>No</v>
      </c>
      <c r="S117" s="6"/>
    </row>
    <row r="118" spans="1:19" ht="34.5" customHeight="1" x14ac:dyDescent="0.2">
      <c r="A118" s="2">
        <v>46</v>
      </c>
      <c r="B118" s="2">
        <v>5</v>
      </c>
      <c r="C118" s="2" t="s">
        <v>112</v>
      </c>
      <c r="D118" s="2" t="s">
        <v>29</v>
      </c>
      <c r="E118" s="2">
        <v>20070601</v>
      </c>
      <c r="F118" s="2">
        <v>20071130</v>
      </c>
      <c r="G118" s="2">
        <v>5519.7</v>
      </c>
      <c r="H118" s="2">
        <v>3538.3</v>
      </c>
      <c r="I118" s="2">
        <v>15</v>
      </c>
      <c r="J118" s="2" t="s">
        <v>113</v>
      </c>
      <c r="K118" s="2" t="s">
        <v>114</v>
      </c>
      <c r="L118" s="2" t="s">
        <v>850</v>
      </c>
      <c r="M118" s="7" t="s">
        <v>851</v>
      </c>
      <c r="N118" s="7" t="s">
        <v>852</v>
      </c>
      <c r="O118" s="2"/>
      <c r="P118" s="2"/>
      <c r="Q118" s="2" t="str">
        <f>IF(SUMPRODUCT(--ISNUMBER(SEARCH('National Domains'!$A$2:$A$48,L118)))&gt;0,"Yes","No")</f>
        <v>Yes</v>
      </c>
      <c r="R118" s="2" t="str">
        <f>IF(COUNTIFS(Calibration!$A:$A,A118,Calibration!$B:$B,B118)&gt;0,"Yes","No")</f>
        <v>No</v>
      </c>
      <c r="S118" s="6"/>
    </row>
    <row r="119" spans="1:19" ht="34.5" customHeight="1" x14ac:dyDescent="0.2">
      <c r="A119" s="2">
        <v>46</v>
      </c>
      <c r="B119" s="2">
        <v>6</v>
      </c>
      <c r="C119" s="2" t="s">
        <v>112</v>
      </c>
      <c r="D119" s="2" t="s">
        <v>29</v>
      </c>
      <c r="E119" s="2">
        <v>20070601</v>
      </c>
      <c r="F119" s="2">
        <v>20071130</v>
      </c>
      <c r="G119" s="2">
        <v>5519.7</v>
      </c>
      <c r="H119" s="2">
        <v>3538.3</v>
      </c>
      <c r="I119" s="2">
        <v>15</v>
      </c>
      <c r="J119" s="2" t="s">
        <v>113</v>
      </c>
      <c r="K119" s="2" t="s">
        <v>114</v>
      </c>
      <c r="L119" s="2" t="s">
        <v>835</v>
      </c>
      <c r="M119" s="7" t="s">
        <v>836</v>
      </c>
      <c r="N119" s="7" t="s">
        <v>837</v>
      </c>
      <c r="O119" s="2"/>
      <c r="P119" s="2"/>
      <c r="Q119" s="2" t="str">
        <f>IF(SUMPRODUCT(--ISNUMBER(SEARCH('National Domains'!$A$2:$A$48,L119)))&gt;0,"Yes","No")</f>
        <v>Yes</v>
      </c>
      <c r="R119" s="2" t="str">
        <f>IF(COUNTIFS(Calibration!$A:$A,A119,Calibration!$B:$B,B119)&gt;0,"Yes","No")</f>
        <v>No</v>
      </c>
      <c r="S119" s="6"/>
    </row>
    <row r="120" spans="1:19" ht="34.5" customHeight="1" x14ac:dyDescent="0.2">
      <c r="A120" s="2">
        <v>46</v>
      </c>
      <c r="B120" s="2">
        <v>7</v>
      </c>
      <c r="C120" s="2" t="s">
        <v>112</v>
      </c>
      <c r="D120" s="2" t="s">
        <v>29</v>
      </c>
      <c r="E120" s="2">
        <v>20070601</v>
      </c>
      <c r="F120" s="2">
        <v>20071130</v>
      </c>
      <c r="G120" s="2">
        <v>5519.7</v>
      </c>
      <c r="H120" s="2">
        <v>3538.3</v>
      </c>
      <c r="I120" s="2">
        <v>15</v>
      </c>
      <c r="J120" s="2" t="s">
        <v>113</v>
      </c>
      <c r="K120" s="2" t="s">
        <v>114</v>
      </c>
      <c r="L120" s="2" t="s">
        <v>853</v>
      </c>
      <c r="M120" s="7" t="s">
        <v>741</v>
      </c>
      <c r="N120" s="7" t="s">
        <v>854</v>
      </c>
      <c r="O120" s="2"/>
      <c r="P120" s="2"/>
      <c r="Q120" s="2" t="str">
        <f>IF(SUMPRODUCT(--ISNUMBER(SEARCH('National Domains'!$A$2:$A$48,L120)))&gt;0,"Yes","No")</f>
        <v>Yes</v>
      </c>
      <c r="R120" s="2" t="str">
        <f>IF(COUNTIFS(Calibration!$A:$A,A120,Calibration!$B:$B,B120)&gt;0,"Yes","No")</f>
        <v>No</v>
      </c>
      <c r="S120" s="6"/>
    </row>
    <row r="121" spans="1:19" ht="34.5" customHeight="1" x14ac:dyDescent="0.2">
      <c r="A121" s="2">
        <v>49</v>
      </c>
      <c r="B121" s="2">
        <v>1</v>
      </c>
      <c r="C121" s="2" t="s">
        <v>119</v>
      </c>
      <c r="D121" s="2" t="s">
        <v>17</v>
      </c>
      <c r="E121" s="2">
        <v>20080314</v>
      </c>
      <c r="F121" s="2">
        <v>20080315</v>
      </c>
      <c r="G121" s="2">
        <v>1673.9</v>
      </c>
      <c r="H121" s="2">
        <v>1131</v>
      </c>
      <c r="I121" s="2">
        <v>5</v>
      </c>
      <c r="J121" s="2" t="s">
        <v>14</v>
      </c>
      <c r="K121" s="2" t="s">
        <v>15</v>
      </c>
      <c r="L121" s="2" t="s">
        <v>855</v>
      </c>
      <c r="M121" s="7" t="s">
        <v>856</v>
      </c>
      <c r="N121" s="7" t="s">
        <v>857</v>
      </c>
      <c r="O121" s="2"/>
      <c r="P121" s="2"/>
      <c r="Q121" s="2" t="str">
        <f>IF(SUMPRODUCT(--ISNUMBER(SEARCH('National Domains'!$A$2:$A$48,L121)))&gt;0,"Yes","No")</f>
        <v>Yes</v>
      </c>
      <c r="R121" s="2" t="str">
        <f>IF(COUNTIFS(Calibration!$A:$A,A121,Calibration!$B:$B,B121)&gt;0,"Yes","No")</f>
        <v>No</v>
      </c>
      <c r="S121" s="6"/>
    </row>
    <row r="122" spans="1:19" ht="34.5" customHeight="1" x14ac:dyDescent="0.2">
      <c r="A122" s="2">
        <v>49</v>
      </c>
      <c r="B122" s="2">
        <v>2</v>
      </c>
      <c r="C122" s="2" t="s">
        <v>119</v>
      </c>
      <c r="D122" s="2" t="s">
        <v>17</v>
      </c>
      <c r="E122" s="2">
        <v>20080314</v>
      </c>
      <c r="F122" s="2">
        <v>20080315</v>
      </c>
      <c r="G122" s="2">
        <v>1673.9</v>
      </c>
      <c r="H122" s="2">
        <v>1131</v>
      </c>
      <c r="I122" s="2">
        <v>5</v>
      </c>
      <c r="J122" s="2" t="s">
        <v>14</v>
      </c>
      <c r="K122" s="2" t="s">
        <v>15</v>
      </c>
      <c r="L122" s="2" t="s">
        <v>858</v>
      </c>
      <c r="M122" s="7" t="s">
        <v>741</v>
      </c>
      <c r="N122" s="7" t="s">
        <v>859</v>
      </c>
      <c r="O122" s="2"/>
      <c r="P122" s="2"/>
      <c r="Q122" s="2" t="str">
        <f>IF(SUMPRODUCT(--ISNUMBER(SEARCH('National Domains'!$A$2:$A$48,L122)))&gt;0,"Yes","No")</f>
        <v>Yes</v>
      </c>
      <c r="R122" s="2" t="str">
        <f>IF(COUNTIFS(Calibration!$A:$A,A122,Calibration!$B:$B,B122)&gt;0,"Yes","No")</f>
        <v>No</v>
      </c>
      <c r="S122" s="6"/>
    </row>
    <row r="123" spans="1:19" ht="34.5" customHeight="1" x14ac:dyDescent="0.2">
      <c r="A123" s="2">
        <v>51</v>
      </c>
      <c r="B123" s="2">
        <v>1</v>
      </c>
      <c r="C123" s="2" t="s">
        <v>121</v>
      </c>
      <c r="D123" s="2" t="s">
        <v>17</v>
      </c>
      <c r="E123" s="2">
        <v>20080522</v>
      </c>
      <c r="F123" s="2">
        <v>20080527</v>
      </c>
      <c r="G123" s="2">
        <v>4423.1000000000004</v>
      </c>
      <c r="H123" s="2">
        <v>3029.5</v>
      </c>
      <c r="I123" s="2">
        <v>13</v>
      </c>
      <c r="J123" s="2" t="s">
        <v>36</v>
      </c>
      <c r="K123" s="2" t="s">
        <v>37</v>
      </c>
      <c r="L123" s="2" t="s">
        <v>860</v>
      </c>
      <c r="M123" s="7" t="s">
        <v>861</v>
      </c>
      <c r="N123" s="7" t="s">
        <v>862</v>
      </c>
      <c r="O123" s="2"/>
      <c r="P123" s="2"/>
      <c r="Q123" s="2" t="str">
        <f>IF(SUMPRODUCT(--ISNUMBER(SEARCH('National Domains'!$A$2:$A$48,L123)))&gt;0,"Yes","No")</f>
        <v>Yes</v>
      </c>
      <c r="R123" s="2" t="str">
        <f>IF(COUNTIFS(Calibration!$A:$A,A123,Calibration!$B:$B,B123)&gt;0,"Yes","No")</f>
        <v>No</v>
      </c>
      <c r="S123" s="6"/>
    </row>
    <row r="124" spans="1:19" ht="34.5" customHeight="1" x14ac:dyDescent="0.2">
      <c r="A124" s="2">
        <v>52</v>
      </c>
      <c r="B124" s="2">
        <v>1</v>
      </c>
      <c r="C124" s="2" t="s">
        <v>122</v>
      </c>
      <c r="D124" s="2" t="s">
        <v>17</v>
      </c>
      <c r="E124" s="2">
        <v>20080606</v>
      </c>
      <c r="F124" s="2">
        <v>20080612</v>
      </c>
      <c r="G124" s="2">
        <v>2355.6999999999998</v>
      </c>
      <c r="H124" s="2">
        <v>1635.9</v>
      </c>
      <c r="I124" s="2">
        <v>18</v>
      </c>
      <c r="J124" s="2" t="s">
        <v>36</v>
      </c>
      <c r="K124" s="2" t="s">
        <v>37</v>
      </c>
      <c r="L124" s="2" t="s">
        <v>863</v>
      </c>
      <c r="M124" s="7" t="s">
        <v>864</v>
      </c>
      <c r="N124" s="7" t="s">
        <v>865</v>
      </c>
      <c r="O124" s="2"/>
      <c r="P124" s="2"/>
      <c r="Q124" s="2" t="str">
        <f>IF(SUMPRODUCT(--ISNUMBER(SEARCH('National Domains'!$A$2:$A$48,L124)))&gt;0,"Yes","No")</f>
        <v>Yes</v>
      </c>
      <c r="R124" s="2" t="str">
        <f>IF(COUNTIFS(Calibration!$A:$A,A124,Calibration!$B:$B,B124)&gt;0,"Yes","No")</f>
        <v>No</v>
      </c>
      <c r="S124" s="6"/>
    </row>
    <row r="125" spans="1:19" ht="34.5" customHeight="1" x14ac:dyDescent="0.2">
      <c r="A125" s="2">
        <v>53</v>
      </c>
      <c r="B125" s="2">
        <v>1</v>
      </c>
      <c r="C125" s="2" t="s">
        <v>123</v>
      </c>
      <c r="D125" s="2" t="s">
        <v>25</v>
      </c>
      <c r="E125" s="2">
        <v>20080401</v>
      </c>
      <c r="F125" s="2">
        <v>20080630</v>
      </c>
      <c r="G125" s="2">
        <v>14838</v>
      </c>
      <c r="H125" s="2">
        <v>9958.4</v>
      </c>
      <c r="I125" s="2">
        <v>24</v>
      </c>
      <c r="J125" s="2" t="s">
        <v>36</v>
      </c>
      <c r="K125" s="2" t="s">
        <v>37</v>
      </c>
      <c r="L125" s="2" t="s">
        <v>866</v>
      </c>
      <c r="M125" s="7" t="s">
        <v>867</v>
      </c>
      <c r="N125" s="7" t="s">
        <v>868</v>
      </c>
      <c r="O125" s="2"/>
      <c r="P125" s="2"/>
      <c r="Q125" s="2" t="str">
        <f>IF(SUMPRODUCT(--ISNUMBER(SEARCH('National Domains'!$A$2:$A$48,L125)))&gt;0,"Yes","No")</f>
        <v>No</v>
      </c>
      <c r="R125" s="2" t="str">
        <f>IF(COUNTIFS(Calibration!$A:$A,A125,Calibration!$B:$B,B125)&gt;0,"Yes","No")</f>
        <v>No</v>
      </c>
      <c r="S125" s="6"/>
    </row>
    <row r="126" spans="1:19" ht="34.5" customHeight="1" x14ac:dyDescent="0.2">
      <c r="A126" s="2">
        <v>53</v>
      </c>
      <c r="B126" s="2">
        <v>2</v>
      </c>
      <c r="C126" s="2" t="s">
        <v>123</v>
      </c>
      <c r="D126" s="2" t="s">
        <v>25</v>
      </c>
      <c r="E126" s="2">
        <v>20080401</v>
      </c>
      <c r="F126" s="2">
        <v>20080630</v>
      </c>
      <c r="G126" s="2">
        <v>14838</v>
      </c>
      <c r="H126" s="2">
        <v>9958.4</v>
      </c>
      <c r="I126" s="2">
        <v>24</v>
      </c>
      <c r="J126" s="2" t="s">
        <v>36</v>
      </c>
      <c r="K126" s="2" t="s">
        <v>37</v>
      </c>
      <c r="L126" s="2" t="s">
        <v>869</v>
      </c>
      <c r="M126" s="7" t="s">
        <v>870</v>
      </c>
      <c r="N126" s="7" t="s">
        <v>871</v>
      </c>
      <c r="O126" s="2"/>
      <c r="P126" s="2"/>
      <c r="Q126" s="2" t="str">
        <f>IF(SUMPRODUCT(--ISNUMBER(SEARCH('National Domains'!$A$2:$A$48,L126)))&gt;0,"Yes","No")</f>
        <v>No</v>
      </c>
      <c r="R126" s="2" t="str">
        <f>IF(COUNTIFS(Calibration!$A:$A,A126,Calibration!$B:$B,B126)&gt;0,"Yes","No")</f>
        <v>No</v>
      </c>
      <c r="S126" s="6"/>
    </row>
    <row r="127" spans="1:19" ht="34.5" customHeight="1" x14ac:dyDescent="0.2">
      <c r="A127" s="2">
        <v>53</v>
      </c>
      <c r="B127" s="2">
        <v>3</v>
      </c>
      <c r="C127" s="2" t="s">
        <v>123</v>
      </c>
      <c r="D127" s="2" t="s">
        <v>25</v>
      </c>
      <c r="E127" s="2">
        <v>20080401</v>
      </c>
      <c r="F127" s="2">
        <v>20080630</v>
      </c>
      <c r="G127" s="2">
        <v>14838</v>
      </c>
      <c r="H127" s="2">
        <v>9958.4</v>
      </c>
      <c r="I127" s="2">
        <v>24</v>
      </c>
      <c r="J127" s="2" t="s">
        <v>36</v>
      </c>
      <c r="K127" s="2" t="s">
        <v>37</v>
      </c>
      <c r="L127" s="2" t="s">
        <v>872</v>
      </c>
      <c r="M127" s="7" t="s">
        <v>873</v>
      </c>
      <c r="N127" s="7" t="s">
        <v>874</v>
      </c>
      <c r="O127" s="2"/>
      <c r="P127" s="2"/>
      <c r="Q127" s="2" t="str">
        <f>IF(SUMPRODUCT(--ISNUMBER(SEARCH('National Domains'!$A$2:$A$48,L127)))&gt;0,"Yes","No")</f>
        <v>No</v>
      </c>
      <c r="R127" s="2" t="str">
        <f>IF(COUNTIFS(Calibration!$A:$A,A127,Calibration!$B:$B,B127)&gt;0,"Yes","No")</f>
        <v>No</v>
      </c>
      <c r="S127" s="6"/>
    </row>
    <row r="128" spans="1:19" ht="34.5" customHeight="1" x14ac:dyDescent="0.2">
      <c r="A128" s="2">
        <v>53</v>
      </c>
      <c r="B128" s="2">
        <v>4</v>
      </c>
      <c r="C128" s="2" t="s">
        <v>123</v>
      </c>
      <c r="D128" s="2" t="s">
        <v>25</v>
      </c>
      <c r="E128" s="2">
        <v>20080401</v>
      </c>
      <c r="F128" s="2">
        <v>20080630</v>
      </c>
      <c r="G128" s="2">
        <v>14838</v>
      </c>
      <c r="H128" s="2">
        <v>9958.4</v>
      </c>
      <c r="I128" s="2">
        <v>24</v>
      </c>
      <c r="J128" s="2" t="s">
        <v>36</v>
      </c>
      <c r="K128" s="2" t="s">
        <v>37</v>
      </c>
      <c r="L128" s="2" t="s">
        <v>875</v>
      </c>
      <c r="M128" s="7" t="s">
        <v>876</v>
      </c>
      <c r="N128" s="7" t="s">
        <v>877</v>
      </c>
      <c r="O128" s="2"/>
      <c r="P128" s="2"/>
      <c r="Q128" s="2" t="str">
        <f>IF(SUMPRODUCT(--ISNUMBER(SEARCH('National Domains'!$A$2:$A$48,L128)))&gt;0,"Yes","No")</f>
        <v>No</v>
      </c>
      <c r="R128" s="2" t="str">
        <f>IF(COUNTIFS(Calibration!$A:$A,A128,Calibration!$B:$B,B128)&gt;0,"Yes","No")</f>
        <v>No</v>
      </c>
      <c r="S128" s="6"/>
    </row>
    <row r="129" spans="1:19" ht="34.5" customHeight="1" x14ac:dyDescent="0.2">
      <c r="A129" s="2">
        <v>53</v>
      </c>
      <c r="B129" s="2">
        <v>5</v>
      </c>
      <c r="C129" s="2" t="s">
        <v>123</v>
      </c>
      <c r="D129" s="2" t="s">
        <v>25</v>
      </c>
      <c r="E129" s="2">
        <v>20080401</v>
      </c>
      <c r="F129" s="2">
        <v>20080630</v>
      </c>
      <c r="G129" s="2">
        <v>14838</v>
      </c>
      <c r="H129" s="2">
        <v>9958.4</v>
      </c>
      <c r="I129" s="2">
        <v>24</v>
      </c>
      <c r="J129" s="2" t="s">
        <v>36</v>
      </c>
      <c r="K129" s="2" t="s">
        <v>37</v>
      </c>
      <c r="L129" s="2" t="s">
        <v>878</v>
      </c>
      <c r="M129" s="7" t="s">
        <v>879</v>
      </c>
      <c r="N129" s="7" t="s">
        <v>880</v>
      </c>
      <c r="O129" s="2"/>
      <c r="P129" s="2"/>
      <c r="Q129" s="2" t="str">
        <f>IF(SUMPRODUCT(--ISNUMBER(SEARCH('National Domains'!$A$2:$A$48,L129)))&gt;0,"Yes","No")</f>
        <v>No</v>
      </c>
      <c r="R129" s="2" t="str">
        <f>IF(COUNTIFS(Calibration!$A:$A,A129,Calibration!$B:$B,B129)&gt;0,"Yes","No")</f>
        <v>No</v>
      </c>
      <c r="S129" s="6"/>
    </row>
    <row r="130" spans="1:19" ht="34.5" customHeight="1" x14ac:dyDescent="0.2">
      <c r="A130" s="2">
        <v>53</v>
      </c>
      <c r="B130" s="2">
        <v>6</v>
      </c>
      <c r="C130" s="2" t="s">
        <v>123</v>
      </c>
      <c r="D130" s="2" t="s">
        <v>25</v>
      </c>
      <c r="E130" s="2">
        <v>20080401</v>
      </c>
      <c r="F130" s="2">
        <v>20080630</v>
      </c>
      <c r="G130" s="2">
        <v>14838</v>
      </c>
      <c r="H130" s="2">
        <v>9958.4</v>
      </c>
      <c r="I130" s="2">
        <v>24</v>
      </c>
      <c r="J130" s="2" t="s">
        <v>36</v>
      </c>
      <c r="K130" s="2" t="s">
        <v>37</v>
      </c>
      <c r="L130" s="2" t="s">
        <v>881</v>
      </c>
      <c r="M130" s="7" t="s">
        <v>882</v>
      </c>
      <c r="N130" s="7" t="s">
        <v>883</v>
      </c>
      <c r="O130" s="2"/>
      <c r="P130" s="2"/>
      <c r="Q130" s="2" t="str">
        <f>IF(SUMPRODUCT(--ISNUMBER(SEARCH('National Domains'!$A$2:$A$48,L130)))&gt;0,"Yes","No")</f>
        <v>Yes</v>
      </c>
      <c r="R130" s="2" t="str">
        <f>IF(COUNTIFS(Calibration!$A:$A,A130,Calibration!$B:$B,B130)&gt;0,"Yes","No")</f>
        <v>No</v>
      </c>
      <c r="S130" s="6"/>
    </row>
    <row r="131" spans="1:19" ht="34.5" customHeight="1" x14ac:dyDescent="0.2">
      <c r="A131" s="2">
        <v>53</v>
      </c>
      <c r="B131" s="2">
        <v>7</v>
      </c>
      <c r="C131" s="2" t="s">
        <v>123</v>
      </c>
      <c r="D131" s="2" t="s">
        <v>25</v>
      </c>
      <c r="E131" s="2">
        <v>20080401</v>
      </c>
      <c r="F131" s="2">
        <v>20080630</v>
      </c>
      <c r="G131" s="2">
        <v>14838</v>
      </c>
      <c r="H131" s="2">
        <v>9958.4</v>
      </c>
      <c r="I131" s="2">
        <v>24</v>
      </c>
      <c r="J131" s="2" t="s">
        <v>36</v>
      </c>
      <c r="K131" s="2" t="s">
        <v>37</v>
      </c>
      <c r="L131" s="2" t="s">
        <v>884</v>
      </c>
      <c r="M131" s="7" t="s">
        <v>885</v>
      </c>
      <c r="N131" s="7" t="s">
        <v>886</v>
      </c>
      <c r="O131" s="2"/>
      <c r="P131" s="2"/>
      <c r="Q131" s="2" t="str">
        <f>IF(SUMPRODUCT(--ISNUMBER(SEARCH('National Domains'!$A$2:$A$48,L131)))&gt;0,"Yes","No")</f>
        <v>Yes</v>
      </c>
      <c r="R131" s="2" t="str">
        <f>IF(COUNTIFS(Calibration!$A:$A,A131,Calibration!$B:$B,B131)&gt;0,"Yes","No")</f>
        <v>No</v>
      </c>
      <c r="S131" s="6"/>
    </row>
    <row r="132" spans="1:19" ht="34.5" customHeight="1" x14ac:dyDescent="0.2">
      <c r="A132" s="4">
        <v>53</v>
      </c>
      <c r="B132" s="4">
        <v>8</v>
      </c>
      <c r="C132" s="4" t="s">
        <v>123</v>
      </c>
      <c r="D132" s="4" t="s">
        <v>25</v>
      </c>
      <c r="E132" s="4">
        <v>20080401</v>
      </c>
      <c r="F132" s="4">
        <v>20080630</v>
      </c>
      <c r="G132" s="4">
        <v>14838</v>
      </c>
      <c r="H132" s="4">
        <v>9958.4</v>
      </c>
      <c r="I132" s="4">
        <v>24</v>
      </c>
      <c r="J132" s="4" t="s">
        <v>36</v>
      </c>
      <c r="K132" s="4" t="s">
        <v>37</v>
      </c>
      <c r="L132" s="4" t="s">
        <v>887</v>
      </c>
      <c r="M132" s="5" t="s">
        <v>888</v>
      </c>
      <c r="N132" s="5" t="s">
        <v>889</v>
      </c>
      <c r="O132" s="4"/>
      <c r="P132" s="4"/>
      <c r="Q132" s="4" t="str">
        <f>IF(SUMPRODUCT(--ISNUMBER(SEARCH('National Domains'!$A$2:$A$48,L132)))&gt;0,"Yes","No")</f>
        <v>Yes</v>
      </c>
      <c r="R132" s="4" t="str">
        <f>IF(COUNTIFS(Calibration!$A:$A,A132,Calibration!$B:$B,B132)&gt;0,"Yes","No")</f>
        <v>Yes</v>
      </c>
      <c r="S132" s="6"/>
    </row>
    <row r="133" spans="1:19" ht="34.5" customHeight="1" x14ac:dyDescent="0.2">
      <c r="A133" s="2">
        <v>53</v>
      </c>
      <c r="B133" s="2">
        <v>9</v>
      </c>
      <c r="C133" s="2" t="s">
        <v>123</v>
      </c>
      <c r="D133" s="2" t="s">
        <v>25</v>
      </c>
      <c r="E133" s="2">
        <v>20080401</v>
      </c>
      <c r="F133" s="2">
        <v>20080630</v>
      </c>
      <c r="G133" s="2">
        <v>14838</v>
      </c>
      <c r="H133" s="2">
        <v>9958.4</v>
      </c>
      <c r="I133" s="2">
        <v>24</v>
      </c>
      <c r="J133" s="2" t="s">
        <v>36</v>
      </c>
      <c r="K133" s="2" t="s">
        <v>37</v>
      </c>
      <c r="L133" s="2" t="s">
        <v>890</v>
      </c>
      <c r="M133" s="7" t="s">
        <v>891</v>
      </c>
      <c r="N133" s="7" t="s">
        <v>892</v>
      </c>
      <c r="O133" s="2"/>
      <c r="P133" s="2"/>
      <c r="Q133" s="2" t="str">
        <f>IF(SUMPRODUCT(--ISNUMBER(SEARCH('National Domains'!$A$2:$A$48,L133)))&gt;0,"Yes","No")</f>
        <v>Yes</v>
      </c>
      <c r="R133" s="2" t="str">
        <f>IF(COUNTIFS(Calibration!$A:$A,A133,Calibration!$B:$B,B133)&gt;0,"Yes","No")</f>
        <v>No</v>
      </c>
      <c r="S133" s="6"/>
    </row>
    <row r="134" spans="1:19" ht="34.5" customHeight="1" x14ac:dyDescent="0.2">
      <c r="A134" s="4">
        <v>53</v>
      </c>
      <c r="B134" s="4">
        <v>10</v>
      </c>
      <c r="C134" s="4" t="s">
        <v>123</v>
      </c>
      <c r="D134" s="4" t="s">
        <v>25</v>
      </c>
      <c r="E134" s="4">
        <v>20080401</v>
      </c>
      <c r="F134" s="4">
        <v>20080630</v>
      </c>
      <c r="G134" s="4">
        <v>14838</v>
      </c>
      <c r="H134" s="4">
        <v>9958.4</v>
      </c>
      <c r="I134" s="4">
        <v>24</v>
      </c>
      <c r="J134" s="4" t="s">
        <v>36</v>
      </c>
      <c r="K134" s="4" t="s">
        <v>37</v>
      </c>
      <c r="L134" s="4" t="s">
        <v>893</v>
      </c>
      <c r="M134" s="5" t="s">
        <v>894</v>
      </c>
      <c r="N134" s="5" t="s">
        <v>895</v>
      </c>
      <c r="O134" s="4"/>
      <c r="P134" s="4"/>
      <c r="Q134" s="4" t="str">
        <f>IF(SUMPRODUCT(--ISNUMBER(SEARCH('National Domains'!$A$2:$A$48,L134)))&gt;0,"Yes","No")</f>
        <v>No</v>
      </c>
      <c r="R134" s="4" t="str">
        <f>IF(COUNTIFS(Calibration!$A:$A,A134,Calibration!$B:$B,B134)&gt;0,"Yes","No")</f>
        <v>Yes</v>
      </c>
      <c r="S134" s="6"/>
    </row>
    <row r="135" spans="1:19" ht="34.5" customHeight="1" x14ac:dyDescent="0.2">
      <c r="A135" s="2">
        <v>53</v>
      </c>
      <c r="B135" s="2">
        <v>11</v>
      </c>
      <c r="C135" s="2" t="s">
        <v>123</v>
      </c>
      <c r="D135" s="2" t="s">
        <v>25</v>
      </c>
      <c r="E135" s="2">
        <v>20080401</v>
      </c>
      <c r="F135" s="2">
        <v>20080630</v>
      </c>
      <c r="G135" s="2">
        <v>14838</v>
      </c>
      <c r="H135" s="2">
        <v>9958.4</v>
      </c>
      <c r="I135" s="2">
        <v>24</v>
      </c>
      <c r="J135" s="2" t="s">
        <v>36</v>
      </c>
      <c r="K135" s="2" t="s">
        <v>37</v>
      </c>
      <c r="L135" s="2" t="s">
        <v>896</v>
      </c>
      <c r="M135" s="7" t="s">
        <v>897</v>
      </c>
      <c r="N135" s="7" t="s">
        <v>898</v>
      </c>
      <c r="O135" s="2"/>
      <c r="P135" s="2"/>
      <c r="Q135" s="2" t="str">
        <f>IF(SUMPRODUCT(--ISNUMBER(SEARCH('National Domains'!$A$2:$A$48,L135)))&gt;0,"Yes","No")</f>
        <v>No</v>
      </c>
      <c r="R135" s="2" t="str">
        <f>IF(COUNTIFS(Calibration!$A:$A,A135,Calibration!$B:$B,B135)&gt;0,"Yes","No")</f>
        <v>No</v>
      </c>
      <c r="S135" s="6"/>
    </row>
    <row r="136" spans="1:19" ht="34.5" customHeight="1" x14ac:dyDescent="0.2">
      <c r="A136" s="2">
        <v>53</v>
      </c>
      <c r="B136" s="2">
        <v>12</v>
      </c>
      <c r="C136" s="2" t="s">
        <v>123</v>
      </c>
      <c r="D136" s="2" t="s">
        <v>25</v>
      </c>
      <c r="E136" s="2">
        <v>20080401</v>
      </c>
      <c r="F136" s="2">
        <v>20080630</v>
      </c>
      <c r="G136" s="2">
        <v>14838</v>
      </c>
      <c r="H136" s="2">
        <v>9958.4</v>
      </c>
      <c r="I136" s="2">
        <v>24</v>
      </c>
      <c r="J136" s="2" t="s">
        <v>36</v>
      </c>
      <c r="K136" s="2" t="s">
        <v>37</v>
      </c>
      <c r="L136" s="2" t="s">
        <v>899</v>
      </c>
      <c r="M136" s="7" t="s">
        <v>900</v>
      </c>
      <c r="N136" s="7" t="s">
        <v>901</v>
      </c>
      <c r="O136" s="2"/>
      <c r="P136" s="2"/>
      <c r="Q136" s="2" t="str">
        <f>IF(SUMPRODUCT(--ISNUMBER(SEARCH('National Domains'!$A$2:$A$48,L136)))&gt;0,"Yes","No")</f>
        <v>No</v>
      </c>
      <c r="R136" s="2" t="str">
        <f>IF(COUNTIFS(Calibration!$A:$A,A136,Calibration!$B:$B,B136)&gt;0,"Yes","No")</f>
        <v>No</v>
      </c>
      <c r="S136" s="6"/>
    </row>
    <row r="137" spans="1:19" ht="34.5" customHeight="1" x14ac:dyDescent="0.2">
      <c r="A137" s="2">
        <v>53</v>
      </c>
      <c r="B137" s="2">
        <v>13</v>
      </c>
      <c r="C137" s="2" t="s">
        <v>123</v>
      </c>
      <c r="D137" s="2" t="s">
        <v>25</v>
      </c>
      <c r="E137" s="2">
        <v>20080401</v>
      </c>
      <c r="F137" s="2">
        <v>20080630</v>
      </c>
      <c r="G137" s="2">
        <v>14838</v>
      </c>
      <c r="H137" s="2">
        <v>9958.4</v>
      </c>
      <c r="I137" s="2">
        <v>24</v>
      </c>
      <c r="J137" s="2" t="s">
        <v>36</v>
      </c>
      <c r="K137" s="2" t="s">
        <v>37</v>
      </c>
      <c r="L137" s="2" t="s">
        <v>902</v>
      </c>
      <c r="M137" s="7" t="s">
        <v>903</v>
      </c>
      <c r="N137" s="7" t="s">
        <v>904</v>
      </c>
      <c r="O137" s="2"/>
      <c r="P137" s="2"/>
      <c r="Q137" s="2" t="str">
        <f>IF(SUMPRODUCT(--ISNUMBER(SEARCH('National Domains'!$A$2:$A$48,L137)))&gt;0,"Yes","No")</f>
        <v>No</v>
      </c>
      <c r="R137" s="2" t="str">
        <f>IF(COUNTIFS(Calibration!$A:$A,A137,Calibration!$B:$B,B137)&gt;0,"Yes","No")</f>
        <v>No</v>
      </c>
      <c r="S137" s="6"/>
    </row>
    <row r="138" spans="1:19" ht="34.5" customHeight="1" x14ac:dyDescent="0.2">
      <c r="A138" s="2">
        <v>53</v>
      </c>
      <c r="B138" s="2">
        <v>14</v>
      </c>
      <c r="C138" s="2" t="s">
        <v>123</v>
      </c>
      <c r="D138" s="2" t="s">
        <v>25</v>
      </c>
      <c r="E138" s="2">
        <v>20080401</v>
      </c>
      <c r="F138" s="2">
        <v>20080630</v>
      </c>
      <c r="G138" s="2">
        <v>14838</v>
      </c>
      <c r="H138" s="2">
        <v>9958.4</v>
      </c>
      <c r="I138" s="2">
        <v>24</v>
      </c>
      <c r="J138" s="2" t="s">
        <v>36</v>
      </c>
      <c r="K138" s="2" t="s">
        <v>37</v>
      </c>
      <c r="L138" s="2" t="s">
        <v>905</v>
      </c>
      <c r="M138" s="7" t="s">
        <v>906</v>
      </c>
      <c r="N138" s="7" t="s">
        <v>907</v>
      </c>
      <c r="O138" s="2"/>
      <c r="P138" s="2"/>
      <c r="Q138" s="2" t="str">
        <f>IF(SUMPRODUCT(--ISNUMBER(SEARCH('National Domains'!$A$2:$A$48,L138)))&gt;0,"Yes","No")</f>
        <v>No</v>
      </c>
      <c r="R138" s="2" t="str">
        <f>IF(COUNTIFS(Calibration!$A:$A,A138,Calibration!$B:$B,B138)&gt;0,"Yes","No")</f>
        <v>No</v>
      </c>
      <c r="S138" s="6"/>
    </row>
    <row r="139" spans="1:19" ht="34.5" customHeight="1" x14ac:dyDescent="0.2">
      <c r="A139" s="2">
        <v>53</v>
      </c>
      <c r="B139" s="2">
        <v>15</v>
      </c>
      <c r="C139" s="2" t="s">
        <v>123</v>
      </c>
      <c r="D139" s="2" t="s">
        <v>25</v>
      </c>
      <c r="E139" s="2">
        <v>20080401</v>
      </c>
      <c r="F139" s="2">
        <v>20080630</v>
      </c>
      <c r="G139" s="2">
        <v>14838</v>
      </c>
      <c r="H139" s="2">
        <v>9958.4</v>
      </c>
      <c r="I139" s="2">
        <v>24</v>
      </c>
      <c r="J139" s="2" t="s">
        <v>36</v>
      </c>
      <c r="K139" s="2" t="s">
        <v>37</v>
      </c>
      <c r="L139" s="2" t="s">
        <v>908</v>
      </c>
      <c r="M139" s="7" t="s">
        <v>909</v>
      </c>
      <c r="N139" s="7" t="s">
        <v>910</v>
      </c>
      <c r="O139" s="2"/>
      <c r="P139" s="2"/>
      <c r="Q139" s="2" t="str">
        <f>IF(SUMPRODUCT(--ISNUMBER(SEARCH('National Domains'!$A$2:$A$48,L139)))&gt;0,"Yes","No")</f>
        <v>No</v>
      </c>
      <c r="R139" s="2" t="str">
        <f>IF(COUNTIFS(Calibration!$A:$A,A139,Calibration!$B:$B,B139)&gt;0,"Yes","No")</f>
        <v>No</v>
      </c>
      <c r="S139" s="6"/>
    </row>
    <row r="140" spans="1:19" ht="34.5" customHeight="1" x14ac:dyDescent="0.2">
      <c r="A140" s="2">
        <v>53</v>
      </c>
      <c r="B140" s="2">
        <v>16</v>
      </c>
      <c r="C140" s="2" t="s">
        <v>123</v>
      </c>
      <c r="D140" s="2" t="s">
        <v>25</v>
      </c>
      <c r="E140" s="2">
        <v>20080401</v>
      </c>
      <c r="F140" s="2">
        <v>20080630</v>
      </c>
      <c r="G140" s="2">
        <v>14838</v>
      </c>
      <c r="H140" s="2">
        <v>9958.4</v>
      </c>
      <c r="I140" s="2">
        <v>24</v>
      </c>
      <c r="J140" s="2" t="s">
        <v>36</v>
      </c>
      <c r="K140" s="2" t="s">
        <v>37</v>
      </c>
      <c r="L140" s="2" t="s">
        <v>911</v>
      </c>
      <c r="M140" s="7" t="s">
        <v>912</v>
      </c>
      <c r="N140" s="7" t="s">
        <v>913</v>
      </c>
      <c r="O140" s="2"/>
      <c r="P140" s="2"/>
      <c r="Q140" s="2" t="str">
        <f>IF(SUMPRODUCT(--ISNUMBER(SEARCH('National Domains'!$A$2:$A$48,L140)))&gt;0,"Yes","No")</f>
        <v>Yes</v>
      </c>
      <c r="R140" s="2" t="str">
        <f>IF(COUNTIFS(Calibration!$A:$A,A140,Calibration!$B:$B,B140)&gt;0,"Yes","No")</f>
        <v>No</v>
      </c>
      <c r="S140" s="6"/>
    </row>
    <row r="141" spans="1:19" ht="34.5" customHeight="1" x14ac:dyDescent="0.2">
      <c r="A141" s="2">
        <v>53</v>
      </c>
      <c r="B141" s="2">
        <v>17</v>
      </c>
      <c r="C141" s="2" t="s">
        <v>123</v>
      </c>
      <c r="D141" s="2" t="s">
        <v>25</v>
      </c>
      <c r="E141" s="2">
        <v>20080401</v>
      </c>
      <c r="F141" s="2">
        <v>20080630</v>
      </c>
      <c r="G141" s="2">
        <v>14838</v>
      </c>
      <c r="H141" s="2">
        <v>9958.4</v>
      </c>
      <c r="I141" s="2">
        <v>24</v>
      </c>
      <c r="J141" s="2" t="s">
        <v>36</v>
      </c>
      <c r="K141" s="2" t="s">
        <v>37</v>
      </c>
      <c r="L141" s="2" t="s">
        <v>914</v>
      </c>
      <c r="M141" s="7" t="s">
        <v>915</v>
      </c>
      <c r="N141" s="7" t="s">
        <v>916</v>
      </c>
      <c r="O141" s="2"/>
      <c r="P141" s="2"/>
      <c r="Q141" s="2" t="str">
        <f>IF(SUMPRODUCT(--ISNUMBER(SEARCH('National Domains'!$A$2:$A$48,L141)))&gt;0,"Yes","No")</f>
        <v>Yes</v>
      </c>
      <c r="R141" s="2" t="str">
        <f>IF(COUNTIFS(Calibration!$A:$A,A141,Calibration!$B:$B,B141)&gt;0,"Yes","No")</f>
        <v>No</v>
      </c>
      <c r="S141" s="6"/>
    </row>
    <row r="142" spans="1:19" ht="34.5" customHeight="1" x14ac:dyDescent="0.2">
      <c r="A142" s="2">
        <v>53</v>
      </c>
      <c r="B142" s="2">
        <v>18</v>
      </c>
      <c r="C142" s="2" t="s">
        <v>123</v>
      </c>
      <c r="D142" s="2" t="s">
        <v>25</v>
      </c>
      <c r="E142" s="2">
        <v>20080401</v>
      </c>
      <c r="F142" s="2">
        <v>20080630</v>
      </c>
      <c r="G142" s="2">
        <v>14838</v>
      </c>
      <c r="H142" s="2">
        <v>9958.4</v>
      </c>
      <c r="I142" s="2">
        <v>24</v>
      </c>
      <c r="J142" s="2" t="s">
        <v>36</v>
      </c>
      <c r="K142" s="2" t="s">
        <v>37</v>
      </c>
      <c r="L142" s="2" t="s">
        <v>917</v>
      </c>
      <c r="M142" s="7" t="s">
        <v>918</v>
      </c>
      <c r="N142" s="7" t="s">
        <v>919</v>
      </c>
      <c r="O142" s="2"/>
      <c r="P142" s="2"/>
      <c r="Q142" s="2" t="str">
        <f>IF(SUMPRODUCT(--ISNUMBER(SEARCH('National Domains'!$A$2:$A$48,L142)))&gt;0,"Yes","No")</f>
        <v>Yes</v>
      </c>
      <c r="R142" s="2" t="str">
        <f>IF(COUNTIFS(Calibration!$A:$A,A142,Calibration!$B:$B,B142)&gt;0,"Yes","No")</f>
        <v>No</v>
      </c>
      <c r="S142" s="6"/>
    </row>
    <row r="143" spans="1:19" ht="34.5" customHeight="1" x14ac:dyDescent="0.2">
      <c r="A143" s="2">
        <v>53</v>
      </c>
      <c r="B143" s="2">
        <v>19</v>
      </c>
      <c r="C143" s="2" t="s">
        <v>123</v>
      </c>
      <c r="D143" s="2" t="s">
        <v>25</v>
      </c>
      <c r="E143" s="2">
        <v>20080401</v>
      </c>
      <c r="F143" s="2">
        <v>20080630</v>
      </c>
      <c r="G143" s="2">
        <v>14838</v>
      </c>
      <c r="H143" s="2">
        <v>9958.4</v>
      </c>
      <c r="I143" s="2">
        <v>24</v>
      </c>
      <c r="J143" s="2" t="s">
        <v>36</v>
      </c>
      <c r="K143" s="2" t="s">
        <v>37</v>
      </c>
      <c r="L143" s="2" t="s">
        <v>920</v>
      </c>
      <c r="M143" s="7" t="s">
        <v>921</v>
      </c>
      <c r="N143" s="7" t="s">
        <v>922</v>
      </c>
      <c r="O143" s="2"/>
      <c r="P143" s="2"/>
      <c r="Q143" s="2" t="str">
        <f>IF(SUMPRODUCT(--ISNUMBER(SEARCH('National Domains'!$A$2:$A$48,L143)))&gt;0,"Yes","No")</f>
        <v>Yes</v>
      </c>
      <c r="R143" s="2" t="str">
        <f>IF(COUNTIFS(Calibration!$A:$A,A143,Calibration!$B:$B,B143)&gt;0,"Yes","No")</f>
        <v>No</v>
      </c>
      <c r="S143" s="6"/>
    </row>
    <row r="144" spans="1:19" ht="34.5" customHeight="1" x14ac:dyDescent="0.2">
      <c r="A144" s="2">
        <v>53</v>
      </c>
      <c r="B144" s="2">
        <v>20</v>
      </c>
      <c r="C144" s="2" t="s">
        <v>123</v>
      </c>
      <c r="D144" s="2" t="s">
        <v>25</v>
      </c>
      <c r="E144" s="2">
        <v>20080401</v>
      </c>
      <c r="F144" s="2">
        <v>20080630</v>
      </c>
      <c r="G144" s="2">
        <v>14838</v>
      </c>
      <c r="H144" s="2">
        <v>9958.4</v>
      </c>
      <c r="I144" s="2">
        <v>24</v>
      </c>
      <c r="J144" s="2" t="s">
        <v>36</v>
      </c>
      <c r="K144" s="2" t="s">
        <v>37</v>
      </c>
      <c r="L144" s="2" t="s">
        <v>923</v>
      </c>
      <c r="M144" s="7" t="s">
        <v>924</v>
      </c>
      <c r="N144" s="7" t="s">
        <v>925</v>
      </c>
      <c r="O144" s="2"/>
      <c r="P144" s="2"/>
      <c r="Q144" s="2" t="str">
        <f>IF(SUMPRODUCT(--ISNUMBER(SEARCH('National Domains'!$A$2:$A$48,L144)))&gt;0,"Yes","No")</f>
        <v>Yes</v>
      </c>
      <c r="R144" s="2" t="str">
        <f>IF(COUNTIFS(Calibration!$A:$A,A144,Calibration!$B:$B,B144)&gt;0,"Yes","No")</f>
        <v>No</v>
      </c>
      <c r="S144" s="6"/>
    </row>
    <row r="145" spans="1:19" ht="34.5" customHeight="1" x14ac:dyDescent="0.2">
      <c r="A145" s="2">
        <v>54</v>
      </c>
      <c r="B145" s="2">
        <v>1</v>
      </c>
      <c r="C145" s="2" t="s">
        <v>124</v>
      </c>
      <c r="D145" s="2" t="s">
        <v>39</v>
      </c>
      <c r="E145" s="2">
        <v>20080723</v>
      </c>
      <c r="F145" s="2">
        <v>20080725</v>
      </c>
      <c r="G145" s="2">
        <v>1812.2</v>
      </c>
      <c r="H145" s="2">
        <v>1267.3</v>
      </c>
      <c r="I145" s="2">
        <v>3</v>
      </c>
      <c r="J145" s="2" t="s">
        <v>125</v>
      </c>
      <c r="K145" s="2" t="s">
        <v>41</v>
      </c>
      <c r="L145" s="2" t="s">
        <v>926</v>
      </c>
      <c r="M145" s="7" t="s">
        <v>927</v>
      </c>
      <c r="N145" s="7" t="s">
        <v>928</v>
      </c>
      <c r="O145" s="2"/>
      <c r="P145" s="2"/>
      <c r="Q145" s="2" t="str">
        <f>IF(SUMPRODUCT(--ISNUMBER(SEARCH('National Domains'!$A$2:$A$48,L145)))&gt;0,"Yes","No")</f>
        <v>No</v>
      </c>
      <c r="R145" s="2" t="str">
        <f>IF(COUNTIFS(Calibration!$A:$A,A145,Calibration!$B:$B,B145)&gt;0,"Yes","No")</f>
        <v>No</v>
      </c>
      <c r="S145" s="6"/>
    </row>
    <row r="146" spans="1:19" ht="34.5" customHeight="1" x14ac:dyDescent="0.2">
      <c r="A146" s="2">
        <v>54</v>
      </c>
      <c r="B146" s="2">
        <v>2</v>
      </c>
      <c r="C146" s="2" t="s">
        <v>124</v>
      </c>
      <c r="D146" s="2" t="s">
        <v>39</v>
      </c>
      <c r="E146" s="2">
        <v>20080723</v>
      </c>
      <c r="F146" s="2">
        <v>20080725</v>
      </c>
      <c r="G146" s="2">
        <v>1812.2</v>
      </c>
      <c r="H146" s="2">
        <v>1267.3</v>
      </c>
      <c r="I146" s="2">
        <v>3</v>
      </c>
      <c r="J146" s="2" t="s">
        <v>125</v>
      </c>
      <c r="K146" s="2" t="s">
        <v>41</v>
      </c>
      <c r="L146" s="2" t="s">
        <v>929</v>
      </c>
      <c r="M146" s="7" t="s">
        <v>930</v>
      </c>
      <c r="N146" s="7" t="s">
        <v>931</v>
      </c>
      <c r="O146" s="2"/>
      <c r="P146" s="2"/>
      <c r="Q146" s="2" t="str">
        <f>IF(SUMPRODUCT(--ISNUMBER(SEARCH('National Domains'!$A$2:$A$48,L146)))&gt;0,"Yes","No")</f>
        <v>No</v>
      </c>
      <c r="R146" s="2" t="str">
        <f>IF(COUNTIFS(Calibration!$A:$A,A146,Calibration!$B:$B,B146)&gt;0,"Yes","No")</f>
        <v>No</v>
      </c>
      <c r="S146" s="6"/>
    </row>
    <row r="147" spans="1:19" ht="34.5" customHeight="1" x14ac:dyDescent="0.2">
      <c r="A147" s="2">
        <v>54</v>
      </c>
      <c r="B147" s="2">
        <v>3</v>
      </c>
      <c r="C147" s="2" t="s">
        <v>124</v>
      </c>
      <c r="D147" s="2" t="s">
        <v>39</v>
      </c>
      <c r="E147" s="2">
        <v>20080723</v>
      </c>
      <c r="F147" s="2">
        <v>20080725</v>
      </c>
      <c r="G147" s="2">
        <v>1812.2</v>
      </c>
      <c r="H147" s="2">
        <v>1267.3</v>
      </c>
      <c r="I147" s="2">
        <v>3</v>
      </c>
      <c r="J147" s="2" t="s">
        <v>125</v>
      </c>
      <c r="K147" s="2" t="s">
        <v>41</v>
      </c>
      <c r="L147" s="2" t="s">
        <v>932</v>
      </c>
      <c r="M147" s="7" t="s">
        <v>933</v>
      </c>
      <c r="N147" s="7" t="s">
        <v>934</v>
      </c>
      <c r="O147" s="2"/>
      <c r="P147" s="2"/>
      <c r="Q147" s="2" t="str">
        <f>IF(SUMPRODUCT(--ISNUMBER(SEARCH('National Domains'!$A$2:$A$48,L147)))&gt;0,"Yes","No")</f>
        <v>No</v>
      </c>
      <c r="R147" s="2" t="str">
        <f>IF(COUNTIFS(Calibration!$A:$A,A147,Calibration!$B:$B,B147)&gt;0,"Yes","No")</f>
        <v>No</v>
      </c>
      <c r="S147" s="6"/>
    </row>
    <row r="148" spans="1:19" ht="34.5" customHeight="1" x14ac:dyDescent="0.2">
      <c r="A148" s="2">
        <v>54</v>
      </c>
      <c r="B148" s="2">
        <v>4</v>
      </c>
      <c r="C148" s="2" t="s">
        <v>124</v>
      </c>
      <c r="D148" s="2" t="s">
        <v>39</v>
      </c>
      <c r="E148" s="2">
        <v>20080723</v>
      </c>
      <c r="F148" s="2">
        <v>20080725</v>
      </c>
      <c r="G148" s="2">
        <v>1812.2</v>
      </c>
      <c r="H148" s="2">
        <v>1267.3</v>
      </c>
      <c r="I148" s="2">
        <v>3</v>
      </c>
      <c r="J148" s="2" t="s">
        <v>125</v>
      </c>
      <c r="K148" s="2" t="s">
        <v>41</v>
      </c>
      <c r="L148" s="2" t="s">
        <v>935</v>
      </c>
      <c r="M148" s="7" t="s">
        <v>936</v>
      </c>
      <c r="N148" s="7" t="s">
        <v>937</v>
      </c>
      <c r="O148" s="2"/>
      <c r="P148" s="2"/>
      <c r="Q148" s="2" t="str">
        <f>IF(SUMPRODUCT(--ISNUMBER(SEARCH('National Domains'!$A$2:$A$48,L148)))&gt;0,"Yes","No")</f>
        <v>Yes</v>
      </c>
      <c r="R148" s="2" t="str">
        <f>IF(COUNTIFS(Calibration!$A:$A,A148,Calibration!$B:$B,B148)&gt;0,"Yes","No")</f>
        <v>No</v>
      </c>
      <c r="S148" s="6"/>
    </row>
    <row r="149" spans="1:19" ht="34.5" customHeight="1" x14ac:dyDescent="0.2">
      <c r="A149" s="2">
        <v>54</v>
      </c>
      <c r="B149" s="2">
        <v>5</v>
      </c>
      <c r="C149" s="2" t="s">
        <v>124</v>
      </c>
      <c r="D149" s="2" t="s">
        <v>39</v>
      </c>
      <c r="E149" s="2">
        <v>20080723</v>
      </c>
      <c r="F149" s="2">
        <v>20080725</v>
      </c>
      <c r="G149" s="2">
        <v>1812.2</v>
      </c>
      <c r="H149" s="2">
        <v>1267.3</v>
      </c>
      <c r="I149" s="2">
        <v>3</v>
      </c>
      <c r="J149" s="2" t="s">
        <v>125</v>
      </c>
      <c r="K149" s="2" t="s">
        <v>41</v>
      </c>
      <c r="L149" s="2" t="s">
        <v>938</v>
      </c>
      <c r="M149" s="7" t="s">
        <v>939</v>
      </c>
      <c r="N149" s="7" t="s">
        <v>940</v>
      </c>
      <c r="O149" s="2"/>
      <c r="P149" s="2"/>
      <c r="Q149" s="2" t="str">
        <f>IF(SUMPRODUCT(--ISNUMBER(SEARCH('National Domains'!$A$2:$A$48,L149)))&gt;0,"Yes","No")</f>
        <v>Yes</v>
      </c>
      <c r="R149" s="2" t="str">
        <f>IF(COUNTIFS(Calibration!$A:$A,A149,Calibration!$B:$B,B149)&gt;0,"Yes","No")</f>
        <v>No</v>
      </c>
      <c r="S149" s="6"/>
    </row>
    <row r="150" spans="1:19" ht="34.5" customHeight="1" x14ac:dyDescent="0.2">
      <c r="A150" s="2">
        <v>54</v>
      </c>
      <c r="B150" s="2">
        <v>6</v>
      </c>
      <c r="C150" s="2" t="s">
        <v>124</v>
      </c>
      <c r="D150" s="2" t="s">
        <v>39</v>
      </c>
      <c r="E150" s="2">
        <v>20080723</v>
      </c>
      <c r="F150" s="2">
        <v>20080725</v>
      </c>
      <c r="G150" s="2">
        <v>1812.2</v>
      </c>
      <c r="H150" s="2">
        <v>1267.3</v>
      </c>
      <c r="I150" s="2">
        <v>3</v>
      </c>
      <c r="J150" s="2" t="s">
        <v>125</v>
      </c>
      <c r="K150" s="2" t="s">
        <v>41</v>
      </c>
      <c r="L150" s="2" t="s">
        <v>941</v>
      </c>
      <c r="M150" s="7" t="s">
        <v>741</v>
      </c>
      <c r="N150" s="7" t="s">
        <v>942</v>
      </c>
      <c r="O150" s="2"/>
      <c r="P150" s="2"/>
      <c r="Q150" s="2" t="str">
        <f>IF(SUMPRODUCT(--ISNUMBER(SEARCH('National Domains'!$A$2:$A$48,L150)))&gt;0,"Yes","No")</f>
        <v>Yes</v>
      </c>
      <c r="R150" s="2" t="str">
        <f>IF(COUNTIFS(Calibration!$A:$A,A150,Calibration!$B:$B,B150)&gt;0,"Yes","No")</f>
        <v>No</v>
      </c>
      <c r="S150" s="6"/>
    </row>
    <row r="151" spans="1:19" ht="34.5" customHeight="1" x14ac:dyDescent="0.2">
      <c r="A151" s="2">
        <v>55</v>
      </c>
      <c r="B151" s="2">
        <v>1</v>
      </c>
      <c r="C151" s="2" t="s">
        <v>126</v>
      </c>
      <c r="D151" s="2" t="s">
        <v>39</v>
      </c>
      <c r="E151" s="2">
        <v>20080831</v>
      </c>
      <c r="F151" s="2">
        <v>20080903</v>
      </c>
      <c r="G151" s="2">
        <v>8635.7000000000007</v>
      </c>
      <c r="H151" s="2">
        <v>5997</v>
      </c>
      <c r="I151" s="2">
        <v>53</v>
      </c>
      <c r="J151" s="2" t="s">
        <v>46</v>
      </c>
      <c r="K151" s="2" t="s">
        <v>41</v>
      </c>
      <c r="L151" s="2" t="s">
        <v>943</v>
      </c>
      <c r="M151" s="7" t="s">
        <v>944</v>
      </c>
      <c r="N151" s="7" t="s">
        <v>945</v>
      </c>
      <c r="O151" s="2"/>
      <c r="P151" s="2"/>
      <c r="Q151" s="2" t="str">
        <f>IF(SUMPRODUCT(--ISNUMBER(SEARCH('National Domains'!$A$2:$A$48,L151)))&gt;0,"Yes","No")</f>
        <v>No</v>
      </c>
      <c r="R151" s="2" t="str">
        <f>IF(COUNTIFS(Calibration!$A:$A,A151,Calibration!$B:$B,B151)&gt;0,"Yes","No")</f>
        <v>No</v>
      </c>
      <c r="S151" s="6"/>
    </row>
    <row r="152" spans="1:19" ht="34.5" customHeight="1" x14ac:dyDescent="0.2">
      <c r="A152" s="2">
        <v>55</v>
      </c>
      <c r="B152" s="2">
        <v>2</v>
      </c>
      <c r="C152" s="2" t="s">
        <v>126</v>
      </c>
      <c r="D152" s="2" t="s">
        <v>39</v>
      </c>
      <c r="E152" s="2">
        <v>20080831</v>
      </c>
      <c r="F152" s="2">
        <v>20080903</v>
      </c>
      <c r="G152" s="2">
        <v>8635.7000000000007</v>
      </c>
      <c r="H152" s="2">
        <v>5997</v>
      </c>
      <c r="I152" s="2">
        <v>53</v>
      </c>
      <c r="J152" s="2" t="s">
        <v>46</v>
      </c>
      <c r="K152" s="2" t="s">
        <v>41</v>
      </c>
      <c r="L152" s="2" t="s">
        <v>946</v>
      </c>
      <c r="M152" s="7" t="s">
        <v>947</v>
      </c>
      <c r="N152" s="7" t="s">
        <v>948</v>
      </c>
      <c r="O152" s="2"/>
      <c r="P152" s="2"/>
      <c r="Q152" s="2" t="str">
        <f>IF(SUMPRODUCT(--ISNUMBER(SEARCH('National Domains'!$A$2:$A$48,L152)))&gt;0,"Yes","No")</f>
        <v>No</v>
      </c>
      <c r="R152" s="2" t="str">
        <f>IF(COUNTIFS(Calibration!$A:$A,A152,Calibration!$B:$B,B152)&gt;0,"Yes","No")</f>
        <v>No</v>
      </c>
      <c r="S152" s="6"/>
    </row>
    <row r="153" spans="1:19" ht="34.5" customHeight="1" x14ac:dyDescent="0.2">
      <c r="A153" s="2">
        <v>55</v>
      </c>
      <c r="B153" s="2">
        <v>3</v>
      </c>
      <c r="C153" s="2" t="s">
        <v>126</v>
      </c>
      <c r="D153" s="2" t="s">
        <v>39</v>
      </c>
      <c r="E153" s="2">
        <v>20080831</v>
      </c>
      <c r="F153" s="2">
        <v>20080903</v>
      </c>
      <c r="G153" s="2">
        <v>8635.7000000000007</v>
      </c>
      <c r="H153" s="2">
        <v>5997</v>
      </c>
      <c r="I153" s="2">
        <v>53</v>
      </c>
      <c r="J153" s="2" t="s">
        <v>46</v>
      </c>
      <c r="K153" s="2" t="s">
        <v>41</v>
      </c>
      <c r="L153" s="2" t="s">
        <v>949</v>
      </c>
      <c r="M153" s="7" t="s">
        <v>950</v>
      </c>
      <c r="N153" s="7" t="s">
        <v>951</v>
      </c>
      <c r="O153" s="2"/>
      <c r="P153" s="2"/>
      <c r="Q153" s="2" t="str">
        <f>IF(SUMPRODUCT(--ISNUMBER(SEARCH('National Domains'!$A$2:$A$48,L153)))&gt;0,"Yes","No")</f>
        <v>Yes</v>
      </c>
      <c r="R153" s="2" t="str">
        <f>IF(COUNTIFS(Calibration!$A:$A,A153,Calibration!$B:$B,B153)&gt;0,"Yes","No")</f>
        <v>No</v>
      </c>
      <c r="S153" s="6"/>
    </row>
    <row r="154" spans="1:19" ht="34.5" customHeight="1" x14ac:dyDescent="0.2">
      <c r="A154" s="2">
        <v>55</v>
      </c>
      <c r="B154" s="2">
        <v>4</v>
      </c>
      <c r="C154" s="2" t="s">
        <v>126</v>
      </c>
      <c r="D154" s="2" t="s">
        <v>39</v>
      </c>
      <c r="E154" s="2">
        <v>20080831</v>
      </c>
      <c r="F154" s="2">
        <v>20080903</v>
      </c>
      <c r="G154" s="2">
        <v>8635.7000000000007</v>
      </c>
      <c r="H154" s="2">
        <v>5997</v>
      </c>
      <c r="I154" s="2">
        <v>53</v>
      </c>
      <c r="J154" s="2" t="s">
        <v>46</v>
      </c>
      <c r="K154" s="2" t="s">
        <v>41</v>
      </c>
      <c r="L154" s="2" t="s">
        <v>952</v>
      </c>
      <c r="M154" s="7" t="s">
        <v>953</v>
      </c>
      <c r="N154" s="7" t="s">
        <v>954</v>
      </c>
      <c r="O154" s="2"/>
      <c r="P154" s="2"/>
      <c r="Q154" s="2" t="str">
        <f>IF(SUMPRODUCT(--ISNUMBER(SEARCH('National Domains'!$A$2:$A$48,L154)))&gt;0,"Yes","No")</f>
        <v>Yes</v>
      </c>
      <c r="R154" s="2" t="str">
        <f>IF(COUNTIFS(Calibration!$A:$A,A154,Calibration!$B:$B,B154)&gt;0,"Yes","No")</f>
        <v>No</v>
      </c>
      <c r="S154" s="6"/>
    </row>
    <row r="155" spans="1:19" ht="34.5" customHeight="1" x14ac:dyDescent="0.2">
      <c r="A155" s="2">
        <v>55</v>
      </c>
      <c r="B155" s="2">
        <v>5</v>
      </c>
      <c r="C155" s="2" t="s">
        <v>126</v>
      </c>
      <c r="D155" s="2" t="s">
        <v>39</v>
      </c>
      <c r="E155" s="2">
        <v>20080831</v>
      </c>
      <c r="F155" s="2">
        <v>20080903</v>
      </c>
      <c r="G155" s="2">
        <v>8635.7000000000007</v>
      </c>
      <c r="H155" s="2">
        <v>5997</v>
      </c>
      <c r="I155" s="2">
        <v>53</v>
      </c>
      <c r="J155" s="2" t="s">
        <v>46</v>
      </c>
      <c r="K155" s="2" t="s">
        <v>41</v>
      </c>
      <c r="L155" s="2" t="s">
        <v>955</v>
      </c>
      <c r="M155" s="7" t="s">
        <v>956</v>
      </c>
      <c r="N155" s="7" t="s">
        <v>957</v>
      </c>
      <c r="O155" s="2"/>
      <c r="P155" s="2"/>
      <c r="Q155" s="2" t="str">
        <f>IF(SUMPRODUCT(--ISNUMBER(SEARCH('National Domains'!$A$2:$A$48,L155)))&gt;0,"Yes","No")</f>
        <v>Yes</v>
      </c>
      <c r="R155" s="2" t="str">
        <f>IF(COUNTIFS(Calibration!$A:$A,A155,Calibration!$B:$B,B155)&gt;0,"Yes","No")</f>
        <v>No</v>
      </c>
      <c r="S155" s="6"/>
    </row>
    <row r="156" spans="1:19" ht="34.5" customHeight="1" x14ac:dyDescent="0.2">
      <c r="A156" s="4">
        <v>55</v>
      </c>
      <c r="B156" s="4">
        <v>6</v>
      </c>
      <c r="C156" s="4" t="s">
        <v>126</v>
      </c>
      <c r="D156" s="4" t="s">
        <v>39</v>
      </c>
      <c r="E156" s="4">
        <v>20080831</v>
      </c>
      <c r="F156" s="4">
        <v>20080903</v>
      </c>
      <c r="G156" s="4">
        <v>8635.7000000000007</v>
      </c>
      <c r="H156" s="4">
        <v>5997</v>
      </c>
      <c r="I156" s="4">
        <v>53</v>
      </c>
      <c r="J156" s="4" t="s">
        <v>46</v>
      </c>
      <c r="K156" s="4" t="s">
        <v>41</v>
      </c>
      <c r="L156" s="4" t="s">
        <v>958</v>
      </c>
      <c r="M156" s="5" t="s">
        <v>959</v>
      </c>
      <c r="N156" s="5" t="s">
        <v>960</v>
      </c>
      <c r="O156" s="4"/>
      <c r="P156" s="4"/>
      <c r="Q156" s="4" t="str">
        <f>IF(SUMPRODUCT(--ISNUMBER(SEARCH('National Domains'!$A$2:$A$48,L156)))&gt;0,"Yes","No")</f>
        <v>Yes</v>
      </c>
      <c r="R156" s="4" t="str">
        <f>IF(COUNTIFS(Calibration!$A:$A,A156,Calibration!$B:$B,B156)&gt;0,"Yes","No")</f>
        <v>Yes</v>
      </c>
      <c r="S156" s="6"/>
    </row>
    <row r="157" spans="1:19" ht="34.5" customHeight="1" x14ac:dyDescent="0.2">
      <c r="A157" s="2">
        <v>55</v>
      </c>
      <c r="B157" s="2">
        <v>7</v>
      </c>
      <c r="C157" s="2" t="s">
        <v>126</v>
      </c>
      <c r="D157" s="2" t="s">
        <v>39</v>
      </c>
      <c r="E157" s="2">
        <v>20080831</v>
      </c>
      <c r="F157" s="2">
        <v>20080903</v>
      </c>
      <c r="G157" s="2">
        <v>8635.7000000000007</v>
      </c>
      <c r="H157" s="2">
        <v>5997</v>
      </c>
      <c r="I157" s="2">
        <v>53</v>
      </c>
      <c r="J157" s="2" t="s">
        <v>46</v>
      </c>
      <c r="K157" s="2" t="s">
        <v>41</v>
      </c>
      <c r="L157" s="2" t="s">
        <v>961</v>
      </c>
      <c r="M157" s="7" t="s">
        <v>962</v>
      </c>
      <c r="N157" s="7" t="s">
        <v>963</v>
      </c>
      <c r="O157" s="2"/>
      <c r="P157" s="2"/>
      <c r="Q157" s="2" t="str">
        <f>IF(SUMPRODUCT(--ISNUMBER(SEARCH('National Domains'!$A$2:$A$48,L157)))&gt;0,"Yes","No")</f>
        <v>Yes</v>
      </c>
      <c r="R157" s="2" t="str">
        <f>IF(COUNTIFS(Calibration!$A:$A,A157,Calibration!$B:$B,B157)&gt;0,"Yes","No")</f>
        <v>No</v>
      </c>
      <c r="S157" s="6"/>
    </row>
    <row r="158" spans="1:19" ht="34.5" customHeight="1" x14ac:dyDescent="0.2">
      <c r="A158" s="2">
        <v>55</v>
      </c>
      <c r="B158" s="2">
        <v>8</v>
      </c>
      <c r="C158" s="2" t="s">
        <v>126</v>
      </c>
      <c r="D158" s="2" t="s">
        <v>39</v>
      </c>
      <c r="E158" s="2">
        <v>20080831</v>
      </c>
      <c r="F158" s="2">
        <v>20080903</v>
      </c>
      <c r="G158" s="2">
        <v>8635.7000000000007</v>
      </c>
      <c r="H158" s="2">
        <v>5997</v>
      </c>
      <c r="I158" s="2">
        <v>53</v>
      </c>
      <c r="J158" s="2" t="s">
        <v>46</v>
      </c>
      <c r="K158" s="2" t="s">
        <v>41</v>
      </c>
      <c r="L158" s="2" t="s">
        <v>964</v>
      </c>
      <c r="M158" s="7" t="s">
        <v>965</v>
      </c>
      <c r="N158" s="7" t="s">
        <v>966</v>
      </c>
      <c r="O158" s="2"/>
      <c r="P158" s="2"/>
      <c r="Q158" s="2" t="str">
        <f>IF(SUMPRODUCT(--ISNUMBER(SEARCH('National Domains'!$A$2:$A$48,L158)))&gt;0,"Yes","No")</f>
        <v>Yes</v>
      </c>
      <c r="R158" s="2" t="str">
        <f>IF(COUNTIFS(Calibration!$A:$A,A158,Calibration!$B:$B,B158)&gt;0,"Yes","No")</f>
        <v>No</v>
      </c>
      <c r="S158" s="6"/>
    </row>
    <row r="159" spans="1:19" ht="34.5" customHeight="1" x14ac:dyDescent="0.2">
      <c r="A159" s="2">
        <v>56</v>
      </c>
      <c r="B159" s="2">
        <v>1</v>
      </c>
      <c r="C159" s="2" t="s">
        <v>127</v>
      </c>
      <c r="D159" s="2" t="s">
        <v>39</v>
      </c>
      <c r="E159" s="2">
        <v>20080912</v>
      </c>
      <c r="F159" s="2">
        <v>20080914</v>
      </c>
      <c r="G159" s="2">
        <v>43198.400000000001</v>
      </c>
      <c r="H159" s="2">
        <v>29998.799999999999</v>
      </c>
      <c r="I159" s="2">
        <v>112</v>
      </c>
      <c r="J159" s="2" t="s">
        <v>40</v>
      </c>
      <c r="K159" s="2" t="s">
        <v>41</v>
      </c>
      <c r="L159" s="2" t="s">
        <v>967</v>
      </c>
      <c r="M159" s="7" t="s">
        <v>968</v>
      </c>
      <c r="N159" s="7" t="s">
        <v>969</v>
      </c>
      <c r="O159" s="2"/>
      <c r="P159" s="2"/>
      <c r="Q159" s="2" t="str">
        <f>IF(SUMPRODUCT(--ISNUMBER(SEARCH('National Domains'!$A$2:$A$48,L159)))&gt;0,"Yes","No")</f>
        <v>Yes</v>
      </c>
      <c r="R159" s="2" t="str">
        <f>IF(COUNTIFS(Calibration!$A:$A,A159,Calibration!$B:$B,B159)&gt;0,"Yes","No")</f>
        <v>No</v>
      </c>
      <c r="S159" s="6"/>
    </row>
    <row r="160" spans="1:19" ht="34.5" customHeight="1" x14ac:dyDescent="0.2">
      <c r="A160" s="2">
        <v>56</v>
      </c>
      <c r="B160" s="2">
        <v>2</v>
      </c>
      <c r="C160" s="2" t="s">
        <v>127</v>
      </c>
      <c r="D160" s="2" t="s">
        <v>39</v>
      </c>
      <c r="E160" s="2">
        <v>20080912</v>
      </c>
      <c r="F160" s="2">
        <v>20080914</v>
      </c>
      <c r="G160" s="2">
        <v>43198.400000000001</v>
      </c>
      <c r="H160" s="2">
        <v>29998.799999999999</v>
      </c>
      <c r="I160" s="2">
        <v>112</v>
      </c>
      <c r="J160" s="2" t="s">
        <v>40</v>
      </c>
      <c r="K160" s="2" t="s">
        <v>41</v>
      </c>
      <c r="L160" s="2" t="s">
        <v>970</v>
      </c>
      <c r="M160" s="7" t="s">
        <v>971</v>
      </c>
      <c r="N160" s="7" t="s">
        <v>972</v>
      </c>
      <c r="O160" s="2"/>
      <c r="P160" s="2"/>
      <c r="Q160" s="2" t="str">
        <f>IF(SUMPRODUCT(--ISNUMBER(SEARCH('National Domains'!$A$2:$A$48,L160)))&gt;0,"Yes","No")</f>
        <v>Yes</v>
      </c>
      <c r="R160" s="2" t="str">
        <f>IF(COUNTIFS(Calibration!$A:$A,A160,Calibration!$B:$B,B160)&gt;0,"Yes","No")</f>
        <v>No</v>
      </c>
      <c r="S160" s="6"/>
    </row>
    <row r="161" spans="1:19" ht="34.5" customHeight="1" x14ac:dyDescent="0.2">
      <c r="A161" s="2">
        <v>56</v>
      </c>
      <c r="B161" s="2">
        <v>3</v>
      </c>
      <c r="C161" s="2" t="s">
        <v>127</v>
      </c>
      <c r="D161" s="2" t="s">
        <v>39</v>
      </c>
      <c r="E161" s="2">
        <v>20080912</v>
      </c>
      <c r="F161" s="2">
        <v>20080914</v>
      </c>
      <c r="G161" s="2">
        <v>43198.400000000001</v>
      </c>
      <c r="H161" s="2">
        <v>29998.799999999999</v>
      </c>
      <c r="I161" s="2">
        <v>112</v>
      </c>
      <c r="J161" s="2" t="s">
        <v>40</v>
      </c>
      <c r="K161" s="2" t="s">
        <v>41</v>
      </c>
      <c r="L161" s="2" t="s">
        <v>973</v>
      </c>
      <c r="M161" s="7" t="s">
        <v>974</v>
      </c>
      <c r="N161" s="7" t="s">
        <v>975</v>
      </c>
      <c r="O161" s="2"/>
      <c r="P161" s="2"/>
      <c r="Q161" s="2" t="str">
        <f>IF(SUMPRODUCT(--ISNUMBER(SEARCH('National Domains'!$A$2:$A$48,L161)))&gt;0,"Yes","No")</f>
        <v>No</v>
      </c>
      <c r="R161" s="2" t="str">
        <f>IF(COUNTIFS(Calibration!$A:$A,A161,Calibration!$B:$B,B161)&gt;0,"Yes","No")</f>
        <v>No</v>
      </c>
      <c r="S161" s="6"/>
    </row>
    <row r="162" spans="1:19" ht="34.5" customHeight="1" x14ac:dyDescent="0.2">
      <c r="A162" s="2">
        <v>56</v>
      </c>
      <c r="B162" s="2">
        <v>4</v>
      </c>
      <c r="C162" s="2" t="s">
        <v>127</v>
      </c>
      <c r="D162" s="2" t="s">
        <v>39</v>
      </c>
      <c r="E162" s="2">
        <v>20080912</v>
      </c>
      <c r="F162" s="2">
        <v>20080914</v>
      </c>
      <c r="G162" s="2">
        <v>43198.400000000001</v>
      </c>
      <c r="H162" s="2">
        <v>29998.799999999999</v>
      </c>
      <c r="I162" s="2">
        <v>112</v>
      </c>
      <c r="J162" s="2" t="s">
        <v>40</v>
      </c>
      <c r="K162" s="2" t="s">
        <v>41</v>
      </c>
      <c r="L162" s="2" t="s">
        <v>976</v>
      </c>
      <c r="M162" s="7" t="s">
        <v>977</v>
      </c>
      <c r="N162" s="7" t="s">
        <v>978</v>
      </c>
      <c r="O162" s="2"/>
      <c r="P162" s="2"/>
      <c r="Q162" s="2" t="str">
        <f>IF(SUMPRODUCT(--ISNUMBER(SEARCH('National Domains'!$A$2:$A$48,L162)))&gt;0,"Yes","No")</f>
        <v>Yes</v>
      </c>
      <c r="R162" s="2" t="str">
        <f>IF(COUNTIFS(Calibration!$A:$A,A162,Calibration!$B:$B,B162)&gt;0,"Yes","No")</f>
        <v>No</v>
      </c>
      <c r="S162" s="6"/>
    </row>
    <row r="163" spans="1:19" ht="23.25" customHeight="1" x14ac:dyDescent="0.2">
      <c r="A163" s="2">
        <v>56</v>
      </c>
      <c r="B163" s="2">
        <v>5</v>
      </c>
      <c r="C163" s="2" t="s">
        <v>127</v>
      </c>
      <c r="D163" s="2" t="s">
        <v>39</v>
      </c>
      <c r="E163" s="2">
        <v>20080912</v>
      </c>
      <c r="F163" s="2">
        <v>20080914</v>
      </c>
      <c r="G163" s="2">
        <v>43198.400000000001</v>
      </c>
      <c r="H163" s="2">
        <v>29998.799999999999</v>
      </c>
      <c r="I163" s="2">
        <v>112</v>
      </c>
      <c r="J163" s="2" t="s">
        <v>40</v>
      </c>
      <c r="K163" s="2" t="s">
        <v>41</v>
      </c>
      <c r="L163" s="2" t="s">
        <v>979</v>
      </c>
      <c r="M163" s="7" t="s">
        <v>980</v>
      </c>
      <c r="N163" s="7" t="s">
        <v>981</v>
      </c>
      <c r="O163" s="2"/>
      <c r="P163" s="2"/>
      <c r="Q163" s="2" t="str">
        <f>IF(SUMPRODUCT(--ISNUMBER(SEARCH('National Domains'!$A$2:$A$48,L163)))&gt;0,"Yes","No")</f>
        <v>Yes</v>
      </c>
      <c r="R163" s="2" t="str">
        <f>IF(COUNTIFS(Calibration!$A:$A,A163,Calibration!$B:$B,B163)&gt;0,"Yes","No")</f>
        <v>No</v>
      </c>
      <c r="S163" s="6"/>
    </row>
    <row r="164" spans="1:19" ht="34.5" customHeight="1" x14ac:dyDescent="0.2">
      <c r="A164" s="2">
        <v>56</v>
      </c>
      <c r="B164" s="2">
        <v>6</v>
      </c>
      <c r="C164" s="2" t="s">
        <v>127</v>
      </c>
      <c r="D164" s="2" t="s">
        <v>39</v>
      </c>
      <c r="E164" s="2">
        <v>20080912</v>
      </c>
      <c r="F164" s="2">
        <v>20080914</v>
      </c>
      <c r="G164" s="2">
        <v>43198.400000000001</v>
      </c>
      <c r="H164" s="2">
        <v>29998.799999999999</v>
      </c>
      <c r="I164" s="2">
        <v>112</v>
      </c>
      <c r="J164" s="2" t="s">
        <v>40</v>
      </c>
      <c r="K164" s="2" t="s">
        <v>41</v>
      </c>
      <c r="L164" s="2" t="s">
        <v>982</v>
      </c>
      <c r="M164" s="7" t="s">
        <v>983</v>
      </c>
      <c r="N164" s="7" t="s">
        <v>984</v>
      </c>
      <c r="O164" s="2"/>
      <c r="P164" s="2"/>
      <c r="Q164" s="2" t="str">
        <f>IF(SUMPRODUCT(--ISNUMBER(SEARCH('National Domains'!$A$2:$A$48,L164)))&gt;0,"Yes","No")</f>
        <v>Yes</v>
      </c>
      <c r="R164" s="2" t="str">
        <f>IF(COUNTIFS(Calibration!$A:$A,A164,Calibration!$B:$B,B164)&gt;0,"Yes","No")</f>
        <v>No</v>
      </c>
      <c r="S164" s="6"/>
    </row>
    <row r="165" spans="1:19" ht="34.5" customHeight="1" x14ac:dyDescent="0.2">
      <c r="A165" s="2">
        <v>56</v>
      </c>
      <c r="B165" s="2">
        <v>7</v>
      </c>
      <c r="C165" s="2" t="s">
        <v>127</v>
      </c>
      <c r="D165" s="2" t="s">
        <v>39</v>
      </c>
      <c r="E165" s="2">
        <v>20080912</v>
      </c>
      <c r="F165" s="2">
        <v>20080914</v>
      </c>
      <c r="G165" s="2">
        <v>43198.400000000001</v>
      </c>
      <c r="H165" s="2">
        <v>29998.799999999999</v>
      </c>
      <c r="I165" s="2">
        <v>112</v>
      </c>
      <c r="J165" s="2" t="s">
        <v>40</v>
      </c>
      <c r="K165" s="2" t="s">
        <v>41</v>
      </c>
      <c r="L165" s="2" t="s">
        <v>985</v>
      </c>
      <c r="M165" s="7" t="s">
        <v>986</v>
      </c>
      <c r="N165" s="7" t="s">
        <v>987</v>
      </c>
      <c r="O165" s="2"/>
      <c r="P165" s="2"/>
      <c r="Q165" s="2" t="str">
        <f>IF(SUMPRODUCT(--ISNUMBER(SEARCH('National Domains'!$A$2:$A$48,L165)))&gt;0,"Yes","No")</f>
        <v>Yes</v>
      </c>
      <c r="R165" s="2" t="str">
        <f>IF(COUNTIFS(Calibration!$A:$A,A165,Calibration!$B:$B,B165)&gt;0,"Yes","No")</f>
        <v>No</v>
      </c>
      <c r="S165" s="6"/>
    </row>
    <row r="166" spans="1:19" ht="34.5" customHeight="1" x14ac:dyDescent="0.2">
      <c r="A166" s="2">
        <v>58</v>
      </c>
      <c r="B166" s="2">
        <v>1</v>
      </c>
      <c r="C166" s="2" t="s">
        <v>129</v>
      </c>
      <c r="D166" s="2" t="s">
        <v>29</v>
      </c>
      <c r="E166" s="2">
        <v>20080101</v>
      </c>
      <c r="F166" s="2">
        <v>20081231</v>
      </c>
      <c r="G166" s="2">
        <v>10444.700000000001</v>
      </c>
      <c r="H166" s="2">
        <v>7009.8</v>
      </c>
      <c r="I166" s="2">
        <v>0</v>
      </c>
      <c r="J166" s="2" t="s">
        <v>43</v>
      </c>
      <c r="K166" s="2" t="s">
        <v>44</v>
      </c>
      <c r="L166" s="2" t="s">
        <v>988</v>
      </c>
      <c r="M166" s="7" t="s">
        <v>989</v>
      </c>
      <c r="N166" s="7" t="s">
        <v>990</v>
      </c>
      <c r="O166" s="2"/>
      <c r="P166" s="2"/>
      <c r="Q166" s="2" t="str">
        <f>IF(SUMPRODUCT(--ISNUMBER(SEARCH('National Domains'!$A$2:$A$48,L166)))&gt;0,"Yes","No")</f>
        <v>Yes</v>
      </c>
      <c r="R166" s="2" t="str">
        <f>IF(COUNTIFS(Calibration!$A:$A,A166,Calibration!$B:$B,B166)&gt;0,"Yes","No")</f>
        <v>No</v>
      </c>
      <c r="S166" s="6"/>
    </row>
    <row r="167" spans="1:19" ht="34.5" customHeight="1" x14ac:dyDescent="0.2">
      <c r="A167" s="2">
        <v>58</v>
      </c>
      <c r="B167" s="2">
        <v>2</v>
      </c>
      <c r="C167" s="2" t="s">
        <v>129</v>
      </c>
      <c r="D167" s="2" t="s">
        <v>29</v>
      </c>
      <c r="E167" s="2">
        <v>20080101</v>
      </c>
      <c r="F167" s="2">
        <v>20081231</v>
      </c>
      <c r="G167" s="2">
        <v>10444.700000000001</v>
      </c>
      <c r="H167" s="2">
        <v>7009.8</v>
      </c>
      <c r="I167" s="2">
        <v>0</v>
      </c>
      <c r="J167" s="2" t="s">
        <v>43</v>
      </c>
      <c r="K167" s="2" t="s">
        <v>44</v>
      </c>
      <c r="L167" s="2" t="s">
        <v>991</v>
      </c>
      <c r="M167" s="7" t="s">
        <v>992</v>
      </c>
      <c r="N167" s="7" t="s">
        <v>993</v>
      </c>
      <c r="O167" s="2"/>
      <c r="P167" s="2"/>
      <c r="Q167" s="2" t="str">
        <f>IF(SUMPRODUCT(--ISNUMBER(SEARCH('National Domains'!$A$2:$A$48,L167)))&gt;0,"Yes","No")</f>
        <v>Yes</v>
      </c>
      <c r="R167" s="2" t="str">
        <f>IF(COUNTIFS(Calibration!$A:$A,A167,Calibration!$B:$B,B167)&gt;0,"Yes","No")</f>
        <v>No</v>
      </c>
      <c r="S167" s="6"/>
    </row>
    <row r="168" spans="1:19" ht="34.5" customHeight="1" x14ac:dyDescent="0.2">
      <c r="A168" s="2">
        <v>60</v>
      </c>
      <c r="B168" s="2">
        <v>1</v>
      </c>
      <c r="C168" s="2" t="s">
        <v>132</v>
      </c>
      <c r="D168" s="2" t="s">
        <v>17</v>
      </c>
      <c r="E168" s="2">
        <v>20090325</v>
      </c>
      <c r="F168" s="2">
        <v>20090328</v>
      </c>
      <c r="G168" s="2">
        <v>2427.9</v>
      </c>
      <c r="H168" s="2">
        <v>1640.5</v>
      </c>
      <c r="I168" s="2">
        <v>0</v>
      </c>
      <c r="J168" s="2" t="s">
        <v>92</v>
      </c>
      <c r="K168" s="2" t="s">
        <v>34</v>
      </c>
      <c r="L168" s="2" t="s">
        <v>994</v>
      </c>
      <c r="M168" s="7" t="s">
        <v>741</v>
      </c>
      <c r="N168" s="7" t="s">
        <v>995</v>
      </c>
      <c r="O168" s="2"/>
      <c r="P168" s="2"/>
      <c r="Q168" s="2" t="str">
        <f>IF(SUMPRODUCT(--ISNUMBER(SEARCH('National Domains'!$A$2:$A$48,L168)))&gt;0,"Yes","No")</f>
        <v>Yes</v>
      </c>
      <c r="R168" s="2" t="str">
        <f>IF(COUNTIFS(Calibration!$A:$A,A168,Calibration!$B:$B,B168)&gt;0,"Yes","No")</f>
        <v>No</v>
      </c>
      <c r="S168" s="6"/>
    </row>
    <row r="169" spans="1:19" ht="34.5" customHeight="1" x14ac:dyDescent="0.2">
      <c r="A169" s="2">
        <v>60</v>
      </c>
      <c r="B169" s="2">
        <v>2</v>
      </c>
      <c r="C169" s="2" t="s">
        <v>132</v>
      </c>
      <c r="D169" s="2" t="s">
        <v>17</v>
      </c>
      <c r="E169" s="2">
        <v>20090325</v>
      </c>
      <c r="F169" s="2">
        <v>20090328</v>
      </c>
      <c r="G169" s="2">
        <v>2427.9</v>
      </c>
      <c r="H169" s="2">
        <v>1640.5</v>
      </c>
      <c r="I169" s="2">
        <v>0</v>
      </c>
      <c r="J169" s="2" t="s">
        <v>92</v>
      </c>
      <c r="K169" s="2" t="s">
        <v>34</v>
      </c>
      <c r="L169" s="2" t="s">
        <v>996</v>
      </c>
      <c r="M169" s="7" t="s">
        <v>741</v>
      </c>
      <c r="N169" s="7" t="s">
        <v>997</v>
      </c>
      <c r="O169" s="2"/>
      <c r="P169" s="2"/>
      <c r="Q169" s="2" t="str">
        <f>IF(SUMPRODUCT(--ISNUMBER(SEARCH('National Domains'!$A$2:$A$48,L169)))&gt;0,"Yes","No")</f>
        <v>Yes</v>
      </c>
      <c r="R169" s="2" t="str">
        <f>IF(COUNTIFS(Calibration!$A:$A,A169,Calibration!$B:$B,B169)&gt;0,"Yes","No")</f>
        <v>No</v>
      </c>
      <c r="S169" s="6"/>
    </row>
    <row r="170" spans="1:19" ht="34.5" customHeight="1" x14ac:dyDescent="0.2">
      <c r="A170" s="2">
        <v>61</v>
      </c>
      <c r="B170" s="2">
        <v>1</v>
      </c>
      <c r="C170" s="2" t="s">
        <v>133</v>
      </c>
      <c r="D170" s="2" t="s">
        <v>17</v>
      </c>
      <c r="E170" s="2">
        <v>20090409</v>
      </c>
      <c r="F170" s="2">
        <v>20090410</v>
      </c>
      <c r="G170" s="2">
        <v>2116.4</v>
      </c>
      <c r="H170" s="2">
        <v>1430.1</v>
      </c>
      <c r="I170" s="2">
        <v>6</v>
      </c>
      <c r="J170" s="2" t="s">
        <v>134</v>
      </c>
      <c r="K170" s="2" t="s">
        <v>19</v>
      </c>
      <c r="L170" s="2" t="s">
        <v>998</v>
      </c>
      <c r="M170" s="7" t="s">
        <v>999</v>
      </c>
      <c r="N170" s="7" t="s">
        <v>1000</v>
      </c>
      <c r="O170" s="2"/>
      <c r="P170" s="2"/>
      <c r="Q170" s="2" t="str">
        <f>IF(SUMPRODUCT(--ISNUMBER(SEARCH('National Domains'!$A$2:$A$48,L170)))&gt;0,"Yes","No")</f>
        <v>No</v>
      </c>
      <c r="R170" s="2" t="str">
        <f>IF(COUNTIFS(Calibration!$A:$A,A170,Calibration!$B:$B,B170)&gt;0,"Yes","No")</f>
        <v>No</v>
      </c>
      <c r="S170" s="6"/>
    </row>
    <row r="171" spans="1:19" ht="34.5" customHeight="1" x14ac:dyDescent="0.2">
      <c r="A171" s="2">
        <v>62</v>
      </c>
      <c r="B171" s="2">
        <v>1</v>
      </c>
      <c r="C171" s="2" t="s">
        <v>135</v>
      </c>
      <c r="D171" s="2" t="s">
        <v>17</v>
      </c>
      <c r="E171" s="2">
        <v>20090507</v>
      </c>
      <c r="F171" s="2">
        <v>20090509</v>
      </c>
      <c r="G171" s="2">
        <v>1274.2</v>
      </c>
      <c r="H171" s="2">
        <v>861</v>
      </c>
      <c r="I171" s="2">
        <v>7</v>
      </c>
      <c r="J171" s="2" t="s">
        <v>102</v>
      </c>
      <c r="K171" s="2" t="s">
        <v>103</v>
      </c>
      <c r="L171" s="2" t="s">
        <v>1001</v>
      </c>
      <c r="M171" s="7" t="s">
        <v>1002</v>
      </c>
      <c r="N171" s="7" t="s">
        <v>1003</v>
      </c>
      <c r="O171" s="2"/>
      <c r="P171" s="2"/>
      <c r="Q171" s="2" t="str">
        <f>IF(SUMPRODUCT(--ISNUMBER(SEARCH('National Domains'!$A$2:$A$48,L171)))&gt;0,"Yes","No")</f>
        <v>No</v>
      </c>
      <c r="R171" s="2" t="str">
        <f>IF(COUNTIFS(Calibration!$A:$A,A171,Calibration!$B:$B,B171)&gt;0,"Yes","No")</f>
        <v>No</v>
      </c>
      <c r="S171" s="6"/>
    </row>
    <row r="172" spans="1:19" ht="34.5" customHeight="1" x14ac:dyDescent="0.2">
      <c r="A172" s="2">
        <v>65</v>
      </c>
      <c r="B172" s="2">
        <v>1</v>
      </c>
      <c r="C172" s="2" t="s">
        <v>140</v>
      </c>
      <c r="D172" s="2" t="s">
        <v>25</v>
      </c>
      <c r="E172" s="2">
        <v>20090919</v>
      </c>
      <c r="F172" s="2">
        <v>20090922</v>
      </c>
      <c r="G172" s="2">
        <v>1311.8</v>
      </c>
      <c r="H172" s="2">
        <v>898.5</v>
      </c>
      <c r="I172" s="2">
        <v>10</v>
      </c>
      <c r="J172" s="2" t="s">
        <v>141</v>
      </c>
      <c r="K172" s="2" t="s">
        <v>142</v>
      </c>
      <c r="L172" s="2" t="s">
        <v>1004</v>
      </c>
      <c r="M172" s="7" t="s">
        <v>741</v>
      </c>
      <c r="N172" s="7" t="s">
        <v>1005</v>
      </c>
      <c r="O172" s="2"/>
      <c r="P172" s="2"/>
      <c r="Q172" s="2" t="str">
        <f>IF(SUMPRODUCT(--ISNUMBER(SEARCH('National Domains'!$A$2:$A$48,L172)))&gt;0,"Yes","No")</f>
        <v>Yes</v>
      </c>
      <c r="R172" s="2" t="str">
        <f>IF(COUNTIFS(Calibration!$A:$A,A172,Calibration!$B:$B,B172)&gt;0,"Yes","No")</f>
        <v>No</v>
      </c>
      <c r="S172" s="6"/>
    </row>
    <row r="173" spans="1:19" ht="34.5" customHeight="1" x14ac:dyDescent="0.2">
      <c r="A173" s="2">
        <v>66</v>
      </c>
      <c r="B173" s="2">
        <v>1</v>
      </c>
      <c r="C173" s="2" t="s">
        <v>143</v>
      </c>
      <c r="D173" s="2" t="s">
        <v>21</v>
      </c>
      <c r="E173" s="2">
        <v>20090601</v>
      </c>
      <c r="F173" s="2">
        <v>20091130</v>
      </c>
      <c r="G173" s="2">
        <v>1477.4</v>
      </c>
      <c r="H173" s="2">
        <v>1011.9</v>
      </c>
      <c r="I173" s="2">
        <v>10</v>
      </c>
      <c r="J173" s="2" t="s">
        <v>22</v>
      </c>
      <c r="K173" s="2" t="s">
        <v>23</v>
      </c>
      <c r="L173" s="2" t="s">
        <v>1006</v>
      </c>
      <c r="M173" s="7" t="s">
        <v>1007</v>
      </c>
      <c r="N173" s="7" t="s">
        <v>1008</v>
      </c>
      <c r="O173" s="2"/>
      <c r="P173" s="2"/>
      <c r="Q173" s="2" t="str">
        <f>IF(SUMPRODUCT(--ISNUMBER(SEARCH('National Domains'!$A$2:$A$48,L173)))&gt;0,"Yes","No")</f>
        <v>No</v>
      </c>
      <c r="R173" s="2" t="str">
        <f>IF(COUNTIFS(Calibration!$A:$A,A173,Calibration!$B:$B,B173)&gt;0,"Yes","No")</f>
        <v>No</v>
      </c>
      <c r="S173" s="6"/>
    </row>
    <row r="174" spans="1:19" ht="34.5" customHeight="1" x14ac:dyDescent="0.2">
      <c r="A174" s="2">
        <v>66</v>
      </c>
      <c r="B174" s="2">
        <v>2</v>
      </c>
      <c r="C174" s="2" t="s">
        <v>143</v>
      </c>
      <c r="D174" s="2" t="s">
        <v>21</v>
      </c>
      <c r="E174" s="2">
        <v>20090601</v>
      </c>
      <c r="F174" s="2">
        <v>20091130</v>
      </c>
      <c r="G174" s="2">
        <v>1477.4</v>
      </c>
      <c r="H174" s="2">
        <v>1011.9</v>
      </c>
      <c r="I174" s="2">
        <v>10</v>
      </c>
      <c r="J174" s="2" t="s">
        <v>22</v>
      </c>
      <c r="K174" s="2" t="s">
        <v>23</v>
      </c>
      <c r="L174" s="2" t="s">
        <v>1009</v>
      </c>
      <c r="M174" s="7" t="s">
        <v>1010</v>
      </c>
      <c r="N174" s="7" t="s">
        <v>1011</v>
      </c>
      <c r="O174" s="2"/>
      <c r="P174" s="2"/>
      <c r="Q174" s="2" t="str">
        <f>IF(SUMPRODUCT(--ISNUMBER(SEARCH('National Domains'!$A$2:$A$48,L174)))&gt;0,"Yes","No")</f>
        <v>No</v>
      </c>
      <c r="R174" s="2" t="str">
        <f>IF(COUNTIFS(Calibration!$A:$A,A174,Calibration!$B:$B,B174)&gt;0,"Yes","No")</f>
        <v>No</v>
      </c>
      <c r="S174" s="6"/>
    </row>
    <row r="175" spans="1:19" ht="34.5" customHeight="1" x14ac:dyDescent="0.2">
      <c r="A175" s="2">
        <v>69</v>
      </c>
      <c r="B175" s="2">
        <v>1</v>
      </c>
      <c r="C175" s="2" t="s">
        <v>148</v>
      </c>
      <c r="D175" s="2" t="s">
        <v>25</v>
      </c>
      <c r="E175" s="2">
        <v>20100301</v>
      </c>
      <c r="F175" s="2">
        <v>20100331</v>
      </c>
      <c r="G175" s="2">
        <v>2692.6</v>
      </c>
      <c r="H175" s="2">
        <v>1844.2</v>
      </c>
      <c r="I175" s="2">
        <v>11</v>
      </c>
      <c r="J175" s="2" t="s">
        <v>95</v>
      </c>
      <c r="K175" s="2" t="s">
        <v>96</v>
      </c>
      <c r="L175" s="2" t="s">
        <v>1012</v>
      </c>
      <c r="M175" s="7" t="s">
        <v>1013</v>
      </c>
      <c r="N175" s="7" t="s">
        <v>1014</v>
      </c>
      <c r="O175" s="2"/>
      <c r="P175" s="2"/>
      <c r="Q175" s="2" t="str">
        <f>IF(SUMPRODUCT(--ISNUMBER(SEARCH('National Domains'!$A$2:$A$48,L175)))&gt;0,"Yes","No")</f>
        <v>Yes</v>
      </c>
      <c r="R175" s="2" t="str">
        <f>IF(COUNTIFS(Calibration!$A:$A,A175,Calibration!$B:$B,B175)&gt;0,"Yes","No")</f>
        <v>No</v>
      </c>
      <c r="S175" s="6"/>
    </row>
    <row r="176" spans="1:19" ht="34.5" customHeight="1" x14ac:dyDescent="0.2">
      <c r="A176" s="2">
        <v>69</v>
      </c>
      <c r="B176" s="2">
        <v>2</v>
      </c>
      <c r="C176" s="2" t="s">
        <v>148</v>
      </c>
      <c r="D176" s="2" t="s">
        <v>25</v>
      </c>
      <c r="E176" s="2">
        <v>20100301</v>
      </c>
      <c r="F176" s="2">
        <v>20100331</v>
      </c>
      <c r="G176" s="2">
        <v>2692.6</v>
      </c>
      <c r="H176" s="2">
        <v>1844.2</v>
      </c>
      <c r="I176" s="2">
        <v>11</v>
      </c>
      <c r="J176" s="2" t="s">
        <v>95</v>
      </c>
      <c r="K176" s="2" t="s">
        <v>96</v>
      </c>
      <c r="L176" s="2" t="s">
        <v>1015</v>
      </c>
      <c r="M176" s="7" t="s">
        <v>1016</v>
      </c>
      <c r="N176" s="7" t="s">
        <v>1017</v>
      </c>
      <c r="O176" s="2"/>
      <c r="P176" s="2"/>
      <c r="Q176" s="2" t="str">
        <f>IF(SUMPRODUCT(--ISNUMBER(SEARCH('National Domains'!$A$2:$A$48,L176)))&gt;0,"Yes","No")</f>
        <v>Yes</v>
      </c>
      <c r="R176" s="2" t="str">
        <f>IF(COUNTIFS(Calibration!$A:$A,A176,Calibration!$B:$B,B176)&gt;0,"Yes","No")</f>
        <v>No</v>
      </c>
      <c r="S176" s="6"/>
    </row>
    <row r="177" spans="1:19" ht="34.5" customHeight="1" x14ac:dyDescent="0.2">
      <c r="A177" s="2">
        <v>70</v>
      </c>
      <c r="B177" s="2">
        <v>1</v>
      </c>
      <c r="C177" s="2" t="s">
        <v>149</v>
      </c>
      <c r="D177" s="2" t="s">
        <v>25</v>
      </c>
      <c r="E177" s="2">
        <v>20100430</v>
      </c>
      <c r="F177" s="2">
        <v>20100502</v>
      </c>
      <c r="G177" s="2">
        <v>3308.8</v>
      </c>
      <c r="H177" s="2">
        <v>2266.3000000000002</v>
      </c>
      <c r="I177" s="2">
        <v>32</v>
      </c>
      <c r="J177" s="2" t="s">
        <v>61</v>
      </c>
      <c r="K177" s="2" t="s">
        <v>62</v>
      </c>
      <c r="L177" s="2" t="s">
        <v>1018</v>
      </c>
      <c r="M177" s="7" t="s">
        <v>1019</v>
      </c>
      <c r="N177" s="7" t="s">
        <v>1020</v>
      </c>
      <c r="O177" s="2"/>
      <c r="P177" s="2"/>
      <c r="Q177" s="2" t="str">
        <f>IF(SUMPRODUCT(--ISNUMBER(SEARCH('National Domains'!$A$2:$A$48,L177)))&gt;0,"Yes","No")</f>
        <v>Yes</v>
      </c>
      <c r="R177" s="2" t="str">
        <f>IF(COUNTIFS(Calibration!$A:$A,A177,Calibration!$B:$B,B177)&gt;0,"Yes","No")</f>
        <v>No</v>
      </c>
      <c r="S177" s="6"/>
    </row>
    <row r="178" spans="1:19" ht="34.5" customHeight="1" x14ac:dyDescent="0.2">
      <c r="A178" s="2">
        <v>75</v>
      </c>
      <c r="B178" s="2">
        <v>1</v>
      </c>
      <c r="C178" s="2" t="s">
        <v>162</v>
      </c>
      <c r="D178" s="2" t="s">
        <v>13</v>
      </c>
      <c r="E178" s="2">
        <v>20110201</v>
      </c>
      <c r="F178" s="2">
        <v>20110203</v>
      </c>
      <c r="G178" s="2">
        <v>2565.6999999999998</v>
      </c>
      <c r="H178" s="2">
        <v>1794.2</v>
      </c>
      <c r="I178" s="2">
        <v>36</v>
      </c>
      <c r="J178" s="2" t="s">
        <v>43</v>
      </c>
      <c r="K178" s="2" t="s">
        <v>44</v>
      </c>
      <c r="L178" s="2" t="s">
        <v>1021</v>
      </c>
      <c r="M178" s="7" t="s">
        <v>1022</v>
      </c>
      <c r="N178" s="7" t="s">
        <v>1023</v>
      </c>
      <c r="O178" s="2"/>
      <c r="P178" s="2"/>
      <c r="Q178" s="2" t="str">
        <f>IF(SUMPRODUCT(--ISNUMBER(SEARCH('National Domains'!$A$2:$A$48,L178)))&gt;0,"Yes","No")</f>
        <v>Yes</v>
      </c>
      <c r="R178" s="2" t="str">
        <f>IF(COUNTIFS(Calibration!$A:$A,A178,Calibration!$B:$B,B178)&gt;0,"Yes","No")</f>
        <v>No</v>
      </c>
      <c r="S178" s="6"/>
    </row>
    <row r="179" spans="1:19" ht="34.5" customHeight="1" x14ac:dyDescent="0.2">
      <c r="A179" s="2">
        <v>75</v>
      </c>
      <c r="B179" s="2">
        <v>2</v>
      </c>
      <c r="C179" s="2" t="s">
        <v>162</v>
      </c>
      <c r="D179" s="2" t="s">
        <v>13</v>
      </c>
      <c r="E179" s="2">
        <v>20110201</v>
      </c>
      <c r="F179" s="2">
        <v>20110203</v>
      </c>
      <c r="G179" s="2">
        <v>2565.6999999999998</v>
      </c>
      <c r="H179" s="2">
        <v>1794.2</v>
      </c>
      <c r="I179" s="2">
        <v>36</v>
      </c>
      <c r="J179" s="2" t="s">
        <v>43</v>
      </c>
      <c r="K179" s="2" t="s">
        <v>44</v>
      </c>
      <c r="L179" s="2" t="s">
        <v>1024</v>
      </c>
      <c r="M179" s="7" t="s">
        <v>1025</v>
      </c>
      <c r="N179" s="7" t="s">
        <v>1026</v>
      </c>
      <c r="O179" s="2"/>
      <c r="P179" s="2"/>
      <c r="Q179" s="2" t="str">
        <f>IF(SUMPRODUCT(--ISNUMBER(SEARCH('National Domains'!$A$2:$A$48,L179)))&gt;0,"Yes","No")</f>
        <v>Yes</v>
      </c>
      <c r="R179" s="2" t="str">
        <f>IF(COUNTIFS(Calibration!$A:$A,A179,Calibration!$B:$B,B179)&gt;0,"Yes","No")</f>
        <v>No</v>
      </c>
      <c r="S179" s="6"/>
    </row>
    <row r="180" spans="1:19" ht="34.5" customHeight="1" x14ac:dyDescent="0.2">
      <c r="A180" s="2">
        <v>81</v>
      </c>
      <c r="B180" s="2">
        <v>1</v>
      </c>
      <c r="C180" s="2" t="s">
        <v>169</v>
      </c>
      <c r="D180" s="2" t="s">
        <v>17</v>
      </c>
      <c r="E180" s="2">
        <v>20110522</v>
      </c>
      <c r="F180" s="2">
        <v>20110527</v>
      </c>
      <c r="G180" s="2">
        <v>12735.6</v>
      </c>
      <c r="H180" s="2">
        <v>9096.7999999999993</v>
      </c>
      <c r="I180" s="2">
        <v>177</v>
      </c>
      <c r="J180" s="2" t="s">
        <v>92</v>
      </c>
      <c r="K180" s="2" t="s">
        <v>34</v>
      </c>
      <c r="L180" s="2" t="s">
        <v>1027</v>
      </c>
      <c r="M180" s="7" t="s">
        <v>1028</v>
      </c>
      <c r="N180" s="7" t="s">
        <v>1029</v>
      </c>
      <c r="O180" s="2"/>
      <c r="P180" s="2"/>
      <c r="Q180" s="2" t="str">
        <f>IF(SUMPRODUCT(--ISNUMBER(SEARCH('National Domains'!$A$2:$A$48,L180)))&gt;0,"Yes","No")</f>
        <v>No</v>
      </c>
      <c r="R180" s="2" t="str">
        <f>IF(COUNTIFS(Calibration!$A:$A,A180,Calibration!$B:$B,B180)&gt;0,"Yes","No")</f>
        <v>No</v>
      </c>
      <c r="S180" s="6"/>
    </row>
    <row r="181" spans="1:19" ht="34.5" customHeight="1" x14ac:dyDescent="0.2">
      <c r="A181" s="2">
        <v>81</v>
      </c>
      <c r="B181" s="2">
        <v>2</v>
      </c>
      <c r="C181" s="2" t="s">
        <v>169</v>
      </c>
      <c r="D181" s="2" t="s">
        <v>17</v>
      </c>
      <c r="E181" s="2">
        <v>20110522</v>
      </c>
      <c r="F181" s="2">
        <v>20110527</v>
      </c>
      <c r="G181" s="2">
        <v>12735.6</v>
      </c>
      <c r="H181" s="2">
        <v>9096.7999999999993</v>
      </c>
      <c r="I181" s="2">
        <v>177</v>
      </c>
      <c r="J181" s="2" t="s">
        <v>92</v>
      </c>
      <c r="K181" s="2" t="s">
        <v>34</v>
      </c>
      <c r="L181" s="2" t="s">
        <v>1030</v>
      </c>
      <c r="M181" s="7" t="s">
        <v>1031</v>
      </c>
      <c r="N181" s="7" t="s">
        <v>1032</v>
      </c>
      <c r="O181" s="2"/>
      <c r="P181" s="2"/>
      <c r="Q181" s="2" t="str">
        <f>IF(SUMPRODUCT(--ISNUMBER(SEARCH('National Domains'!$A$2:$A$48,L181)))&gt;0,"Yes","No")</f>
        <v>Yes</v>
      </c>
      <c r="R181" s="2" t="str">
        <f>IF(COUNTIFS(Calibration!$A:$A,A181,Calibration!$B:$B,B181)&gt;0,"Yes","No")</f>
        <v>No</v>
      </c>
      <c r="S181" s="6"/>
    </row>
    <row r="182" spans="1:19" ht="34.5" customHeight="1" x14ac:dyDescent="0.2">
      <c r="A182" s="2">
        <v>81</v>
      </c>
      <c r="B182" s="2">
        <v>3</v>
      </c>
      <c r="C182" s="2" t="s">
        <v>169</v>
      </c>
      <c r="D182" s="2" t="s">
        <v>17</v>
      </c>
      <c r="E182" s="2">
        <v>20110522</v>
      </c>
      <c r="F182" s="2">
        <v>20110527</v>
      </c>
      <c r="G182" s="2">
        <v>12735.6</v>
      </c>
      <c r="H182" s="2">
        <v>9096.7999999999993</v>
      </c>
      <c r="I182" s="2">
        <v>177</v>
      </c>
      <c r="J182" s="2" t="s">
        <v>92</v>
      </c>
      <c r="K182" s="2" t="s">
        <v>34</v>
      </c>
      <c r="L182" s="2" t="s">
        <v>1033</v>
      </c>
      <c r="M182" s="7" t="s">
        <v>1034</v>
      </c>
      <c r="N182" s="7" t="s">
        <v>1035</v>
      </c>
      <c r="O182" s="2"/>
      <c r="P182" s="2"/>
      <c r="Q182" s="2" t="str">
        <f>IF(SUMPRODUCT(--ISNUMBER(SEARCH('National Domains'!$A$2:$A$48,L182)))&gt;0,"Yes","No")</f>
        <v>Yes</v>
      </c>
      <c r="R182" s="2" t="str">
        <f>IF(COUNTIFS(Calibration!$A:$A,A182,Calibration!$B:$B,B182)&gt;0,"Yes","No")</f>
        <v>No</v>
      </c>
      <c r="S182" s="6"/>
    </row>
    <row r="183" spans="1:19" ht="23.25" customHeight="1" x14ac:dyDescent="0.2">
      <c r="A183" s="2">
        <v>82</v>
      </c>
      <c r="B183" s="2">
        <v>1</v>
      </c>
      <c r="C183" s="2" t="s">
        <v>170</v>
      </c>
      <c r="D183" s="2" t="s">
        <v>25</v>
      </c>
      <c r="E183" s="2">
        <v>20110401</v>
      </c>
      <c r="F183" s="2">
        <v>20110531</v>
      </c>
      <c r="G183" s="2">
        <v>4270.1000000000004</v>
      </c>
      <c r="H183" s="2">
        <v>2986</v>
      </c>
      <c r="I183" s="2">
        <v>7</v>
      </c>
      <c r="J183" s="2" t="s">
        <v>171</v>
      </c>
      <c r="K183" s="2" t="s">
        <v>172</v>
      </c>
      <c r="L183" s="2" t="s">
        <v>1036</v>
      </c>
      <c r="M183" s="7" t="s">
        <v>1037</v>
      </c>
      <c r="N183" s="7" t="s">
        <v>1038</v>
      </c>
      <c r="O183" s="2"/>
      <c r="P183" s="2"/>
      <c r="Q183" s="2" t="str">
        <f>IF(SUMPRODUCT(--ISNUMBER(SEARCH('National Domains'!$A$2:$A$48,L183)))&gt;0,"Yes","No")</f>
        <v>No</v>
      </c>
      <c r="R183" s="2" t="str">
        <f>IF(COUNTIFS(Calibration!$A:$A,A183,Calibration!$B:$B,B183)&gt;0,"Yes","No")</f>
        <v>No</v>
      </c>
      <c r="S183" s="6"/>
    </row>
    <row r="184" spans="1:19" ht="34.5" customHeight="1" x14ac:dyDescent="0.2">
      <c r="A184" s="2">
        <v>82</v>
      </c>
      <c r="B184" s="2">
        <v>2</v>
      </c>
      <c r="C184" s="2" t="s">
        <v>170</v>
      </c>
      <c r="D184" s="2" t="s">
        <v>25</v>
      </c>
      <c r="E184" s="2">
        <v>20110401</v>
      </c>
      <c r="F184" s="2">
        <v>20110531</v>
      </c>
      <c r="G184" s="2">
        <v>4270.1000000000004</v>
      </c>
      <c r="H184" s="2">
        <v>2986</v>
      </c>
      <c r="I184" s="2">
        <v>7</v>
      </c>
      <c r="J184" s="2" t="s">
        <v>171</v>
      </c>
      <c r="K184" s="2" t="s">
        <v>172</v>
      </c>
      <c r="L184" s="2" t="s">
        <v>1039</v>
      </c>
      <c r="M184" s="7" t="s">
        <v>1040</v>
      </c>
      <c r="N184" s="7" t="s">
        <v>1041</v>
      </c>
      <c r="O184" s="2"/>
      <c r="P184" s="2"/>
      <c r="Q184" s="2" t="str">
        <f>IF(SUMPRODUCT(--ISNUMBER(SEARCH('National Domains'!$A$2:$A$48,L184)))&gt;0,"Yes","No")</f>
        <v>No</v>
      </c>
      <c r="R184" s="2" t="str">
        <f>IF(COUNTIFS(Calibration!$A:$A,A184,Calibration!$B:$B,B184)&gt;0,"Yes","No")</f>
        <v>No</v>
      </c>
      <c r="S184" s="6"/>
    </row>
    <row r="185" spans="1:19" ht="34.5" customHeight="1" x14ac:dyDescent="0.2">
      <c r="A185" s="2">
        <v>82</v>
      </c>
      <c r="B185" s="2">
        <v>3</v>
      </c>
      <c r="C185" s="2" t="s">
        <v>170</v>
      </c>
      <c r="D185" s="2" t="s">
        <v>25</v>
      </c>
      <c r="E185" s="2">
        <v>20110401</v>
      </c>
      <c r="F185" s="2">
        <v>20110531</v>
      </c>
      <c r="G185" s="2">
        <v>4270.1000000000004</v>
      </c>
      <c r="H185" s="2">
        <v>2986</v>
      </c>
      <c r="I185" s="2">
        <v>7</v>
      </c>
      <c r="J185" s="2" t="s">
        <v>171</v>
      </c>
      <c r="K185" s="2" t="s">
        <v>172</v>
      </c>
      <c r="L185" s="2" t="s">
        <v>1042</v>
      </c>
      <c r="M185" s="7" t="s">
        <v>1043</v>
      </c>
      <c r="N185" s="7" t="s">
        <v>1044</v>
      </c>
      <c r="O185" s="2"/>
      <c r="P185" s="2"/>
      <c r="Q185" s="2" t="str">
        <f>IF(SUMPRODUCT(--ISNUMBER(SEARCH('National Domains'!$A$2:$A$48,L185)))&gt;0,"Yes","No")</f>
        <v>No</v>
      </c>
      <c r="R185" s="2" t="str">
        <f>IF(COUNTIFS(Calibration!$A:$A,A185,Calibration!$B:$B,B185)&gt;0,"Yes","No")</f>
        <v>No</v>
      </c>
      <c r="S185" s="6"/>
    </row>
    <row r="186" spans="1:19" ht="34.5" customHeight="1" x14ac:dyDescent="0.2">
      <c r="A186" s="2">
        <v>82</v>
      </c>
      <c r="B186" s="2">
        <v>4</v>
      </c>
      <c r="C186" s="2" t="s">
        <v>170</v>
      </c>
      <c r="D186" s="2" t="s">
        <v>25</v>
      </c>
      <c r="E186" s="2">
        <v>20110401</v>
      </c>
      <c r="F186" s="2">
        <v>20110531</v>
      </c>
      <c r="G186" s="2">
        <v>4270.1000000000004</v>
      </c>
      <c r="H186" s="2">
        <v>2986</v>
      </c>
      <c r="I186" s="2">
        <v>7</v>
      </c>
      <c r="J186" s="2" t="s">
        <v>171</v>
      </c>
      <c r="K186" s="2" t="s">
        <v>172</v>
      </c>
      <c r="L186" s="2" t="s">
        <v>1045</v>
      </c>
      <c r="M186" s="7" t="s">
        <v>1046</v>
      </c>
      <c r="N186" s="7" t="s">
        <v>1047</v>
      </c>
      <c r="O186" s="2"/>
      <c r="P186" s="2"/>
      <c r="Q186" s="2" t="str">
        <f>IF(SUMPRODUCT(--ISNUMBER(SEARCH('National Domains'!$A$2:$A$48,L186)))&gt;0,"Yes","No")</f>
        <v>No</v>
      </c>
      <c r="R186" s="2" t="str">
        <f>IF(COUNTIFS(Calibration!$A:$A,A186,Calibration!$B:$B,B186)&gt;0,"Yes","No")</f>
        <v>No</v>
      </c>
      <c r="S186" s="6"/>
    </row>
    <row r="187" spans="1:19" ht="34.5" customHeight="1" x14ac:dyDescent="0.2">
      <c r="A187" s="2">
        <v>82</v>
      </c>
      <c r="B187" s="2">
        <v>5</v>
      </c>
      <c r="C187" s="2" t="s">
        <v>170</v>
      </c>
      <c r="D187" s="2" t="s">
        <v>25</v>
      </c>
      <c r="E187" s="2">
        <v>20110401</v>
      </c>
      <c r="F187" s="2">
        <v>20110531</v>
      </c>
      <c r="G187" s="2">
        <v>4270.1000000000004</v>
      </c>
      <c r="H187" s="2">
        <v>2986</v>
      </c>
      <c r="I187" s="2">
        <v>7</v>
      </c>
      <c r="J187" s="2" t="s">
        <v>171</v>
      </c>
      <c r="K187" s="2" t="s">
        <v>172</v>
      </c>
      <c r="L187" s="2" t="s">
        <v>1048</v>
      </c>
      <c r="M187" s="7" t="s">
        <v>1049</v>
      </c>
      <c r="N187" s="7" t="s">
        <v>1050</v>
      </c>
      <c r="O187" s="2"/>
      <c r="P187" s="2"/>
      <c r="Q187" s="2" t="str">
        <f>IF(SUMPRODUCT(--ISNUMBER(SEARCH('National Domains'!$A$2:$A$48,L187)))&gt;0,"Yes","No")</f>
        <v>No</v>
      </c>
      <c r="R187" s="2" t="str">
        <f>IF(COUNTIFS(Calibration!$A:$A,A187,Calibration!$B:$B,B187)&gt;0,"Yes","No")</f>
        <v>No</v>
      </c>
      <c r="S187" s="6"/>
    </row>
    <row r="188" spans="1:19" ht="34.5" customHeight="1" x14ac:dyDescent="0.2">
      <c r="A188" s="2">
        <v>82</v>
      </c>
      <c r="B188" s="2">
        <v>6</v>
      </c>
      <c r="C188" s="2" t="s">
        <v>170</v>
      </c>
      <c r="D188" s="2" t="s">
        <v>25</v>
      </c>
      <c r="E188" s="2">
        <v>20110401</v>
      </c>
      <c r="F188" s="2">
        <v>20110531</v>
      </c>
      <c r="G188" s="2">
        <v>4270.1000000000004</v>
      </c>
      <c r="H188" s="2">
        <v>2986</v>
      </c>
      <c r="I188" s="2">
        <v>7</v>
      </c>
      <c r="J188" s="2" t="s">
        <v>171</v>
      </c>
      <c r="K188" s="2" t="s">
        <v>172</v>
      </c>
      <c r="L188" s="2" t="s">
        <v>1051</v>
      </c>
      <c r="M188" s="7" t="s">
        <v>1052</v>
      </c>
      <c r="N188" s="7" t="s">
        <v>1053</v>
      </c>
      <c r="O188" s="2"/>
      <c r="P188" s="2"/>
      <c r="Q188" s="2" t="str">
        <f>IF(SUMPRODUCT(--ISNUMBER(SEARCH('National Domains'!$A$2:$A$48,L188)))&gt;0,"Yes","No")</f>
        <v>No</v>
      </c>
      <c r="R188" s="2" t="str">
        <f>IF(COUNTIFS(Calibration!$A:$A,A188,Calibration!$B:$B,B188)&gt;0,"Yes","No")</f>
        <v>No</v>
      </c>
      <c r="S188" s="6"/>
    </row>
    <row r="189" spans="1:19" ht="34.5" customHeight="1" x14ac:dyDescent="0.2">
      <c r="A189" s="2">
        <v>82</v>
      </c>
      <c r="B189" s="2">
        <v>7</v>
      </c>
      <c r="C189" s="2" t="s">
        <v>170</v>
      </c>
      <c r="D189" s="2" t="s">
        <v>25</v>
      </c>
      <c r="E189" s="2">
        <v>20110401</v>
      </c>
      <c r="F189" s="2">
        <v>20110531</v>
      </c>
      <c r="G189" s="2">
        <v>4270.1000000000004</v>
      </c>
      <c r="H189" s="2">
        <v>2986</v>
      </c>
      <c r="I189" s="2">
        <v>7</v>
      </c>
      <c r="J189" s="2" t="s">
        <v>171</v>
      </c>
      <c r="K189" s="2" t="s">
        <v>172</v>
      </c>
      <c r="L189" s="2" t="s">
        <v>1054</v>
      </c>
      <c r="M189" s="7" t="s">
        <v>1055</v>
      </c>
      <c r="N189" s="7" t="s">
        <v>1056</v>
      </c>
      <c r="O189" s="2"/>
      <c r="P189" s="2"/>
      <c r="Q189" s="2" t="str">
        <f>IF(SUMPRODUCT(--ISNUMBER(SEARCH('National Domains'!$A$2:$A$48,L189)))&gt;0,"Yes","No")</f>
        <v>Yes</v>
      </c>
      <c r="R189" s="2" t="str">
        <f>IF(COUNTIFS(Calibration!$A:$A,A189,Calibration!$B:$B,B189)&gt;0,"Yes","No")</f>
        <v>No</v>
      </c>
      <c r="S189" s="6"/>
    </row>
    <row r="190" spans="1:19" ht="34.5" customHeight="1" x14ac:dyDescent="0.2">
      <c r="A190" s="2">
        <v>82</v>
      </c>
      <c r="B190" s="2">
        <v>8</v>
      </c>
      <c r="C190" s="2" t="s">
        <v>170</v>
      </c>
      <c r="D190" s="2" t="s">
        <v>25</v>
      </c>
      <c r="E190" s="2">
        <v>20110401</v>
      </c>
      <c r="F190" s="2">
        <v>20110531</v>
      </c>
      <c r="G190" s="2">
        <v>4270.1000000000004</v>
      </c>
      <c r="H190" s="2">
        <v>2986</v>
      </c>
      <c r="I190" s="2">
        <v>7</v>
      </c>
      <c r="J190" s="2" t="s">
        <v>171</v>
      </c>
      <c r="K190" s="2" t="s">
        <v>172</v>
      </c>
      <c r="L190" s="2" t="s">
        <v>1057</v>
      </c>
      <c r="M190" s="7" t="s">
        <v>1058</v>
      </c>
      <c r="N190" s="7" t="s">
        <v>1059</v>
      </c>
      <c r="O190" s="2"/>
      <c r="P190" s="2"/>
      <c r="Q190" s="2" t="str">
        <f>IF(SUMPRODUCT(--ISNUMBER(SEARCH('National Domains'!$A$2:$A$48,L190)))&gt;0,"Yes","No")</f>
        <v>Yes</v>
      </c>
      <c r="R190" s="2" t="str">
        <f>IF(COUNTIFS(Calibration!$A:$A,A190,Calibration!$B:$B,B190)&gt;0,"Yes","No")</f>
        <v>No</v>
      </c>
      <c r="S190" s="6"/>
    </row>
    <row r="191" spans="1:19" ht="34.5" customHeight="1" x14ac:dyDescent="0.2">
      <c r="A191" s="2">
        <v>82</v>
      </c>
      <c r="B191" s="2">
        <v>9</v>
      </c>
      <c r="C191" s="2" t="s">
        <v>170</v>
      </c>
      <c r="D191" s="2" t="s">
        <v>25</v>
      </c>
      <c r="E191" s="2">
        <v>20110401</v>
      </c>
      <c r="F191" s="2">
        <v>20110531</v>
      </c>
      <c r="G191" s="2">
        <v>4270.1000000000004</v>
      </c>
      <c r="H191" s="2">
        <v>2986</v>
      </c>
      <c r="I191" s="2">
        <v>7</v>
      </c>
      <c r="J191" s="2" t="s">
        <v>171</v>
      </c>
      <c r="K191" s="2" t="s">
        <v>172</v>
      </c>
      <c r="L191" s="2" t="s">
        <v>1060</v>
      </c>
      <c r="M191" s="7" t="s">
        <v>1061</v>
      </c>
      <c r="N191" s="7" t="s">
        <v>1062</v>
      </c>
      <c r="O191" s="2"/>
      <c r="P191" s="2"/>
      <c r="Q191" s="2" t="str">
        <f>IF(SUMPRODUCT(--ISNUMBER(SEARCH('National Domains'!$A$2:$A$48,L191)))&gt;0,"Yes","No")</f>
        <v>Yes</v>
      </c>
      <c r="R191" s="2" t="str">
        <f>IF(COUNTIFS(Calibration!$A:$A,A191,Calibration!$B:$B,B191)&gt;0,"Yes","No")</f>
        <v>No</v>
      </c>
      <c r="S191" s="6"/>
    </row>
    <row r="192" spans="1:19" ht="34.5" customHeight="1" x14ac:dyDescent="0.2">
      <c r="A192" s="2">
        <v>82</v>
      </c>
      <c r="B192" s="2">
        <v>10</v>
      </c>
      <c r="C192" s="2" t="s">
        <v>170</v>
      </c>
      <c r="D192" s="2" t="s">
        <v>25</v>
      </c>
      <c r="E192" s="2">
        <v>20110401</v>
      </c>
      <c r="F192" s="2">
        <v>20110531</v>
      </c>
      <c r="G192" s="2">
        <v>4270.1000000000004</v>
      </c>
      <c r="H192" s="2">
        <v>2986</v>
      </c>
      <c r="I192" s="2">
        <v>7</v>
      </c>
      <c r="J192" s="2" t="s">
        <v>171</v>
      </c>
      <c r="K192" s="2" t="s">
        <v>172</v>
      </c>
      <c r="L192" s="2" t="s">
        <v>1063</v>
      </c>
      <c r="M192" s="7" t="s">
        <v>1064</v>
      </c>
      <c r="N192" s="7" t="s">
        <v>1065</v>
      </c>
      <c r="O192" s="2"/>
      <c r="P192" s="2"/>
      <c r="Q192" s="2" t="str">
        <f>IF(SUMPRODUCT(--ISNUMBER(SEARCH('National Domains'!$A$2:$A$48,L192)))&gt;0,"Yes","No")</f>
        <v>Yes</v>
      </c>
      <c r="R192" s="2" t="str">
        <f>IF(COUNTIFS(Calibration!$A:$A,A192,Calibration!$B:$B,B192)&gt;0,"Yes","No")</f>
        <v>No</v>
      </c>
      <c r="S192" s="6"/>
    </row>
    <row r="193" spans="1:19" ht="34.5" customHeight="1" x14ac:dyDescent="0.2">
      <c r="A193" s="2">
        <v>82</v>
      </c>
      <c r="B193" s="2">
        <v>11</v>
      </c>
      <c r="C193" s="2" t="s">
        <v>170</v>
      </c>
      <c r="D193" s="2" t="s">
        <v>25</v>
      </c>
      <c r="E193" s="2">
        <v>20110401</v>
      </c>
      <c r="F193" s="2">
        <v>20110531</v>
      </c>
      <c r="G193" s="2">
        <v>4270.1000000000004</v>
      </c>
      <c r="H193" s="2">
        <v>2986</v>
      </c>
      <c r="I193" s="2">
        <v>7</v>
      </c>
      <c r="J193" s="2" t="s">
        <v>171</v>
      </c>
      <c r="K193" s="2" t="s">
        <v>172</v>
      </c>
      <c r="L193" s="2" t="s">
        <v>1066</v>
      </c>
      <c r="M193" s="7" t="s">
        <v>1067</v>
      </c>
      <c r="N193" s="7" t="s">
        <v>1068</v>
      </c>
      <c r="O193" s="2"/>
      <c r="P193" s="2"/>
      <c r="Q193" s="2" t="str">
        <f>IF(SUMPRODUCT(--ISNUMBER(SEARCH('National Domains'!$A$2:$A$48,L193)))&gt;0,"Yes","No")</f>
        <v>Yes</v>
      </c>
      <c r="R193" s="2" t="str">
        <f>IF(COUNTIFS(Calibration!$A:$A,A193,Calibration!$B:$B,B193)&gt;0,"Yes","No")</f>
        <v>No</v>
      </c>
      <c r="S193" s="6"/>
    </row>
    <row r="194" spans="1:19" ht="34.5" customHeight="1" x14ac:dyDescent="0.2">
      <c r="A194" s="2">
        <v>84</v>
      </c>
      <c r="B194" s="2">
        <v>1</v>
      </c>
      <c r="C194" s="2" t="s">
        <v>174</v>
      </c>
      <c r="D194" s="2" t="s">
        <v>25</v>
      </c>
      <c r="E194" s="2">
        <v>20110501</v>
      </c>
      <c r="F194" s="2">
        <v>20110630</v>
      </c>
      <c r="G194" s="2">
        <v>2863.3</v>
      </c>
      <c r="H194" s="2">
        <v>2002.3</v>
      </c>
      <c r="I194" s="2">
        <v>5</v>
      </c>
      <c r="J194" s="2" t="s">
        <v>175</v>
      </c>
      <c r="K194" s="2" t="s">
        <v>176</v>
      </c>
      <c r="L194" s="2" t="s">
        <v>1069</v>
      </c>
      <c r="M194" s="7" t="s">
        <v>1070</v>
      </c>
      <c r="N194" s="7" t="s">
        <v>1071</v>
      </c>
      <c r="O194" s="2"/>
      <c r="P194" s="2"/>
      <c r="Q194" s="2" t="str">
        <f>IF(SUMPRODUCT(--ISNUMBER(SEARCH('National Domains'!$A$2:$A$48,L194)))&gt;0,"Yes","No")</f>
        <v>No</v>
      </c>
      <c r="R194" s="2" t="str">
        <f>IF(COUNTIFS(Calibration!$A:$A,A194,Calibration!$B:$B,B194)&gt;0,"Yes","No")</f>
        <v>No</v>
      </c>
      <c r="S194" s="6"/>
    </row>
    <row r="195" spans="1:19" ht="34.5" customHeight="1" x14ac:dyDescent="0.2">
      <c r="A195" s="2">
        <v>84</v>
      </c>
      <c r="B195" s="2">
        <v>2</v>
      </c>
      <c r="C195" s="2" t="s">
        <v>174</v>
      </c>
      <c r="D195" s="2" t="s">
        <v>25</v>
      </c>
      <c r="E195" s="2">
        <v>20110501</v>
      </c>
      <c r="F195" s="2">
        <v>20110630</v>
      </c>
      <c r="G195" s="2">
        <v>2863.3</v>
      </c>
      <c r="H195" s="2">
        <v>2002.3</v>
      </c>
      <c r="I195" s="2">
        <v>5</v>
      </c>
      <c r="J195" s="2" t="s">
        <v>175</v>
      </c>
      <c r="K195" s="2" t="s">
        <v>176</v>
      </c>
      <c r="L195" s="2" t="s">
        <v>1072</v>
      </c>
      <c r="M195" s="7" t="s">
        <v>1073</v>
      </c>
      <c r="N195" s="7" t="s">
        <v>1074</v>
      </c>
      <c r="O195" s="2"/>
      <c r="P195" s="2"/>
      <c r="Q195" s="2" t="str">
        <f>IF(SUMPRODUCT(--ISNUMBER(SEARCH('National Domains'!$A$2:$A$48,L195)))&gt;0,"Yes","No")</f>
        <v>No</v>
      </c>
      <c r="R195" s="2" t="str">
        <f>IF(COUNTIFS(Calibration!$A:$A,A195,Calibration!$B:$B,B195)&gt;0,"Yes","No")</f>
        <v>No</v>
      </c>
      <c r="S195" s="6"/>
    </row>
    <row r="196" spans="1:19" ht="34.5" customHeight="1" x14ac:dyDescent="0.2">
      <c r="A196" s="2">
        <v>84</v>
      </c>
      <c r="B196" s="2">
        <v>3</v>
      </c>
      <c r="C196" s="2" t="s">
        <v>174</v>
      </c>
      <c r="D196" s="2" t="s">
        <v>25</v>
      </c>
      <c r="E196" s="2">
        <v>20110501</v>
      </c>
      <c r="F196" s="2">
        <v>20110630</v>
      </c>
      <c r="G196" s="2">
        <v>2863.3</v>
      </c>
      <c r="H196" s="2">
        <v>2002.3</v>
      </c>
      <c r="I196" s="2">
        <v>5</v>
      </c>
      <c r="J196" s="2" t="s">
        <v>175</v>
      </c>
      <c r="K196" s="2" t="s">
        <v>176</v>
      </c>
      <c r="L196" s="2" t="s">
        <v>1075</v>
      </c>
      <c r="M196" s="7" t="s">
        <v>1076</v>
      </c>
      <c r="N196" s="7" t="s">
        <v>1077</v>
      </c>
      <c r="O196" s="2"/>
      <c r="P196" s="2"/>
      <c r="Q196" s="2" t="str">
        <f>IF(SUMPRODUCT(--ISNUMBER(SEARCH('National Domains'!$A$2:$A$48,L196)))&gt;0,"Yes","No")</f>
        <v>No</v>
      </c>
      <c r="R196" s="2" t="str">
        <f>IF(COUNTIFS(Calibration!$A:$A,A196,Calibration!$B:$B,B196)&gt;0,"Yes","No")</f>
        <v>No</v>
      </c>
      <c r="S196" s="6"/>
    </row>
    <row r="197" spans="1:19" ht="34.5" customHeight="1" x14ac:dyDescent="0.2">
      <c r="A197" s="2">
        <v>84</v>
      </c>
      <c r="B197" s="2">
        <v>4</v>
      </c>
      <c r="C197" s="2" t="s">
        <v>174</v>
      </c>
      <c r="D197" s="2" t="s">
        <v>25</v>
      </c>
      <c r="E197" s="2">
        <v>20110501</v>
      </c>
      <c r="F197" s="2">
        <v>20110630</v>
      </c>
      <c r="G197" s="2">
        <v>2863.3</v>
      </c>
      <c r="H197" s="2">
        <v>2002.3</v>
      </c>
      <c r="I197" s="2">
        <v>5</v>
      </c>
      <c r="J197" s="2" t="s">
        <v>175</v>
      </c>
      <c r="K197" s="2" t="s">
        <v>176</v>
      </c>
      <c r="L197" s="2" t="s">
        <v>1078</v>
      </c>
      <c r="M197" s="7" t="s">
        <v>1079</v>
      </c>
      <c r="N197" s="7" t="s">
        <v>1080</v>
      </c>
      <c r="O197" s="2"/>
      <c r="P197" s="2"/>
      <c r="Q197" s="2" t="str">
        <f>IF(SUMPRODUCT(--ISNUMBER(SEARCH('National Domains'!$A$2:$A$48,L197)))&gt;0,"Yes","No")</f>
        <v>No</v>
      </c>
      <c r="R197" s="2" t="str">
        <f>IF(COUNTIFS(Calibration!$A:$A,A197,Calibration!$B:$B,B197)&gt;0,"Yes","No")</f>
        <v>No</v>
      </c>
      <c r="S197" s="6"/>
    </row>
    <row r="198" spans="1:19" ht="34.5" customHeight="1" x14ac:dyDescent="0.2">
      <c r="A198" s="2">
        <v>84</v>
      </c>
      <c r="B198" s="2">
        <v>5</v>
      </c>
      <c r="C198" s="2" t="s">
        <v>174</v>
      </c>
      <c r="D198" s="2" t="s">
        <v>25</v>
      </c>
      <c r="E198" s="2">
        <v>20110501</v>
      </c>
      <c r="F198" s="2">
        <v>20110630</v>
      </c>
      <c r="G198" s="2">
        <v>2863.3</v>
      </c>
      <c r="H198" s="2">
        <v>2002.3</v>
      </c>
      <c r="I198" s="2">
        <v>5</v>
      </c>
      <c r="J198" s="2" t="s">
        <v>175</v>
      </c>
      <c r="K198" s="2" t="s">
        <v>176</v>
      </c>
      <c r="L198" s="2" t="s">
        <v>1081</v>
      </c>
      <c r="M198" s="7" t="s">
        <v>1082</v>
      </c>
      <c r="N198" s="7" t="s">
        <v>1083</v>
      </c>
      <c r="O198" s="2"/>
      <c r="P198" s="2"/>
      <c r="Q198" s="2" t="str">
        <f>IF(SUMPRODUCT(--ISNUMBER(SEARCH('National Domains'!$A$2:$A$48,L198)))&gt;0,"Yes","No")</f>
        <v>No</v>
      </c>
      <c r="R198" s="2" t="str">
        <f>IF(COUNTIFS(Calibration!$A:$A,A198,Calibration!$B:$B,B198)&gt;0,"Yes","No")</f>
        <v>No</v>
      </c>
      <c r="S198" s="6"/>
    </row>
    <row r="199" spans="1:19" ht="34.5" customHeight="1" x14ac:dyDescent="0.2">
      <c r="A199" s="2">
        <v>84</v>
      </c>
      <c r="B199" s="2">
        <v>6</v>
      </c>
      <c r="C199" s="2" t="s">
        <v>174</v>
      </c>
      <c r="D199" s="2" t="s">
        <v>25</v>
      </c>
      <c r="E199" s="2">
        <v>20110501</v>
      </c>
      <c r="F199" s="2">
        <v>20110630</v>
      </c>
      <c r="G199" s="2">
        <v>2863.3</v>
      </c>
      <c r="H199" s="2">
        <v>2002.3</v>
      </c>
      <c r="I199" s="2">
        <v>5</v>
      </c>
      <c r="J199" s="2" t="s">
        <v>175</v>
      </c>
      <c r="K199" s="2" t="s">
        <v>176</v>
      </c>
      <c r="L199" s="2" t="s">
        <v>1084</v>
      </c>
      <c r="M199" s="7" t="s">
        <v>1085</v>
      </c>
      <c r="N199" s="7" t="s">
        <v>1086</v>
      </c>
      <c r="O199" s="2"/>
      <c r="P199" s="2"/>
      <c r="Q199" s="2" t="str">
        <f>IF(SUMPRODUCT(--ISNUMBER(SEARCH('National Domains'!$A$2:$A$48,L199)))&gt;0,"Yes","No")</f>
        <v>Yes</v>
      </c>
      <c r="R199" s="2" t="str">
        <f>IF(COUNTIFS(Calibration!$A:$A,A199,Calibration!$B:$B,B199)&gt;0,"Yes","No")</f>
        <v>No</v>
      </c>
      <c r="S199" s="6"/>
    </row>
    <row r="200" spans="1:19" ht="34.5" customHeight="1" x14ac:dyDescent="0.2">
      <c r="A200" s="2">
        <v>84</v>
      </c>
      <c r="B200" s="2">
        <v>7</v>
      </c>
      <c r="C200" s="2" t="s">
        <v>174</v>
      </c>
      <c r="D200" s="2" t="s">
        <v>25</v>
      </c>
      <c r="E200" s="2">
        <v>20110501</v>
      </c>
      <c r="F200" s="2">
        <v>20110630</v>
      </c>
      <c r="G200" s="2">
        <v>2863.3</v>
      </c>
      <c r="H200" s="2">
        <v>2002.3</v>
      </c>
      <c r="I200" s="2">
        <v>5</v>
      </c>
      <c r="J200" s="2" t="s">
        <v>175</v>
      </c>
      <c r="K200" s="2" t="s">
        <v>176</v>
      </c>
      <c r="L200" s="2" t="s">
        <v>1087</v>
      </c>
      <c r="M200" s="7" t="s">
        <v>1088</v>
      </c>
      <c r="N200" s="7" t="s">
        <v>1089</v>
      </c>
      <c r="O200" s="2"/>
      <c r="P200" s="2"/>
      <c r="Q200" s="2" t="str">
        <f>IF(SUMPRODUCT(--ISNUMBER(SEARCH('National Domains'!$A$2:$A$48,L200)))&gt;0,"Yes","No")</f>
        <v>Yes</v>
      </c>
      <c r="R200" s="2" t="str">
        <f>IF(COUNTIFS(Calibration!$A:$A,A200,Calibration!$B:$B,B200)&gt;0,"Yes","No")</f>
        <v>No</v>
      </c>
      <c r="S200" s="6"/>
    </row>
    <row r="201" spans="1:19" ht="34.5" customHeight="1" x14ac:dyDescent="0.2">
      <c r="A201" s="2">
        <v>84</v>
      </c>
      <c r="B201" s="2">
        <v>8</v>
      </c>
      <c r="C201" s="2" t="s">
        <v>174</v>
      </c>
      <c r="D201" s="2" t="s">
        <v>25</v>
      </c>
      <c r="E201" s="2">
        <v>20110501</v>
      </c>
      <c r="F201" s="2">
        <v>20110630</v>
      </c>
      <c r="G201" s="2">
        <v>2863.3</v>
      </c>
      <c r="H201" s="2">
        <v>2002.3</v>
      </c>
      <c r="I201" s="2">
        <v>5</v>
      </c>
      <c r="J201" s="2" t="s">
        <v>175</v>
      </c>
      <c r="K201" s="2" t="s">
        <v>176</v>
      </c>
      <c r="L201" s="2" t="s">
        <v>1090</v>
      </c>
      <c r="M201" s="7" t="s">
        <v>1091</v>
      </c>
      <c r="N201" s="7" t="s">
        <v>1092</v>
      </c>
      <c r="O201" s="2"/>
      <c r="P201" s="2"/>
      <c r="Q201" s="2" t="str">
        <f>IF(SUMPRODUCT(--ISNUMBER(SEARCH('National Domains'!$A$2:$A$48,L201)))&gt;0,"Yes","No")</f>
        <v>No</v>
      </c>
      <c r="R201" s="2" t="str">
        <f>IF(COUNTIFS(Calibration!$A:$A,A201,Calibration!$B:$B,B201)&gt;0,"Yes","No")</f>
        <v>No</v>
      </c>
      <c r="S201" s="6"/>
    </row>
    <row r="202" spans="1:19" ht="34.5" customHeight="1" x14ac:dyDescent="0.2">
      <c r="A202" s="2">
        <v>84</v>
      </c>
      <c r="B202" s="2">
        <v>9</v>
      </c>
      <c r="C202" s="2" t="s">
        <v>174</v>
      </c>
      <c r="D202" s="2" t="s">
        <v>25</v>
      </c>
      <c r="E202" s="2">
        <v>20110501</v>
      </c>
      <c r="F202" s="2">
        <v>20110630</v>
      </c>
      <c r="G202" s="2">
        <v>2863.3</v>
      </c>
      <c r="H202" s="2">
        <v>2002.3</v>
      </c>
      <c r="I202" s="2">
        <v>5</v>
      </c>
      <c r="J202" s="2" t="s">
        <v>175</v>
      </c>
      <c r="K202" s="2" t="s">
        <v>176</v>
      </c>
      <c r="L202" s="2" t="s">
        <v>1093</v>
      </c>
      <c r="M202" s="7" t="s">
        <v>1094</v>
      </c>
      <c r="N202" s="7" t="s">
        <v>1095</v>
      </c>
      <c r="O202" s="2"/>
      <c r="P202" s="2"/>
      <c r="Q202" s="2" t="str">
        <f>IF(SUMPRODUCT(--ISNUMBER(SEARCH('National Domains'!$A$2:$A$48,L202)))&gt;0,"Yes","No")</f>
        <v>No</v>
      </c>
      <c r="R202" s="2" t="str">
        <f>IF(COUNTIFS(Calibration!$A:$A,A202,Calibration!$B:$B,B202)&gt;0,"Yes","No")</f>
        <v>No</v>
      </c>
      <c r="S202" s="6"/>
    </row>
    <row r="203" spans="1:19" ht="34.5" customHeight="1" x14ac:dyDescent="0.2">
      <c r="A203" s="2">
        <v>84</v>
      </c>
      <c r="B203" s="2">
        <v>10</v>
      </c>
      <c r="C203" s="2" t="s">
        <v>174</v>
      </c>
      <c r="D203" s="2" t="s">
        <v>25</v>
      </c>
      <c r="E203" s="2">
        <v>20110501</v>
      </c>
      <c r="F203" s="2">
        <v>20110630</v>
      </c>
      <c r="G203" s="2">
        <v>2863.3</v>
      </c>
      <c r="H203" s="2">
        <v>2002.3</v>
      </c>
      <c r="I203" s="2">
        <v>5</v>
      </c>
      <c r="J203" s="2" t="s">
        <v>175</v>
      </c>
      <c r="K203" s="2" t="s">
        <v>176</v>
      </c>
      <c r="L203" s="2" t="s">
        <v>1096</v>
      </c>
      <c r="M203" s="7" t="s">
        <v>1097</v>
      </c>
      <c r="N203" s="7" t="s">
        <v>1098</v>
      </c>
      <c r="O203" s="2"/>
      <c r="P203" s="2"/>
      <c r="Q203" s="2" t="str">
        <f>IF(SUMPRODUCT(--ISNUMBER(SEARCH('National Domains'!$A$2:$A$48,L203)))&gt;0,"Yes","No")</f>
        <v>No</v>
      </c>
      <c r="R203" s="2" t="str">
        <f>IF(COUNTIFS(Calibration!$A:$A,A203,Calibration!$B:$B,B203)&gt;0,"Yes","No")</f>
        <v>No</v>
      </c>
      <c r="S203" s="6"/>
    </row>
    <row r="204" spans="1:19" ht="34.5" customHeight="1" x14ac:dyDescent="0.2">
      <c r="A204" s="2">
        <v>84</v>
      </c>
      <c r="B204" s="2">
        <v>11</v>
      </c>
      <c r="C204" s="2" t="s">
        <v>174</v>
      </c>
      <c r="D204" s="2" t="s">
        <v>25</v>
      </c>
      <c r="E204" s="2">
        <v>20110501</v>
      </c>
      <c r="F204" s="2">
        <v>20110630</v>
      </c>
      <c r="G204" s="2">
        <v>2863.3</v>
      </c>
      <c r="H204" s="2">
        <v>2002.3</v>
      </c>
      <c r="I204" s="2">
        <v>5</v>
      </c>
      <c r="J204" s="2" t="s">
        <v>175</v>
      </c>
      <c r="K204" s="2" t="s">
        <v>176</v>
      </c>
      <c r="L204" s="2" t="s">
        <v>1099</v>
      </c>
      <c r="M204" s="7" t="s">
        <v>1100</v>
      </c>
      <c r="N204" s="7" t="s">
        <v>1101</v>
      </c>
      <c r="O204" s="2"/>
      <c r="P204" s="2"/>
      <c r="Q204" s="2" t="str">
        <f>IF(SUMPRODUCT(--ISNUMBER(SEARCH('National Domains'!$A$2:$A$48,L204)))&gt;0,"Yes","No")</f>
        <v>No</v>
      </c>
      <c r="R204" s="2" t="str">
        <f>IF(COUNTIFS(Calibration!$A:$A,A204,Calibration!$B:$B,B204)&gt;0,"Yes","No")</f>
        <v>No</v>
      </c>
      <c r="S204" s="6"/>
    </row>
    <row r="205" spans="1:19" ht="34.5" customHeight="1" x14ac:dyDescent="0.2">
      <c r="A205" s="2">
        <v>84</v>
      </c>
      <c r="B205" s="2">
        <v>12</v>
      </c>
      <c r="C205" s="2" t="s">
        <v>174</v>
      </c>
      <c r="D205" s="2" t="s">
        <v>25</v>
      </c>
      <c r="E205" s="2">
        <v>20110501</v>
      </c>
      <c r="F205" s="2">
        <v>20110630</v>
      </c>
      <c r="G205" s="2">
        <v>2863.3</v>
      </c>
      <c r="H205" s="2">
        <v>2002.3</v>
      </c>
      <c r="I205" s="2">
        <v>5</v>
      </c>
      <c r="J205" s="2" t="s">
        <v>175</v>
      </c>
      <c r="K205" s="2" t="s">
        <v>176</v>
      </c>
      <c r="L205" s="2" t="s">
        <v>1102</v>
      </c>
      <c r="M205" s="7" t="s">
        <v>1103</v>
      </c>
      <c r="N205" s="7" t="s">
        <v>1104</v>
      </c>
      <c r="O205" s="2"/>
      <c r="P205" s="2"/>
      <c r="Q205" s="2" t="str">
        <f>IF(SUMPRODUCT(--ISNUMBER(SEARCH('National Domains'!$A$2:$A$48,L205)))&gt;0,"Yes","No")</f>
        <v>No</v>
      </c>
      <c r="R205" s="2" t="str">
        <f>IF(COUNTIFS(Calibration!$A:$A,A205,Calibration!$B:$B,B205)&gt;0,"Yes","No")</f>
        <v>No</v>
      </c>
      <c r="S205" s="6"/>
    </row>
    <row r="206" spans="1:19" ht="23.25" customHeight="1" x14ac:dyDescent="0.2">
      <c r="A206" s="2">
        <v>84</v>
      </c>
      <c r="B206" s="2">
        <v>13</v>
      </c>
      <c r="C206" s="2" t="s">
        <v>174</v>
      </c>
      <c r="D206" s="2" t="s">
        <v>25</v>
      </c>
      <c r="E206" s="2">
        <v>20110501</v>
      </c>
      <c r="F206" s="2">
        <v>20110630</v>
      </c>
      <c r="G206" s="2">
        <v>2863.3</v>
      </c>
      <c r="H206" s="2">
        <v>2002.3</v>
      </c>
      <c r="I206" s="2">
        <v>5</v>
      </c>
      <c r="J206" s="2" t="s">
        <v>175</v>
      </c>
      <c r="K206" s="2" t="s">
        <v>176</v>
      </c>
      <c r="L206" s="2" t="s">
        <v>1105</v>
      </c>
      <c r="M206" s="7" t="s">
        <v>1106</v>
      </c>
      <c r="N206" s="7" t="s">
        <v>1107</v>
      </c>
      <c r="O206" s="2"/>
      <c r="P206" s="2"/>
      <c r="Q206" s="2" t="str">
        <f>IF(SUMPRODUCT(--ISNUMBER(SEARCH('National Domains'!$A$2:$A$48,L206)))&gt;0,"Yes","No")</f>
        <v>No</v>
      </c>
      <c r="R206" s="2" t="str">
        <f>IF(COUNTIFS(Calibration!$A:$A,A206,Calibration!$B:$B,B206)&gt;0,"Yes","No")</f>
        <v>No</v>
      </c>
      <c r="S206" s="6"/>
    </row>
    <row r="207" spans="1:19" ht="23.25" customHeight="1" x14ac:dyDescent="0.2">
      <c r="A207" s="2">
        <v>84</v>
      </c>
      <c r="B207" s="2">
        <v>14</v>
      </c>
      <c r="C207" s="2" t="s">
        <v>174</v>
      </c>
      <c r="D207" s="2" t="s">
        <v>25</v>
      </c>
      <c r="E207" s="2">
        <v>20110501</v>
      </c>
      <c r="F207" s="2">
        <v>20110630</v>
      </c>
      <c r="G207" s="2">
        <v>2863.3</v>
      </c>
      <c r="H207" s="2">
        <v>2002.3</v>
      </c>
      <c r="I207" s="2">
        <v>5</v>
      </c>
      <c r="J207" s="2" t="s">
        <v>175</v>
      </c>
      <c r="K207" s="2" t="s">
        <v>176</v>
      </c>
      <c r="L207" s="2" t="s">
        <v>1108</v>
      </c>
      <c r="M207" s="7" t="s">
        <v>1109</v>
      </c>
      <c r="N207" s="7" t="s">
        <v>1110</v>
      </c>
      <c r="O207" s="2"/>
      <c r="P207" s="2"/>
      <c r="Q207" s="2" t="str">
        <f>IF(SUMPRODUCT(--ISNUMBER(SEARCH('National Domains'!$A$2:$A$48,L207)))&gt;0,"Yes","No")</f>
        <v>Yes</v>
      </c>
      <c r="R207" s="2" t="str">
        <f>IF(COUNTIFS(Calibration!$A:$A,A207,Calibration!$B:$B,B207)&gt;0,"Yes","No")</f>
        <v>No</v>
      </c>
      <c r="S207" s="6"/>
    </row>
    <row r="208" spans="1:19" ht="23.25" customHeight="1" x14ac:dyDescent="0.2">
      <c r="A208" s="2">
        <v>84</v>
      </c>
      <c r="B208" s="2">
        <v>15</v>
      </c>
      <c r="C208" s="2" t="s">
        <v>174</v>
      </c>
      <c r="D208" s="2" t="s">
        <v>25</v>
      </c>
      <c r="E208" s="2">
        <v>20110501</v>
      </c>
      <c r="F208" s="2">
        <v>20110630</v>
      </c>
      <c r="G208" s="2">
        <v>2863.3</v>
      </c>
      <c r="H208" s="2">
        <v>2002.3</v>
      </c>
      <c r="I208" s="2">
        <v>5</v>
      </c>
      <c r="J208" s="2" t="s">
        <v>175</v>
      </c>
      <c r="K208" s="2" t="s">
        <v>176</v>
      </c>
      <c r="L208" s="2" t="s">
        <v>1111</v>
      </c>
      <c r="M208" s="7" t="s">
        <v>1112</v>
      </c>
      <c r="N208" s="7" t="s">
        <v>1113</v>
      </c>
      <c r="O208" s="2"/>
      <c r="P208" s="2"/>
      <c r="Q208" s="2" t="str">
        <f>IF(SUMPRODUCT(--ISNUMBER(SEARCH('National Domains'!$A$2:$A$48,L208)))&gt;0,"Yes","No")</f>
        <v>Yes</v>
      </c>
      <c r="R208" s="2" t="str">
        <f>IF(COUNTIFS(Calibration!$A:$A,A208,Calibration!$B:$B,B208)&gt;0,"Yes","No")</f>
        <v>No</v>
      </c>
      <c r="S208" s="6"/>
    </row>
    <row r="209" spans="1:19" ht="34.5" customHeight="1" x14ac:dyDescent="0.2">
      <c r="A209" s="2">
        <v>84</v>
      </c>
      <c r="B209" s="2">
        <v>16</v>
      </c>
      <c r="C209" s="2" t="s">
        <v>174</v>
      </c>
      <c r="D209" s="2" t="s">
        <v>25</v>
      </c>
      <c r="E209" s="2">
        <v>20110501</v>
      </c>
      <c r="F209" s="2">
        <v>20110630</v>
      </c>
      <c r="G209" s="2">
        <v>2863.3</v>
      </c>
      <c r="H209" s="2">
        <v>2002.3</v>
      </c>
      <c r="I209" s="2">
        <v>5</v>
      </c>
      <c r="J209" s="2" t="s">
        <v>175</v>
      </c>
      <c r="K209" s="2" t="s">
        <v>176</v>
      </c>
      <c r="L209" s="2" t="s">
        <v>1114</v>
      </c>
      <c r="M209" s="7" t="s">
        <v>1115</v>
      </c>
      <c r="N209" s="7" t="s">
        <v>1116</v>
      </c>
      <c r="O209" s="2"/>
      <c r="P209" s="2"/>
      <c r="Q209" s="2" t="str">
        <f>IF(SUMPRODUCT(--ISNUMBER(SEARCH('National Domains'!$A$2:$A$48,L209)))&gt;0,"Yes","No")</f>
        <v>Yes</v>
      </c>
      <c r="R209" s="2" t="str">
        <f>IF(COUNTIFS(Calibration!$A:$A,A209,Calibration!$B:$B,B209)&gt;0,"Yes","No")</f>
        <v>No</v>
      </c>
      <c r="S209" s="6"/>
    </row>
    <row r="210" spans="1:19" ht="34.5" customHeight="1" x14ac:dyDescent="0.2">
      <c r="A210" s="2">
        <v>84</v>
      </c>
      <c r="B210" s="2">
        <v>17</v>
      </c>
      <c r="C210" s="2" t="s">
        <v>174</v>
      </c>
      <c r="D210" s="2" t="s">
        <v>25</v>
      </c>
      <c r="E210" s="2">
        <v>20110501</v>
      </c>
      <c r="F210" s="2">
        <v>20110630</v>
      </c>
      <c r="G210" s="2">
        <v>2863.3</v>
      </c>
      <c r="H210" s="2">
        <v>2002.3</v>
      </c>
      <c r="I210" s="2">
        <v>5</v>
      </c>
      <c r="J210" s="2" t="s">
        <v>175</v>
      </c>
      <c r="K210" s="2" t="s">
        <v>176</v>
      </c>
      <c r="L210" s="2" t="s">
        <v>1117</v>
      </c>
      <c r="M210" s="7" t="s">
        <v>1118</v>
      </c>
      <c r="N210" s="7" t="s">
        <v>1119</v>
      </c>
      <c r="O210" s="2"/>
      <c r="P210" s="2"/>
      <c r="Q210" s="2" t="str">
        <f>IF(SUMPRODUCT(--ISNUMBER(SEARCH('National Domains'!$A$2:$A$48,L210)))&gt;0,"Yes","No")</f>
        <v>Yes</v>
      </c>
      <c r="R210" s="2" t="str">
        <f>IF(COUNTIFS(Calibration!$A:$A,A210,Calibration!$B:$B,B210)&gt;0,"Yes","No")</f>
        <v>No</v>
      </c>
      <c r="S210" s="6"/>
    </row>
    <row r="211" spans="1:19" ht="34.5" customHeight="1" x14ac:dyDescent="0.2">
      <c r="A211" s="2">
        <v>84</v>
      </c>
      <c r="B211" s="2">
        <v>18</v>
      </c>
      <c r="C211" s="2" t="s">
        <v>174</v>
      </c>
      <c r="D211" s="2" t="s">
        <v>25</v>
      </c>
      <c r="E211" s="2">
        <v>20110501</v>
      </c>
      <c r="F211" s="2">
        <v>20110630</v>
      </c>
      <c r="G211" s="2">
        <v>2863.3</v>
      </c>
      <c r="H211" s="2">
        <v>2002.3</v>
      </c>
      <c r="I211" s="2">
        <v>5</v>
      </c>
      <c r="J211" s="2" t="s">
        <v>175</v>
      </c>
      <c r="K211" s="2" t="s">
        <v>176</v>
      </c>
      <c r="L211" s="2" t="s">
        <v>1120</v>
      </c>
      <c r="M211" s="7" t="s">
        <v>1121</v>
      </c>
      <c r="N211" s="7" t="s">
        <v>1122</v>
      </c>
      <c r="O211" s="2"/>
      <c r="P211" s="2"/>
      <c r="Q211" s="2" t="str">
        <f>IF(SUMPRODUCT(--ISNUMBER(SEARCH('National Domains'!$A$2:$A$48,L211)))&gt;0,"Yes","No")</f>
        <v>Yes</v>
      </c>
      <c r="R211" s="2" t="str">
        <f>IF(COUNTIFS(Calibration!$A:$A,A211,Calibration!$B:$B,B211)&gt;0,"Yes","No")</f>
        <v>No</v>
      </c>
      <c r="S211" s="6"/>
    </row>
    <row r="212" spans="1:19" ht="34.5" customHeight="1" x14ac:dyDescent="0.2">
      <c r="A212" s="2">
        <v>88</v>
      </c>
      <c r="B212" s="2">
        <v>1</v>
      </c>
      <c r="C212" s="2" t="s">
        <v>182</v>
      </c>
      <c r="D212" s="2" t="s">
        <v>39</v>
      </c>
      <c r="E212" s="2">
        <v>20110826</v>
      </c>
      <c r="F212" s="2">
        <v>20110828</v>
      </c>
      <c r="G212" s="2">
        <v>18756.7</v>
      </c>
      <c r="H212" s="2">
        <v>13494</v>
      </c>
      <c r="I212" s="2">
        <v>45</v>
      </c>
      <c r="J212" s="2" t="s">
        <v>183</v>
      </c>
      <c r="K212" s="2" t="s">
        <v>52</v>
      </c>
      <c r="L212" s="2" t="s">
        <v>1123</v>
      </c>
      <c r="M212" s="7" t="s">
        <v>1124</v>
      </c>
      <c r="N212" s="7" t="s">
        <v>1125</v>
      </c>
      <c r="O212" s="2"/>
      <c r="P212" s="2"/>
      <c r="Q212" s="2" t="str">
        <f>IF(SUMPRODUCT(--ISNUMBER(SEARCH('National Domains'!$A$2:$A$48,L212)))&gt;0,"Yes","No")</f>
        <v>No</v>
      </c>
      <c r="R212" s="2" t="str">
        <f>IF(COUNTIFS(Calibration!$A:$A,A212,Calibration!$B:$B,B212)&gt;0,"Yes","No")</f>
        <v>No</v>
      </c>
      <c r="S212" s="6"/>
    </row>
    <row r="213" spans="1:19" ht="34.5" customHeight="1" x14ac:dyDescent="0.2">
      <c r="A213" s="2">
        <v>88</v>
      </c>
      <c r="B213" s="2">
        <v>2</v>
      </c>
      <c r="C213" s="2" t="s">
        <v>182</v>
      </c>
      <c r="D213" s="2" t="s">
        <v>39</v>
      </c>
      <c r="E213" s="2">
        <v>20110826</v>
      </c>
      <c r="F213" s="2">
        <v>20110828</v>
      </c>
      <c r="G213" s="2">
        <v>18756.7</v>
      </c>
      <c r="H213" s="2">
        <v>13494</v>
      </c>
      <c r="I213" s="2">
        <v>45</v>
      </c>
      <c r="J213" s="2" t="s">
        <v>183</v>
      </c>
      <c r="K213" s="2" t="s">
        <v>52</v>
      </c>
      <c r="L213" s="2" t="s">
        <v>1126</v>
      </c>
      <c r="M213" s="7" t="s">
        <v>1127</v>
      </c>
      <c r="N213" s="7" t="s">
        <v>1128</v>
      </c>
      <c r="O213" s="2"/>
      <c r="P213" s="2"/>
      <c r="Q213" s="2" t="str">
        <f>IF(SUMPRODUCT(--ISNUMBER(SEARCH('National Domains'!$A$2:$A$48,L213)))&gt;0,"Yes","No")</f>
        <v>No</v>
      </c>
      <c r="R213" s="2" t="str">
        <f>IF(COUNTIFS(Calibration!$A:$A,A213,Calibration!$B:$B,B213)&gt;0,"Yes","No")</f>
        <v>No</v>
      </c>
      <c r="S213" s="6"/>
    </row>
    <row r="214" spans="1:19" ht="34.5" customHeight="1" x14ac:dyDescent="0.2">
      <c r="A214" s="2">
        <v>88</v>
      </c>
      <c r="B214" s="2">
        <v>3</v>
      </c>
      <c r="C214" s="2" t="s">
        <v>182</v>
      </c>
      <c r="D214" s="2" t="s">
        <v>39</v>
      </c>
      <c r="E214" s="2">
        <v>20110826</v>
      </c>
      <c r="F214" s="2">
        <v>20110828</v>
      </c>
      <c r="G214" s="2">
        <v>18756.7</v>
      </c>
      <c r="H214" s="2">
        <v>13494</v>
      </c>
      <c r="I214" s="2">
        <v>45</v>
      </c>
      <c r="J214" s="2" t="s">
        <v>183</v>
      </c>
      <c r="K214" s="2" t="s">
        <v>52</v>
      </c>
      <c r="L214" s="2" t="s">
        <v>1129</v>
      </c>
      <c r="M214" s="7" t="s">
        <v>1130</v>
      </c>
      <c r="N214" s="7" t="s">
        <v>1131</v>
      </c>
      <c r="O214" s="2"/>
      <c r="P214" s="2"/>
      <c r="Q214" s="2" t="str">
        <f>IF(SUMPRODUCT(--ISNUMBER(SEARCH('National Domains'!$A$2:$A$48,L214)))&gt;0,"Yes","No")</f>
        <v>Yes</v>
      </c>
      <c r="R214" s="2" t="str">
        <f>IF(COUNTIFS(Calibration!$A:$A,A214,Calibration!$B:$B,B214)&gt;0,"Yes","No")</f>
        <v>No</v>
      </c>
      <c r="S214" s="6"/>
    </row>
    <row r="215" spans="1:19" ht="34.5" customHeight="1" x14ac:dyDescent="0.2">
      <c r="A215" s="2">
        <v>88</v>
      </c>
      <c r="B215" s="2">
        <v>4</v>
      </c>
      <c r="C215" s="2" t="s">
        <v>182</v>
      </c>
      <c r="D215" s="2" t="s">
        <v>39</v>
      </c>
      <c r="E215" s="2">
        <v>20110826</v>
      </c>
      <c r="F215" s="2">
        <v>20110828</v>
      </c>
      <c r="G215" s="2">
        <v>18756.7</v>
      </c>
      <c r="H215" s="2">
        <v>13494</v>
      </c>
      <c r="I215" s="2">
        <v>45</v>
      </c>
      <c r="J215" s="2" t="s">
        <v>183</v>
      </c>
      <c r="K215" s="2" t="s">
        <v>52</v>
      </c>
      <c r="L215" s="2" t="s">
        <v>1132</v>
      </c>
      <c r="M215" s="7" t="s">
        <v>1133</v>
      </c>
      <c r="N215" s="7" t="s">
        <v>1134</v>
      </c>
      <c r="O215" s="2"/>
      <c r="P215" s="2"/>
      <c r="Q215" s="2" t="str">
        <f>IF(SUMPRODUCT(--ISNUMBER(SEARCH('National Domains'!$A$2:$A$48,L215)))&gt;0,"Yes","No")</f>
        <v>Yes</v>
      </c>
      <c r="R215" s="2" t="str">
        <f>IF(COUNTIFS(Calibration!$A:$A,A215,Calibration!$B:$B,B215)&gt;0,"Yes","No")</f>
        <v>No</v>
      </c>
      <c r="S215" s="6"/>
    </row>
    <row r="216" spans="1:19" ht="34.5" customHeight="1" x14ac:dyDescent="0.2">
      <c r="A216" s="2">
        <v>88</v>
      </c>
      <c r="B216" s="2">
        <v>5</v>
      </c>
      <c r="C216" s="2" t="s">
        <v>182</v>
      </c>
      <c r="D216" s="2" t="s">
        <v>39</v>
      </c>
      <c r="E216" s="2">
        <v>20110826</v>
      </c>
      <c r="F216" s="2">
        <v>20110828</v>
      </c>
      <c r="G216" s="2">
        <v>18756.7</v>
      </c>
      <c r="H216" s="2">
        <v>13494</v>
      </c>
      <c r="I216" s="2">
        <v>45</v>
      </c>
      <c r="J216" s="2" t="s">
        <v>183</v>
      </c>
      <c r="K216" s="2" t="s">
        <v>52</v>
      </c>
      <c r="L216" s="2" t="s">
        <v>1135</v>
      </c>
      <c r="M216" s="7" t="s">
        <v>1136</v>
      </c>
      <c r="N216" s="7" t="s">
        <v>1137</v>
      </c>
      <c r="O216" s="2"/>
      <c r="P216" s="2"/>
      <c r="Q216" s="2" t="str">
        <f>IF(SUMPRODUCT(--ISNUMBER(SEARCH('National Domains'!$A$2:$A$48,L216)))&gt;0,"Yes","No")</f>
        <v>Yes</v>
      </c>
      <c r="R216" s="2" t="str">
        <f>IF(COUNTIFS(Calibration!$A:$A,A216,Calibration!$B:$B,B216)&gt;0,"Yes","No")</f>
        <v>No</v>
      </c>
      <c r="S216" s="6"/>
    </row>
    <row r="217" spans="1:19" ht="34.5" customHeight="1" x14ac:dyDescent="0.2">
      <c r="A217" s="2">
        <v>88</v>
      </c>
      <c r="B217" s="2">
        <v>6</v>
      </c>
      <c r="C217" s="2" t="s">
        <v>182</v>
      </c>
      <c r="D217" s="2" t="s">
        <v>39</v>
      </c>
      <c r="E217" s="2">
        <v>20110826</v>
      </c>
      <c r="F217" s="2">
        <v>20110828</v>
      </c>
      <c r="G217" s="2">
        <v>18756.7</v>
      </c>
      <c r="H217" s="2">
        <v>13494</v>
      </c>
      <c r="I217" s="2">
        <v>45</v>
      </c>
      <c r="J217" s="2" t="s">
        <v>183</v>
      </c>
      <c r="K217" s="2" t="s">
        <v>52</v>
      </c>
      <c r="L217" s="2" t="s">
        <v>1138</v>
      </c>
      <c r="M217" s="7" t="s">
        <v>1139</v>
      </c>
      <c r="N217" s="7" t="s">
        <v>1140</v>
      </c>
      <c r="O217" s="2"/>
      <c r="P217" s="2"/>
      <c r="Q217" s="2" t="str">
        <f>IF(SUMPRODUCT(--ISNUMBER(SEARCH('National Domains'!$A$2:$A$48,L217)))&gt;0,"Yes","No")</f>
        <v>Yes</v>
      </c>
      <c r="R217" s="2" t="str">
        <f>IF(COUNTIFS(Calibration!$A:$A,A217,Calibration!$B:$B,B217)&gt;0,"Yes","No")</f>
        <v>No</v>
      </c>
      <c r="S217" s="6"/>
    </row>
    <row r="218" spans="1:19" ht="34.5" customHeight="1" x14ac:dyDescent="0.2">
      <c r="A218" s="2">
        <v>88</v>
      </c>
      <c r="B218" s="2">
        <v>7</v>
      </c>
      <c r="C218" s="2" t="s">
        <v>182</v>
      </c>
      <c r="D218" s="2" t="s">
        <v>39</v>
      </c>
      <c r="E218" s="2">
        <v>20110826</v>
      </c>
      <c r="F218" s="2">
        <v>20110828</v>
      </c>
      <c r="G218" s="2">
        <v>18756.7</v>
      </c>
      <c r="H218" s="2">
        <v>13494</v>
      </c>
      <c r="I218" s="2">
        <v>45</v>
      </c>
      <c r="J218" s="2" t="s">
        <v>183</v>
      </c>
      <c r="K218" s="2" t="s">
        <v>52</v>
      </c>
      <c r="L218" s="2" t="s">
        <v>1141</v>
      </c>
      <c r="M218" s="7" t="s">
        <v>1142</v>
      </c>
      <c r="N218" s="7" t="s">
        <v>1143</v>
      </c>
      <c r="O218" s="2"/>
      <c r="P218" s="2"/>
      <c r="Q218" s="2" t="str">
        <f>IF(SUMPRODUCT(--ISNUMBER(SEARCH('National Domains'!$A$2:$A$48,L218)))&gt;0,"Yes","No")</f>
        <v>No</v>
      </c>
      <c r="R218" s="2" t="str">
        <f>IF(COUNTIFS(Calibration!$A:$A,A218,Calibration!$B:$B,B218)&gt;0,"Yes","No")</f>
        <v>No</v>
      </c>
      <c r="S218" s="6"/>
    </row>
    <row r="219" spans="1:19" ht="34.5" customHeight="1" x14ac:dyDescent="0.2">
      <c r="A219" s="2">
        <v>88</v>
      </c>
      <c r="B219" s="2">
        <v>8</v>
      </c>
      <c r="C219" s="2" t="s">
        <v>182</v>
      </c>
      <c r="D219" s="2" t="s">
        <v>39</v>
      </c>
      <c r="E219" s="2">
        <v>20110826</v>
      </c>
      <c r="F219" s="2">
        <v>20110828</v>
      </c>
      <c r="G219" s="2">
        <v>18756.7</v>
      </c>
      <c r="H219" s="2">
        <v>13494</v>
      </c>
      <c r="I219" s="2">
        <v>45</v>
      </c>
      <c r="J219" s="2" t="s">
        <v>183</v>
      </c>
      <c r="K219" s="2" t="s">
        <v>52</v>
      </c>
      <c r="L219" s="2" t="s">
        <v>1144</v>
      </c>
      <c r="M219" s="7" t="s">
        <v>1145</v>
      </c>
      <c r="N219" s="7" t="s">
        <v>1146</v>
      </c>
      <c r="O219" s="2"/>
      <c r="P219" s="2"/>
      <c r="Q219" s="2" t="str">
        <f>IF(SUMPRODUCT(--ISNUMBER(SEARCH('National Domains'!$A$2:$A$48,L219)))&gt;0,"Yes","No")</f>
        <v>No</v>
      </c>
      <c r="R219" s="2" t="str">
        <f>IF(COUNTIFS(Calibration!$A:$A,A219,Calibration!$B:$B,B219)&gt;0,"Yes","No")</f>
        <v>No</v>
      </c>
      <c r="S219" s="6"/>
    </row>
    <row r="220" spans="1:19" ht="34.5" customHeight="1" x14ac:dyDescent="0.2">
      <c r="A220" s="2">
        <v>88</v>
      </c>
      <c r="B220" s="2">
        <v>9</v>
      </c>
      <c r="C220" s="2" t="s">
        <v>182</v>
      </c>
      <c r="D220" s="2" t="s">
        <v>39</v>
      </c>
      <c r="E220" s="2">
        <v>20110826</v>
      </c>
      <c r="F220" s="2">
        <v>20110828</v>
      </c>
      <c r="G220" s="2">
        <v>18756.7</v>
      </c>
      <c r="H220" s="2">
        <v>13494</v>
      </c>
      <c r="I220" s="2">
        <v>45</v>
      </c>
      <c r="J220" s="2" t="s">
        <v>183</v>
      </c>
      <c r="K220" s="2" t="s">
        <v>52</v>
      </c>
      <c r="L220" s="2" t="s">
        <v>1147</v>
      </c>
      <c r="M220" s="7" t="s">
        <v>1148</v>
      </c>
      <c r="N220" s="7" t="s">
        <v>1149</v>
      </c>
      <c r="O220" s="2"/>
      <c r="P220" s="2"/>
      <c r="Q220" s="2" t="str">
        <f>IF(SUMPRODUCT(--ISNUMBER(SEARCH('National Domains'!$A$2:$A$48,L220)))&gt;0,"Yes","No")</f>
        <v>No</v>
      </c>
      <c r="R220" s="2" t="str">
        <f>IF(COUNTIFS(Calibration!$A:$A,A220,Calibration!$B:$B,B220)&gt;0,"Yes","No")</f>
        <v>No</v>
      </c>
      <c r="S220" s="6"/>
    </row>
    <row r="221" spans="1:19" ht="34.5" customHeight="1" x14ac:dyDescent="0.2">
      <c r="A221" s="2">
        <v>88</v>
      </c>
      <c r="B221" s="2">
        <v>10</v>
      </c>
      <c r="C221" s="2" t="s">
        <v>182</v>
      </c>
      <c r="D221" s="2" t="s">
        <v>39</v>
      </c>
      <c r="E221" s="2">
        <v>20110826</v>
      </c>
      <c r="F221" s="2">
        <v>20110828</v>
      </c>
      <c r="G221" s="2">
        <v>18756.7</v>
      </c>
      <c r="H221" s="2">
        <v>13494</v>
      </c>
      <c r="I221" s="2">
        <v>45</v>
      </c>
      <c r="J221" s="2" t="s">
        <v>183</v>
      </c>
      <c r="K221" s="2" t="s">
        <v>52</v>
      </c>
      <c r="L221" s="2" t="s">
        <v>1150</v>
      </c>
      <c r="M221" s="7" t="s">
        <v>1151</v>
      </c>
      <c r="N221" s="7" t="s">
        <v>1152</v>
      </c>
      <c r="O221" s="2"/>
      <c r="P221" s="2"/>
      <c r="Q221" s="2" t="str">
        <f>IF(SUMPRODUCT(--ISNUMBER(SEARCH('National Domains'!$A$2:$A$48,L221)))&gt;0,"Yes","No")</f>
        <v>Yes</v>
      </c>
      <c r="R221" s="2" t="str">
        <f>IF(COUNTIFS(Calibration!$A:$A,A221,Calibration!$B:$B,B221)&gt;0,"Yes","No")</f>
        <v>No</v>
      </c>
      <c r="S221" s="6"/>
    </row>
    <row r="222" spans="1:19" ht="34.5" customHeight="1" x14ac:dyDescent="0.2">
      <c r="A222" s="2">
        <v>89</v>
      </c>
      <c r="B222" s="2">
        <v>1</v>
      </c>
      <c r="C222" s="2" t="s">
        <v>184</v>
      </c>
      <c r="D222" s="2" t="s">
        <v>29</v>
      </c>
      <c r="E222" s="2">
        <v>20110301</v>
      </c>
      <c r="F222" s="2">
        <v>20110831</v>
      </c>
      <c r="G222" s="2">
        <v>17109.5</v>
      </c>
      <c r="H222" s="2">
        <v>11964.8</v>
      </c>
      <c r="I222" s="2">
        <v>95</v>
      </c>
      <c r="J222" s="2" t="s">
        <v>185</v>
      </c>
      <c r="K222" s="2" t="s">
        <v>186</v>
      </c>
      <c r="L222" s="2" t="s">
        <v>1153</v>
      </c>
      <c r="M222" s="7" t="s">
        <v>1154</v>
      </c>
      <c r="N222" s="7" t="s">
        <v>1155</v>
      </c>
      <c r="O222" s="2"/>
      <c r="P222" s="2"/>
      <c r="Q222" s="2" t="str">
        <f>IF(SUMPRODUCT(--ISNUMBER(SEARCH('National Domains'!$A$2:$A$48,L222)))&gt;0,"Yes","No")</f>
        <v>No</v>
      </c>
      <c r="R222" s="2" t="str">
        <f>IF(COUNTIFS(Calibration!$A:$A,A222,Calibration!$B:$B,B222)&gt;0,"Yes","No")</f>
        <v>No</v>
      </c>
      <c r="S222" s="6"/>
    </row>
    <row r="223" spans="1:19" ht="34.5" customHeight="1" x14ac:dyDescent="0.2">
      <c r="A223" s="2">
        <v>89</v>
      </c>
      <c r="B223" s="2">
        <v>2</v>
      </c>
      <c r="C223" s="2" t="s">
        <v>184</v>
      </c>
      <c r="D223" s="2" t="s">
        <v>29</v>
      </c>
      <c r="E223" s="2">
        <v>20110301</v>
      </c>
      <c r="F223" s="2">
        <v>20110831</v>
      </c>
      <c r="G223" s="2">
        <v>17109.5</v>
      </c>
      <c r="H223" s="2">
        <v>11964.8</v>
      </c>
      <c r="I223" s="2">
        <v>95</v>
      </c>
      <c r="J223" s="2" t="s">
        <v>185</v>
      </c>
      <c r="K223" s="2" t="s">
        <v>186</v>
      </c>
      <c r="L223" s="2" t="s">
        <v>1156</v>
      </c>
      <c r="M223" s="7" t="s">
        <v>1157</v>
      </c>
      <c r="N223" s="7" t="s">
        <v>1158</v>
      </c>
      <c r="O223" s="2"/>
      <c r="P223" s="2"/>
      <c r="Q223" s="2" t="str">
        <f>IF(SUMPRODUCT(--ISNUMBER(SEARCH('National Domains'!$A$2:$A$48,L223)))&gt;0,"Yes","No")</f>
        <v>Yes</v>
      </c>
      <c r="R223" s="2" t="str">
        <f>IF(COUNTIFS(Calibration!$A:$A,A223,Calibration!$B:$B,B223)&gt;0,"Yes","No")</f>
        <v>No</v>
      </c>
      <c r="S223" s="6"/>
    </row>
    <row r="224" spans="1:19" ht="34.5" customHeight="1" x14ac:dyDescent="0.2">
      <c r="A224" s="2">
        <v>89</v>
      </c>
      <c r="B224" s="2">
        <v>3</v>
      </c>
      <c r="C224" s="2" t="s">
        <v>184</v>
      </c>
      <c r="D224" s="2" t="s">
        <v>29</v>
      </c>
      <c r="E224" s="2">
        <v>20110301</v>
      </c>
      <c r="F224" s="2">
        <v>20110831</v>
      </c>
      <c r="G224" s="2">
        <v>17109.5</v>
      </c>
      <c r="H224" s="2">
        <v>11964.8</v>
      </c>
      <c r="I224" s="2">
        <v>95</v>
      </c>
      <c r="J224" s="2" t="s">
        <v>185</v>
      </c>
      <c r="K224" s="2" t="s">
        <v>186</v>
      </c>
      <c r="L224" s="2" t="s">
        <v>1159</v>
      </c>
      <c r="M224" s="7" t="s">
        <v>1160</v>
      </c>
      <c r="N224" s="7" t="s">
        <v>1161</v>
      </c>
      <c r="O224" s="2"/>
      <c r="P224" s="2"/>
      <c r="Q224" s="2" t="str">
        <f>IF(SUMPRODUCT(--ISNUMBER(SEARCH('National Domains'!$A$2:$A$48,L224)))&gt;0,"Yes","No")</f>
        <v>No</v>
      </c>
      <c r="R224" s="2" t="str">
        <f>IF(COUNTIFS(Calibration!$A:$A,A224,Calibration!$B:$B,B224)&gt;0,"Yes","No")</f>
        <v>No</v>
      </c>
      <c r="S224" s="6"/>
    </row>
    <row r="225" spans="1:19" ht="34.5" customHeight="1" x14ac:dyDescent="0.2">
      <c r="A225" s="2">
        <v>89</v>
      </c>
      <c r="B225" s="2">
        <v>4</v>
      </c>
      <c r="C225" s="2" t="s">
        <v>184</v>
      </c>
      <c r="D225" s="2" t="s">
        <v>29</v>
      </c>
      <c r="E225" s="2">
        <v>20110301</v>
      </c>
      <c r="F225" s="2">
        <v>20110831</v>
      </c>
      <c r="G225" s="2">
        <v>17109.5</v>
      </c>
      <c r="H225" s="2">
        <v>11964.8</v>
      </c>
      <c r="I225" s="2">
        <v>95</v>
      </c>
      <c r="J225" s="2" t="s">
        <v>185</v>
      </c>
      <c r="K225" s="2" t="s">
        <v>186</v>
      </c>
      <c r="L225" s="2" t="s">
        <v>1162</v>
      </c>
      <c r="M225" s="7" t="s">
        <v>1163</v>
      </c>
      <c r="N225" s="7" t="s">
        <v>1164</v>
      </c>
      <c r="O225" s="2"/>
      <c r="P225" s="2"/>
      <c r="Q225" s="2" t="str">
        <f>IF(SUMPRODUCT(--ISNUMBER(SEARCH('National Domains'!$A$2:$A$48,L225)))&gt;0,"Yes","No")</f>
        <v>No</v>
      </c>
      <c r="R225" s="2" t="str">
        <f>IF(COUNTIFS(Calibration!$A:$A,A225,Calibration!$B:$B,B225)&gt;0,"Yes","No")</f>
        <v>No</v>
      </c>
      <c r="S225" s="6"/>
    </row>
    <row r="226" spans="1:19" ht="34.5" customHeight="1" x14ac:dyDescent="0.2">
      <c r="A226" s="2">
        <v>89</v>
      </c>
      <c r="B226" s="2">
        <v>5</v>
      </c>
      <c r="C226" s="2" t="s">
        <v>184</v>
      </c>
      <c r="D226" s="2" t="s">
        <v>29</v>
      </c>
      <c r="E226" s="2">
        <v>20110301</v>
      </c>
      <c r="F226" s="2">
        <v>20110831</v>
      </c>
      <c r="G226" s="2">
        <v>17109.5</v>
      </c>
      <c r="H226" s="2">
        <v>11964.8</v>
      </c>
      <c r="I226" s="2">
        <v>95</v>
      </c>
      <c r="J226" s="2" t="s">
        <v>185</v>
      </c>
      <c r="K226" s="2" t="s">
        <v>186</v>
      </c>
      <c r="L226" s="2" t="s">
        <v>1165</v>
      </c>
      <c r="M226" s="7" t="s">
        <v>1166</v>
      </c>
      <c r="N226" s="7" t="s">
        <v>1167</v>
      </c>
      <c r="O226" s="2"/>
      <c r="P226" s="2"/>
      <c r="Q226" s="2" t="str">
        <f>IF(SUMPRODUCT(--ISNUMBER(SEARCH('National Domains'!$A$2:$A$48,L226)))&gt;0,"Yes","No")</f>
        <v>Yes</v>
      </c>
      <c r="R226" s="2" t="str">
        <f>IF(COUNTIFS(Calibration!$A:$A,A226,Calibration!$B:$B,B226)&gt;0,"Yes","No")</f>
        <v>No</v>
      </c>
      <c r="S226" s="6"/>
    </row>
    <row r="227" spans="1:19" ht="34.5" customHeight="1" x14ac:dyDescent="0.2">
      <c r="A227" s="2">
        <v>90</v>
      </c>
      <c r="B227" s="2">
        <v>1</v>
      </c>
      <c r="C227" s="2" t="s">
        <v>187</v>
      </c>
      <c r="D227" s="2" t="s">
        <v>39</v>
      </c>
      <c r="E227" s="2">
        <v>20110901</v>
      </c>
      <c r="F227" s="2">
        <v>20110905</v>
      </c>
      <c r="G227" s="2">
        <v>3492.4</v>
      </c>
      <c r="H227" s="2">
        <v>2512.5</v>
      </c>
      <c r="I227" s="2">
        <v>21</v>
      </c>
      <c r="J227" s="2" t="s">
        <v>188</v>
      </c>
      <c r="K227" s="2" t="s">
        <v>189</v>
      </c>
      <c r="L227" s="2" t="s">
        <v>1168</v>
      </c>
      <c r="M227" s="7" t="s">
        <v>1169</v>
      </c>
      <c r="N227" s="7" t="s">
        <v>1170</v>
      </c>
      <c r="O227" s="2"/>
      <c r="P227" s="2"/>
      <c r="Q227" s="2" t="str">
        <f>IF(SUMPRODUCT(--ISNUMBER(SEARCH('National Domains'!$A$2:$A$48,L227)))&gt;0,"Yes","No")</f>
        <v>No</v>
      </c>
      <c r="R227" s="2" t="str">
        <f>IF(COUNTIFS(Calibration!$A:$A,A227,Calibration!$B:$B,B227)&gt;0,"Yes","No")</f>
        <v>No</v>
      </c>
      <c r="S227" s="6"/>
    </row>
    <row r="228" spans="1:19" ht="23.25" customHeight="1" x14ac:dyDescent="0.2">
      <c r="A228" s="2">
        <v>90</v>
      </c>
      <c r="B228" s="2">
        <v>2</v>
      </c>
      <c r="C228" s="2" t="s">
        <v>187</v>
      </c>
      <c r="D228" s="2" t="s">
        <v>39</v>
      </c>
      <c r="E228" s="2">
        <v>20110901</v>
      </c>
      <c r="F228" s="2">
        <v>20110905</v>
      </c>
      <c r="G228" s="2">
        <v>3492.4</v>
      </c>
      <c r="H228" s="2">
        <v>2512.5</v>
      </c>
      <c r="I228" s="2">
        <v>21</v>
      </c>
      <c r="J228" s="2" t="s">
        <v>188</v>
      </c>
      <c r="K228" s="2" t="s">
        <v>189</v>
      </c>
      <c r="L228" s="2" t="s">
        <v>1171</v>
      </c>
      <c r="M228" s="7" t="s">
        <v>1172</v>
      </c>
      <c r="N228" s="7" t="s">
        <v>1173</v>
      </c>
      <c r="O228" s="2"/>
      <c r="P228" s="2"/>
      <c r="Q228" s="2" t="str">
        <f>IF(SUMPRODUCT(--ISNUMBER(SEARCH('National Domains'!$A$2:$A$48,L228)))&gt;0,"Yes","No")</f>
        <v>No</v>
      </c>
      <c r="R228" s="2" t="str">
        <f>IF(COUNTIFS(Calibration!$A:$A,A228,Calibration!$B:$B,B228)&gt;0,"Yes","No")</f>
        <v>No</v>
      </c>
      <c r="S228" s="6"/>
    </row>
    <row r="229" spans="1:19" ht="34.5" customHeight="1" x14ac:dyDescent="0.2">
      <c r="A229" s="2">
        <v>90</v>
      </c>
      <c r="B229" s="2">
        <v>3</v>
      </c>
      <c r="C229" s="2" t="s">
        <v>187</v>
      </c>
      <c r="D229" s="2" t="s">
        <v>39</v>
      </c>
      <c r="E229" s="2">
        <v>20110901</v>
      </c>
      <c r="F229" s="2">
        <v>20110905</v>
      </c>
      <c r="G229" s="2">
        <v>3492.4</v>
      </c>
      <c r="H229" s="2">
        <v>2512.5</v>
      </c>
      <c r="I229" s="2">
        <v>21</v>
      </c>
      <c r="J229" s="2" t="s">
        <v>188</v>
      </c>
      <c r="K229" s="2" t="s">
        <v>189</v>
      </c>
      <c r="L229" s="2" t="s">
        <v>1159</v>
      </c>
      <c r="M229" s="7" t="s">
        <v>1160</v>
      </c>
      <c r="N229" s="7" t="s">
        <v>1174</v>
      </c>
      <c r="O229" s="2"/>
      <c r="P229" s="2"/>
      <c r="Q229" s="2" t="str">
        <f>IF(SUMPRODUCT(--ISNUMBER(SEARCH('National Domains'!$A$2:$A$48,L229)))&gt;0,"Yes","No")</f>
        <v>No</v>
      </c>
      <c r="R229" s="2" t="str">
        <f>IF(COUNTIFS(Calibration!$A:$A,A229,Calibration!$B:$B,B229)&gt;0,"Yes","No")</f>
        <v>No</v>
      </c>
      <c r="S229" s="6"/>
    </row>
    <row r="230" spans="1:19" ht="34.5" customHeight="1" x14ac:dyDescent="0.2">
      <c r="A230" s="2">
        <v>90</v>
      </c>
      <c r="B230" s="2">
        <v>4</v>
      </c>
      <c r="C230" s="2" t="s">
        <v>187</v>
      </c>
      <c r="D230" s="2" t="s">
        <v>39</v>
      </c>
      <c r="E230" s="2">
        <v>20110901</v>
      </c>
      <c r="F230" s="2">
        <v>20110905</v>
      </c>
      <c r="G230" s="2">
        <v>3492.4</v>
      </c>
      <c r="H230" s="2">
        <v>2512.5</v>
      </c>
      <c r="I230" s="2">
        <v>21</v>
      </c>
      <c r="J230" s="2" t="s">
        <v>188</v>
      </c>
      <c r="K230" s="2" t="s">
        <v>189</v>
      </c>
      <c r="L230" s="2" t="s">
        <v>1175</v>
      </c>
      <c r="M230" s="7" t="s">
        <v>1176</v>
      </c>
      <c r="N230" s="7" t="s">
        <v>1177</v>
      </c>
      <c r="O230" s="2"/>
      <c r="P230" s="2"/>
      <c r="Q230" s="2" t="str">
        <f>IF(SUMPRODUCT(--ISNUMBER(SEARCH('National Domains'!$A$2:$A$48,L230)))&gt;0,"Yes","No")</f>
        <v>No</v>
      </c>
      <c r="R230" s="2" t="str">
        <f>IF(COUNTIFS(Calibration!$A:$A,A230,Calibration!$B:$B,B230)&gt;0,"Yes","No")</f>
        <v>No</v>
      </c>
      <c r="S230" s="6"/>
    </row>
    <row r="231" spans="1:19" ht="34.5" customHeight="1" x14ac:dyDescent="0.2">
      <c r="A231" s="2">
        <v>90</v>
      </c>
      <c r="B231" s="2">
        <v>5</v>
      </c>
      <c r="C231" s="2" t="s">
        <v>187</v>
      </c>
      <c r="D231" s="2" t="s">
        <v>39</v>
      </c>
      <c r="E231" s="2">
        <v>20110901</v>
      </c>
      <c r="F231" s="2">
        <v>20110905</v>
      </c>
      <c r="G231" s="2">
        <v>3492.4</v>
      </c>
      <c r="H231" s="2">
        <v>2512.5</v>
      </c>
      <c r="I231" s="2">
        <v>21</v>
      </c>
      <c r="J231" s="2" t="s">
        <v>188</v>
      </c>
      <c r="K231" s="2" t="s">
        <v>189</v>
      </c>
      <c r="L231" s="2" t="s">
        <v>1178</v>
      </c>
      <c r="M231" s="7" t="s">
        <v>1179</v>
      </c>
      <c r="N231" s="7" t="s">
        <v>1180</v>
      </c>
      <c r="O231" s="2"/>
      <c r="P231" s="2"/>
      <c r="Q231" s="2" t="str">
        <f>IF(SUMPRODUCT(--ISNUMBER(SEARCH('National Domains'!$A$2:$A$48,L231)))&gt;0,"Yes","No")</f>
        <v>No</v>
      </c>
      <c r="R231" s="2" t="str">
        <f>IF(COUNTIFS(Calibration!$A:$A,A231,Calibration!$B:$B,B231)&gt;0,"Yes","No")</f>
        <v>No</v>
      </c>
      <c r="S231" s="6"/>
    </row>
    <row r="232" spans="1:19" ht="34.5" customHeight="1" x14ac:dyDescent="0.2">
      <c r="A232" s="2">
        <v>90</v>
      </c>
      <c r="B232" s="2">
        <v>6</v>
      </c>
      <c r="C232" s="2" t="s">
        <v>187</v>
      </c>
      <c r="D232" s="2" t="s">
        <v>39</v>
      </c>
      <c r="E232" s="2">
        <v>20110901</v>
      </c>
      <c r="F232" s="2">
        <v>20110905</v>
      </c>
      <c r="G232" s="2">
        <v>3492.4</v>
      </c>
      <c r="H232" s="2">
        <v>2512.5</v>
      </c>
      <c r="I232" s="2">
        <v>21</v>
      </c>
      <c r="J232" s="2" t="s">
        <v>188</v>
      </c>
      <c r="K232" s="2" t="s">
        <v>189</v>
      </c>
      <c r="L232" s="2" t="s">
        <v>1181</v>
      </c>
      <c r="M232" s="7" t="s">
        <v>1182</v>
      </c>
      <c r="N232" s="7" t="s">
        <v>1183</v>
      </c>
      <c r="O232" s="2"/>
      <c r="P232" s="2"/>
      <c r="Q232" s="2" t="str">
        <f>IF(SUMPRODUCT(--ISNUMBER(SEARCH('National Domains'!$A$2:$A$48,L232)))&gt;0,"Yes","No")</f>
        <v>No</v>
      </c>
      <c r="R232" s="2" t="str">
        <f>IF(COUNTIFS(Calibration!$A:$A,A232,Calibration!$B:$B,B232)&gt;0,"Yes","No")</f>
        <v>No</v>
      </c>
      <c r="S232" s="6"/>
    </row>
    <row r="233" spans="1:19" ht="34.5" customHeight="1" x14ac:dyDescent="0.2">
      <c r="A233" s="2">
        <v>90</v>
      </c>
      <c r="B233" s="2">
        <v>7</v>
      </c>
      <c r="C233" s="2" t="s">
        <v>187</v>
      </c>
      <c r="D233" s="2" t="s">
        <v>39</v>
      </c>
      <c r="E233" s="2">
        <v>20110901</v>
      </c>
      <c r="F233" s="2">
        <v>20110905</v>
      </c>
      <c r="G233" s="2">
        <v>3492.4</v>
      </c>
      <c r="H233" s="2">
        <v>2512.5</v>
      </c>
      <c r="I233" s="2">
        <v>21</v>
      </c>
      <c r="J233" s="2" t="s">
        <v>188</v>
      </c>
      <c r="K233" s="2" t="s">
        <v>189</v>
      </c>
      <c r="L233" s="2" t="s">
        <v>1184</v>
      </c>
      <c r="M233" s="7" t="s">
        <v>1185</v>
      </c>
      <c r="N233" s="7" t="s">
        <v>1186</v>
      </c>
      <c r="O233" s="2"/>
      <c r="P233" s="2"/>
      <c r="Q233" s="2" t="str">
        <f>IF(SUMPRODUCT(--ISNUMBER(SEARCH('National Domains'!$A$2:$A$48,L233)))&gt;0,"Yes","No")</f>
        <v>No</v>
      </c>
      <c r="R233" s="2" t="str">
        <f>IF(COUNTIFS(Calibration!$A:$A,A233,Calibration!$B:$B,B233)&gt;0,"Yes","No")</f>
        <v>No</v>
      </c>
      <c r="S233" s="6"/>
    </row>
    <row r="234" spans="1:19" ht="34.5" customHeight="1" x14ac:dyDescent="0.2">
      <c r="A234" s="2">
        <v>90</v>
      </c>
      <c r="B234" s="2">
        <v>8</v>
      </c>
      <c r="C234" s="2" t="s">
        <v>187</v>
      </c>
      <c r="D234" s="2" t="s">
        <v>39</v>
      </c>
      <c r="E234" s="2">
        <v>20110901</v>
      </c>
      <c r="F234" s="2">
        <v>20110905</v>
      </c>
      <c r="G234" s="2">
        <v>3492.4</v>
      </c>
      <c r="H234" s="2">
        <v>2512.5</v>
      </c>
      <c r="I234" s="2">
        <v>21</v>
      </c>
      <c r="J234" s="2" t="s">
        <v>188</v>
      </c>
      <c r="K234" s="2" t="s">
        <v>189</v>
      </c>
      <c r="L234" s="2" t="s">
        <v>1187</v>
      </c>
      <c r="M234" s="7" t="s">
        <v>1188</v>
      </c>
      <c r="N234" s="7" t="s">
        <v>1189</v>
      </c>
      <c r="O234" s="2"/>
      <c r="P234" s="2"/>
      <c r="Q234" s="2" t="str">
        <f>IF(SUMPRODUCT(--ISNUMBER(SEARCH('National Domains'!$A$2:$A$48,L234)))&gt;0,"Yes","No")</f>
        <v>No</v>
      </c>
      <c r="R234" s="2" t="str">
        <f>IF(COUNTIFS(Calibration!$A:$A,A234,Calibration!$B:$B,B234)&gt;0,"Yes","No")</f>
        <v>No</v>
      </c>
      <c r="S234" s="6"/>
    </row>
    <row r="235" spans="1:19" ht="34.5" customHeight="1" x14ac:dyDescent="0.2">
      <c r="A235" s="2">
        <v>90</v>
      </c>
      <c r="B235" s="2">
        <v>9</v>
      </c>
      <c r="C235" s="2" t="s">
        <v>187</v>
      </c>
      <c r="D235" s="2" t="s">
        <v>39</v>
      </c>
      <c r="E235" s="2">
        <v>20110901</v>
      </c>
      <c r="F235" s="2">
        <v>20110905</v>
      </c>
      <c r="G235" s="2">
        <v>3492.4</v>
      </c>
      <c r="H235" s="2">
        <v>2512.5</v>
      </c>
      <c r="I235" s="2">
        <v>21</v>
      </c>
      <c r="J235" s="2" t="s">
        <v>188</v>
      </c>
      <c r="K235" s="2" t="s">
        <v>189</v>
      </c>
      <c r="L235" s="2" t="s">
        <v>1190</v>
      </c>
      <c r="M235" s="7" t="s">
        <v>1191</v>
      </c>
      <c r="N235" s="7" t="s">
        <v>1192</v>
      </c>
      <c r="O235" s="2"/>
      <c r="P235" s="2"/>
      <c r="Q235" s="2" t="str">
        <f>IF(SUMPRODUCT(--ISNUMBER(SEARCH('National Domains'!$A$2:$A$48,L235)))&gt;0,"Yes","No")</f>
        <v>No</v>
      </c>
      <c r="R235" s="2" t="str">
        <f>IF(COUNTIFS(Calibration!$A:$A,A235,Calibration!$B:$B,B235)&gt;0,"Yes","No")</f>
        <v>No</v>
      </c>
      <c r="S235" s="6"/>
    </row>
    <row r="236" spans="1:19" ht="34.5" customHeight="1" x14ac:dyDescent="0.2">
      <c r="A236" s="2">
        <v>90</v>
      </c>
      <c r="B236" s="2">
        <v>10</v>
      </c>
      <c r="C236" s="2" t="s">
        <v>187</v>
      </c>
      <c r="D236" s="2" t="s">
        <v>39</v>
      </c>
      <c r="E236" s="2">
        <v>20110901</v>
      </c>
      <c r="F236" s="2">
        <v>20110905</v>
      </c>
      <c r="G236" s="2">
        <v>3492.4</v>
      </c>
      <c r="H236" s="2">
        <v>2512.5</v>
      </c>
      <c r="I236" s="2">
        <v>21</v>
      </c>
      <c r="J236" s="2" t="s">
        <v>188</v>
      </c>
      <c r="K236" s="2" t="s">
        <v>189</v>
      </c>
      <c r="L236" s="2" t="s">
        <v>1193</v>
      </c>
      <c r="M236" s="7" t="s">
        <v>1194</v>
      </c>
      <c r="N236" s="7" t="s">
        <v>1195</v>
      </c>
      <c r="O236" s="2"/>
      <c r="P236" s="2"/>
      <c r="Q236" s="2" t="str">
        <f>IF(SUMPRODUCT(--ISNUMBER(SEARCH('National Domains'!$A$2:$A$48,L236)))&gt;0,"Yes","No")</f>
        <v>No</v>
      </c>
      <c r="R236" s="2" t="str">
        <f>IF(COUNTIFS(Calibration!$A:$A,A236,Calibration!$B:$B,B236)&gt;0,"Yes","No")</f>
        <v>No</v>
      </c>
      <c r="S236" s="6"/>
    </row>
    <row r="237" spans="1:19" ht="34.5" customHeight="1" x14ac:dyDescent="0.2">
      <c r="A237" s="2">
        <v>90</v>
      </c>
      <c r="B237" s="2">
        <v>11</v>
      </c>
      <c r="C237" s="2" t="s">
        <v>187</v>
      </c>
      <c r="D237" s="2" t="s">
        <v>39</v>
      </c>
      <c r="E237" s="2">
        <v>20110901</v>
      </c>
      <c r="F237" s="2">
        <v>20110905</v>
      </c>
      <c r="G237" s="2">
        <v>3492.4</v>
      </c>
      <c r="H237" s="2">
        <v>2512.5</v>
      </c>
      <c r="I237" s="2">
        <v>21</v>
      </c>
      <c r="J237" s="2" t="s">
        <v>188</v>
      </c>
      <c r="K237" s="2" t="s">
        <v>189</v>
      </c>
      <c r="L237" s="2" t="s">
        <v>1196</v>
      </c>
      <c r="M237" s="7" t="s">
        <v>1197</v>
      </c>
      <c r="N237" s="7" t="s">
        <v>1198</v>
      </c>
      <c r="O237" s="2"/>
      <c r="P237" s="2"/>
      <c r="Q237" s="2" t="str">
        <f>IF(SUMPRODUCT(--ISNUMBER(SEARCH('National Domains'!$A$2:$A$48,L237)))&gt;0,"Yes","No")</f>
        <v>No</v>
      </c>
      <c r="R237" s="2" t="str">
        <f>IF(COUNTIFS(Calibration!$A:$A,A237,Calibration!$B:$B,B237)&gt;0,"Yes","No")</f>
        <v>No</v>
      </c>
      <c r="S237" s="6"/>
    </row>
    <row r="238" spans="1:19" ht="34.5" customHeight="1" x14ac:dyDescent="0.2">
      <c r="A238" s="2">
        <v>90</v>
      </c>
      <c r="B238" s="2">
        <v>12</v>
      </c>
      <c r="C238" s="2" t="s">
        <v>187</v>
      </c>
      <c r="D238" s="2" t="s">
        <v>39</v>
      </c>
      <c r="E238" s="2">
        <v>20110901</v>
      </c>
      <c r="F238" s="2">
        <v>20110905</v>
      </c>
      <c r="G238" s="2">
        <v>3492.4</v>
      </c>
      <c r="H238" s="2">
        <v>2512.5</v>
      </c>
      <c r="I238" s="2">
        <v>21</v>
      </c>
      <c r="J238" s="2" t="s">
        <v>188</v>
      </c>
      <c r="K238" s="2" t="s">
        <v>189</v>
      </c>
      <c r="L238" s="2" t="s">
        <v>1199</v>
      </c>
      <c r="M238" s="7" t="s">
        <v>1200</v>
      </c>
      <c r="N238" s="7" t="s">
        <v>1201</v>
      </c>
      <c r="O238" s="2"/>
      <c r="P238" s="2"/>
      <c r="Q238" s="2" t="str">
        <f>IF(SUMPRODUCT(--ISNUMBER(SEARCH('National Domains'!$A$2:$A$48,L238)))&gt;0,"Yes","No")</f>
        <v>Yes</v>
      </c>
      <c r="R238" s="2" t="str">
        <f>IF(COUNTIFS(Calibration!$A:$A,A238,Calibration!$B:$B,B238)&gt;0,"Yes","No")</f>
        <v>No</v>
      </c>
      <c r="S238" s="6"/>
    </row>
    <row r="239" spans="1:19" ht="34.5" customHeight="1" x14ac:dyDescent="0.2">
      <c r="A239" s="2">
        <v>90</v>
      </c>
      <c r="B239" s="2">
        <v>13</v>
      </c>
      <c r="C239" s="2" t="s">
        <v>187</v>
      </c>
      <c r="D239" s="2" t="s">
        <v>39</v>
      </c>
      <c r="E239" s="2">
        <v>20110901</v>
      </c>
      <c r="F239" s="2">
        <v>20110905</v>
      </c>
      <c r="G239" s="2">
        <v>3492.4</v>
      </c>
      <c r="H239" s="2">
        <v>2512.5</v>
      </c>
      <c r="I239" s="2">
        <v>21</v>
      </c>
      <c r="J239" s="2" t="s">
        <v>188</v>
      </c>
      <c r="K239" s="2" t="s">
        <v>189</v>
      </c>
      <c r="L239" s="2" t="s">
        <v>1202</v>
      </c>
      <c r="M239" s="7" t="s">
        <v>1203</v>
      </c>
      <c r="N239" s="7" t="s">
        <v>1204</v>
      </c>
      <c r="O239" s="2"/>
      <c r="P239" s="2"/>
      <c r="Q239" s="2" t="str">
        <f>IF(SUMPRODUCT(--ISNUMBER(SEARCH('National Domains'!$A$2:$A$48,L239)))&gt;0,"Yes","No")</f>
        <v>Yes</v>
      </c>
      <c r="R239" s="2" t="str">
        <f>IF(COUNTIFS(Calibration!$A:$A,A239,Calibration!$B:$B,B239)&gt;0,"Yes","No")</f>
        <v>No</v>
      </c>
      <c r="S239" s="6"/>
    </row>
    <row r="240" spans="1:19" ht="34.5" customHeight="1" x14ac:dyDescent="0.2">
      <c r="A240" s="2">
        <v>90</v>
      </c>
      <c r="B240" s="2">
        <v>14</v>
      </c>
      <c r="C240" s="2" t="s">
        <v>187</v>
      </c>
      <c r="D240" s="2" t="s">
        <v>39</v>
      </c>
      <c r="E240" s="2">
        <v>20110901</v>
      </c>
      <c r="F240" s="2">
        <v>20110905</v>
      </c>
      <c r="G240" s="2">
        <v>3492.4</v>
      </c>
      <c r="H240" s="2">
        <v>2512.5</v>
      </c>
      <c r="I240" s="2">
        <v>21</v>
      </c>
      <c r="J240" s="2" t="s">
        <v>188</v>
      </c>
      <c r="K240" s="2" t="s">
        <v>189</v>
      </c>
      <c r="L240" s="2" t="s">
        <v>1205</v>
      </c>
      <c r="M240" s="7" t="s">
        <v>1206</v>
      </c>
      <c r="N240" s="7" t="s">
        <v>1207</v>
      </c>
      <c r="O240" s="2"/>
      <c r="P240" s="2"/>
      <c r="Q240" s="2" t="str">
        <f>IF(SUMPRODUCT(--ISNUMBER(SEARCH('National Domains'!$A$2:$A$48,L240)))&gt;0,"Yes","No")</f>
        <v>Yes</v>
      </c>
      <c r="R240" s="2" t="str">
        <f>IF(COUNTIFS(Calibration!$A:$A,A240,Calibration!$B:$B,B240)&gt;0,"Yes","No")</f>
        <v>No</v>
      </c>
      <c r="S240" s="6"/>
    </row>
    <row r="241" spans="1:19" ht="34.5" customHeight="1" x14ac:dyDescent="0.2">
      <c r="A241" s="2">
        <v>90</v>
      </c>
      <c r="B241" s="2">
        <v>15</v>
      </c>
      <c r="C241" s="2" t="s">
        <v>187</v>
      </c>
      <c r="D241" s="2" t="s">
        <v>39</v>
      </c>
      <c r="E241" s="2">
        <v>20110901</v>
      </c>
      <c r="F241" s="2">
        <v>20110905</v>
      </c>
      <c r="G241" s="2">
        <v>3492.4</v>
      </c>
      <c r="H241" s="2">
        <v>2512.5</v>
      </c>
      <c r="I241" s="2">
        <v>21</v>
      </c>
      <c r="J241" s="2" t="s">
        <v>188</v>
      </c>
      <c r="K241" s="2" t="s">
        <v>189</v>
      </c>
      <c r="L241" s="2" t="s">
        <v>1208</v>
      </c>
      <c r="M241" s="7" t="s">
        <v>1209</v>
      </c>
      <c r="N241" s="7" t="s">
        <v>1210</v>
      </c>
      <c r="O241" s="2"/>
      <c r="P241" s="2"/>
      <c r="Q241" s="2" t="str">
        <f>IF(SUMPRODUCT(--ISNUMBER(SEARCH('National Domains'!$A$2:$A$48,L241)))&gt;0,"Yes","No")</f>
        <v>Yes</v>
      </c>
      <c r="R241" s="2" t="str">
        <f>IF(COUNTIFS(Calibration!$A:$A,A241,Calibration!$B:$B,B241)&gt;0,"Yes","No")</f>
        <v>No</v>
      </c>
      <c r="S241" s="6"/>
    </row>
    <row r="242" spans="1:19" ht="34.5" customHeight="1" x14ac:dyDescent="0.2">
      <c r="A242" s="2">
        <v>91</v>
      </c>
      <c r="B242" s="2">
        <v>1</v>
      </c>
      <c r="C242" s="2" t="s">
        <v>190</v>
      </c>
      <c r="D242" s="2" t="s">
        <v>13</v>
      </c>
      <c r="E242" s="2">
        <v>20111029</v>
      </c>
      <c r="F242" s="2">
        <v>20111030</v>
      </c>
      <c r="G242" s="2">
        <v>1285.8</v>
      </c>
      <c r="H242" s="2">
        <v>925</v>
      </c>
      <c r="I242" s="2">
        <v>1</v>
      </c>
      <c r="J242" s="2" t="s">
        <v>95</v>
      </c>
      <c r="K242" s="2" t="s">
        <v>96</v>
      </c>
      <c r="L242" s="2" t="s">
        <v>1211</v>
      </c>
      <c r="M242" s="7" t="s">
        <v>1212</v>
      </c>
      <c r="N242" s="7" t="s">
        <v>1213</v>
      </c>
      <c r="O242" s="2"/>
      <c r="P242" s="2"/>
      <c r="Q242" s="2" t="str">
        <f>IF(SUMPRODUCT(--ISNUMBER(SEARCH('National Domains'!$A$2:$A$48,L242)))&gt;0,"Yes","No")</f>
        <v>Yes</v>
      </c>
      <c r="R242" s="2" t="str">
        <f>IF(COUNTIFS(Calibration!$A:$A,A242,Calibration!$B:$B,B242)&gt;0,"Yes","No")</f>
        <v>No</v>
      </c>
      <c r="S242" s="6"/>
    </row>
    <row r="243" spans="1:19" ht="34.5" customHeight="1" x14ac:dyDescent="0.2">
      <c r="A243" s="2">
        <v>92</v>
      </c>
      <c r="B243" s="2">
        <v>1</v>
      </c>
      <c r="C243" s="2" t="s">
        <v>191</v>
      </c>
      <c r="D243" s="2" t="s">
        <v>21</v>
      </c>
      <c r="E243" s="2">
        <v>20110601</v>
      </c>
      <c r="F243" s="2">
        <v>20111130</v>
      </c>
      <c r="G243" s="2">
        <v>2549.1</v>
      </c>
      <c r="H243" s="2">
        <v>1820.8</v>
      </c>
      <c r="I243" s="2">
        <v>5</v>
      </c>
      <c r="J243" s="2" t="s">
        <v>192</v>
      </c>
      <c r="K243" s="2" t="s">
        <v>193</v>
      </c>
      <c r="L243" s="2" t="s">
        <v>1214</v>
      </c>
      <c r="M243" s="7" t="s">
        <v>1215</v>
      </c>
      <c r="N243" s="7" t="s">
        <v>1216</v>
      </c>
      <c r="O243" s="2"/>
      <c r="P243" s="2"/>
      <c r="Q243" s="2" t="str">
        <f>IF(SUMPRODUCT(--ISNUMBER(SEARCH('National Domains'!$A$2:$A$48,L243)))&gt;0,"Yes","No")</f>
        <v>No</v>
      </c>
      <c r="R243" s="2" t="str">
        <f>IF(COUNTIFS(Calibration!$A:$A,A243,Calibration!$B:$B,B243)&gt;0,"Yes","No")</f>
        <v>No</v>
      </c>
      <c r="S243" s="6"/>
    </row>
    <row r="244" spans="1:19" ht="34.5" customHeight="1" x14ac:dyDescent="0.2">
      <c r="A244" s="2">
        <v>92</v>
      </c>
      <c r="B244" s="2">
        <v>2</v>
      </c>
      <c r="C244" s="2" t="s">
        <v>191</v>
      </c>
      <c r="D244" s="2" t="s">
        <v>21</v>
      </c>
      <c r="E244" s="2">
        <v>20110601</v>
      </c>
      <c r="F244" s="2">
        <v>20111130</v>
      </c>
      <c r="G244" s="2">
        <v>2549.1</v>
      </c>
      <c r="H244" s="2">
        <v>1820.8</v>
      </c>
      <c r="I244" s="2">
        <v>5</v>
      </c>
      <c r="J244" s="2" t="s">
        <v>192</v>
      </c>
      <c r="K244" s="2" t="s">
        <v>193</v>
      </c>
      <c r="L244" s="2" t="s">
        <v>1217</v>
      </c>
      <c r="M244" s="7" t="s">
        <v>1218</v>
      </c>
      <c r="N244" s="7" t="s">
        <v>1219</v>
      </c>
      <c r="O244" s="2"/>
      <c r="P244" s="2"/>
      <c r="Q244" s="2" t="str">
        <f>IF(SUMPRODUCT(--ISNUMBER(SEARCH('National Domains'!$A$2:$A$48,L244)))&gt;0,"Yes","No")</f>
        <v>Yes</v>
      </c>
      <c r="R244" s="2" t="str">
        <f>IF(COUNTIFS(Calibration!$A:$A,A244,Calibration!$B:$B,B244)&gt;0,"Yes","No")</f>
        <v>No</v>
      </c>
      <c r="S244" s="6"/>
    </row>
    <row r="245" spans="1:19" ht="34.5" customHeight="1" x14ac:dyDescent="0.2">
      <c r="A245" s="2">
        <v>94</v>
      </c>
      <c r="B245" s="2">
        <v>1</v>
      </c>
      <c r="C245" s="2" t="s">
        <v>195</v>
      </c>
      <c r="D245" s="2" t="s">
        <v>17</v>
      </c>
      <c r="E245" s="2">
        <v>20120402</v>
      </c>
      <c r="F245" s="2">
        <v>20120403</v>
      </c>
      <c r="G245" s="2">
        <v>1390.9</v>
      </c>
      <c r="H245" s="2">
        <v>1015.3</v>
      </c>
      <c r="I245" s="2">
        <v>0</v>
      </c>
      <c r="J245" s="2" t="s">
        <v>125</v>
      </c>
      <c r="K245" s="2" t="s">
        <v>41</v>
      </c>
      <c r="L245" s="2" t="s">
        <v>1220</v>
      </c>
      <c r="M245" s="7" t="s">
        <v>1221</v>
      </c>
      <c r="N245" s="7" t="s">
        <v>1222</v>
      </c>
      <c r="O245" s="2"/>
      <c r="P245" s="2"/>
      <c r="Q245" s="2" t="str">
        <f>IF(SUMPRODUCT(--ISNUMBER(SEARCH('National Domains'!$A$2:$A$48,L245)))&gt;0,"Yes","No")</f>
        <v>No</v>
      </c>
      <c r="R245" s="2" t="str">
        <f>IF(COUNTIFS(Calibration!$A:$A,A245,Calibration!$B:$B,B245)&gt;0,"Yes","No")</f>
        <v>No</v>
      </c>
      <c r="S245" s="6"/>
    </row>
    <row r="246" spans="1:19" ht="34.5" customHeight="1" x14ac:dyDescent="0.2">
      <c r="A246" s="2">
        <v>94</v>
      </c>
      <c r="B246" s="2">
        <v>2</v>
      </c>
      <c r="C246" s="2" t="s">
        <v>195</v>
      </c>
      <c r="D246" s="2" t="s">
        <v>17</v>
      </c>
      <c r="E246" s="2">
        <v>20120402</v>
      </c>
      <c r="F246" s="2">
        <v>20120403</v>
      </c>
      <c r="G246" s="2">
        <v>1390.9</v>
      </c>
      <c r="H246" s="2">
        <v>1015.3</v>
      </c>
      <c r="I246" s="2">
        <v>0</v>
      </c>
      <c r="J246" s="2" t="s">
        <v>125</v>
      </c>
      <c r="K246" s="2" t="s">
        <v>41</v>
      </c>
      <c r="L246" s="2" t="s">
        <v>1223</v>
      </c>
      <c r="M246" s="7" t="s">
        <v>1224</v>
      </c>
      <c r="N246" s="7" t="s">
        <v>1225</v>
      </c>
      <c r="O246" s="2"/>
      <c r="P246" s="2"/>
      <c r="Q246" s="2" t="str">
        <f>IF(SUMPRODUCT(--ISNUMBER(SEARCH('National Domains'!$A$2:$A$48,L246)))&gt;0,"Yes","No")</f>
        <v>Yes</v>
      </c>
      <c r="R246" s="2" t="str">
        <f>IF(COUNTIFS(Calibration!$A:$A,A246,Calibration!$B:$B,B246)&gt;0,"Yes","No")</f>
        <v>No</v>
      </c>
      <c r="S246" s="6"/>
    </row>
    <row r="247" spans="1:19" ht="34.5" customHeight="1" x14ac:dyDescent="0.2">
      <c r="A247" s="2">
        <v>94</v>
      </c>
      <c r="B247" s="2">
        <v>3</v>
      </c>
      <c r="C247" s="2" t="s">
        <v>195</v>
      </c>
      <c r="D247" s="2" t="s">
        <v>17</v>
      </c>
      <c r="E247" s="2">
        <v>20120402</v>
      </c>
      <c r="F247" s="2">
        <v>20120403</v>
      </c>
      <c r="G247" s="2">
        <v>1390.9</v>
      </c>
      <c r="H247" s="2">
        <v>1015.3</v>
      </c>
      <c r="I247" s="2">
        <v>0</v>
      </c>
      <c r="J247" s="2" t="s">
        <v>125</v>
      </c>
      <c r="K247" s="2" t="s">
        <v>41</v>
      </c>
      <c r="L247" s="2" t="s">
        <v>1226</v>
      </c>
      <c r="M247" s="7" t="s">
        <v>1227</v>
      </c>
      <c r="N247" s="7" t="s">
        <v>1228</v>
      </c>
      <c r="O247" s="2"/>
      <c r="P247" s="2"/>
      <c r="Q247" s="2" t="str">
        <f>IF(SUMPRODUCT(--ISNUMBER(SEARCH('National Domains'!$A$2:$A$48,L247)))&gt;0,"Yes","No")</f>
        <v>Yes</v>
      </c>
      <c r="R247" s="2" t="str">
        <f>IF(COUNTIFS(Calibration!$A:$A,A247,Calibration!$B:$B,B247)&gt;0,"Yes","No")</f>
        <v>No</v>
      </c>
      <c r="S247" s="6"/>
    </row>
    <row r="248" spans="1:19" ht="34.5" customHeight="1" x14ac:dyDescent="0.2">
      <c r="A248" s="2">
        <v>94</v>
      </c>
      <c r="B248" s="2">
        <v>4</v>
      </c>
      <c r="C248" s="2" t="s">
        <v>195</v>
      </c>
      <c r="D248" s="2" t="s">
        <v>17</v>
      </c>
      <c r="E248" s="2">
        <v>20120402</v>
      </c>
      <c r="F248" s="2">
        <v>20120403</v>
      </c>
      <c r="G248" s="2">
        <v>1390.9</v>
      </c>
      <c r="H248" s="2">
        <v>1015.3</v>
      </c>
      <c r="I248" s="2">
        <v>0</v>
      </c>
      <c r="J248" s="2" t="s">
        <v>125</v>
      </c>
      <c r="K248" s="2" t="s">
        <v>41</v>
      </c>
      <c r="L248" s="2" t="s">
        <v>1229</v>
      </c>
      <c r="M248" s="7" t="s">
        <v>1230</v>
      </c>
      <c r="N248" s="7" t="s">
        <v>1231</v>
      </c>
      <c r="O248" s="2"/>
      <c r="P248" s="2"/>
      <c r="Q248" s="2" t="str">
        <f>IF(SUMPRODUCT(--ISNUMBER(SEARCH('National Domains'!$A$2:$A$48,L248)))&gt;0,"Yes","No")</f>
        <v>Yes</v>
      </c>
      <c r="R248" s="2" t="str">
        <f>IF(COUNTIFS(Calibration!$A:$A,A248,Calibration!$B:$B,B248)&gt;0,"Yes","No")</f>
        <v>No</v>
      </c>
      <c r="S248" s="6"/>
    </row>
    <row r="249" spans="1:19" ht="34.5" customHeight="1" x14ac:dyDescent="0.2">
      <c r="A249" s="2">
        <v>94</v>
      </c>
      <c r="B249" s="2">
        <v>5</v>
      </c>
      <c r="C249" s="2" t="s">
        <v>195</v>
      </c>
      <c r="D249" s="2" t="s">
        <v>17</v>
      </c>
      <c r="E249" s="2">
        <v>20120402</v>
      </c>
      <c r="F249" s="2">
        <v>20120403</v>
      </c>
      <c r="G249" s="2">
        <v>1390.9</v>
      </c>
      <c r="H249" s="2">
        <v>1015.3</v>
      </c>
      <c r="I249" s="2">
        <v>0</v>
      </c>
      <c r="J249" s="2" t="s">
        <v>125</v>
      </c>
      <c r="K249" s="2" t="s">
        <v>41</v>
      </c>
      <c r="L249" s="2" t="s">
        <v>1232</v>
      </c>
      <c r="M249" s="7" t="s">
        <v>1233</v>
      </c>
      <c r="N249" s="7" t="s">
        <v>1234</v>
      </c>
      <c r="O249" s="2"/>
      <c r="P249" s="2"/>
      <c r="Q249" s="2" t="str">
        <f>IF(SUMPRODUCT(--ISNUMBER(SEARCH('National Domains'!$A$2:$A$48,L249)))&gt;0,"Yes","No")</f>
        <v>Yes</v>
      </c>
      <c r="R249" s="2" t="str">
        <f>IF(COUNTIFS(Calibration!$A:$A,A249,Calibration!$B:$B,B249)&gt;0,"Yes","No")</f>
        <v>No</v>
      </c>
      <c r="S249" s="6"/>
    </row>
    <row r="250" spans="1:19" ht="34.5" customHeight="1" x14ac:dyDescent="0.2">
      <c r="A250" s="2">
        <v>94</v>
      </c>
      <c r="B250" s="2">
        <v>6</v>
      </c>
      <c r="C250" s="2" t="s">
        <v>195</v>
      </c>
      <c r="D250" s="2" t="s">
        <v>17</v>
      </c>
      <c r="E250" s="2">
        <v>20120402</v>
      </c>
      <c r="F250" s="2">
        <v>20120403</v>
      </c>
      <c r="G250" s="2">
        <v>1390.9</v>
      </c>
      <c r="H250" s="2">
        <v>1015.3</v>
      </c>
      <c r="I250" s="2">
        <v>0</v>
      </c>
      <c r="J250" s="2" t="s">
        <v>125</v>
      </c>
      <c r="K250" s="2" t="s">
        <v>41</v>
      </c>
      <c r="L250" s="2" t="s">
        <v>1235</v>
      </c>
      <c r="M250" s="7" t="s">
        <v>1236</v>
      </c>
      <c r="N250" s="7" t="s">
        <v>1237</v>
      </c>
      <c r="O250" s="2"/>
      <c r="P250" s="2"/>
      <c r="Q250" s="2" t="str">
        <f>IF(SUMPRODUCT(--ISNUMBER(SEARCH('National Domains'!$A$2:$A$48,L250)))&gt;0,"Yes","No")</f>
        <v>No</v>
      </c>
      <c r="R250" s="2" t="str">
        <f>IF(COUNTIFS(Calibration!$A:$A,A250,Calibration!$B:$B,B250)&gt;0,"Yes","No")</f>
        <v>No</v>
      </c>
      <c r="S250" s="6"/>
    </row>
    <row r="251" spans="1:19" ht="34.5" customHeight="1" x14ac:dyDescent="0.2">
      <c r="A251" s="2">
        <v>94</v>
      </c>
      <c r="B251" s="2">
        <v>7</v>
      </c>
      <c r="C251" s="2" t="s">
        <v>195</v>
      </c>
      <c r="D251" s="2" t="s">
        <v>17</v>
      </c>
      <c r="E251" s="2">
        <v>20120402</v>
      </c>
      <c r="F251" s="2">
        <v>20120403</v>
      </c>
      <c r="G251" s="2">
        <v>1390.9</v>
      </c>
      <c r="H251" s="2">
        <v>1015.3</v>
      </c>
      <c r="I251" s="2">
        <v>0</v>
      </c>
      <c r="J251" s="2" t="s">
        <v>125</v>
      </c>
      <c r="K251" s="2" t="s">
        <v>41</v>
      </c>
      <c r="L251" s="2" t="s">
        <v>1238</v>
      </c>
      <c r="M251" s="7" t="s">
        <v>1239</v>
      </c>
      <c r="N251" s="7" t="s">
        <v>1240</v>
      </c>
      <c r="O251" s="2"/>
      <c r="P251" s="2"/>
      <c r="Q251" s="2" t="str">
        <f>IF(SUMPRODUCT(--ISNUMBER(SEARCH('National Domains'!$A$2:$A$48,L251)))&gt;0,"Yes","No")</f>
        <v>Yes</v>
      </c>
      <c r="R251" s="2" t="str">
        <f>IF(COUNTIFS(Calibration!$A:$A,A251,Calibration!$B:$B,B251)&gt;0,"Yes","No")</f>
        <v>No</v>
      </c>
      <c r="S251" s="6"/>
    </row>
    <row r="252" spans="1:19" ht="34.5" customHeight="1" x14ac:dyDescent="0.2">
      <c r="A252" s="2">
        <v>95</v>
      </c>
      <c r="B252" s="2">
        <v>1</v>
      </c>
      <c r="C252" s="2" t="s">
        <v>196</v>
      </c>
      <c r="D252" s="2" t="s">
        <v>17</v>
      </c>
      <c r="E252" s="2">
        <v>20120413</v>
      </c>
      <c r="F252" s="2">
        <v>20120414</v>
      </c>
      <c r="G252" s="2">
        <v>1539.4</v>
      </c>
      <c r="H252" s="2">
        <v>1123.5999999999999</v>
      </c>
      <c r="I252" s="2">
        <v>6</v>
      </c>
      <c r="J252" s="2" t="s">
        <v>36</v>
      </c>
      <c r="K252" s="2" t="s">
        <v>37</v>
      </c>
      <c r="L252" s="2" t="s">
        <v>1241</v>
      </c>
      <c r="M252" s="7" t="s">
        <v>1242</v>
      </c>
      <c r="N252" s="7" t="s">
        <v>1243</v>
      </c>
      <c r="O252" s="2"/>
      <c r="P252" s="2"/>
      <c r="Q252" s="2" t="str">
        <f>IF(SUMPRODUCT(--ISNUMBER(SEARCH('National Domains'!$A$2:$A$48,L252)))&gt;0,"Yes","No")</f>
        <v>No</v>
      </c>
      <c r="R252" s="2" t="str">
        <f>IF(COUNTIFS(Calibration!$A:$A,A252,Calibration!$B:$B,B252)&gt;0,"Yes","No")</f>
        <v>No</v>
      </c>
      <c r="S252" s="6"/>
    </row>
    <row r="253" spans="1:19" ht="34.5" customHeight="1" x14ac:dyDescent="0.2">
      <c r="A253" s="2">
        <v>95</v>
      </c>
      <c r="B253" s="2">
        <v>2</v>
      </c>
      <c r="C253" s="2" t="s">
        <v>196</v>
      </c>
      <c r="D253" s="2" t="s">
        <v>17</v>
      </c>
      <c r="E253" s="2">
        <v>20120413</v>
      </c>
      <c r="F253" s="2">
        <v>20120414</v>
      </c>
      <c r="G253" s="2">
        <v>1539.4</v>
      </c>
      <c r="H253" s="2">
        <v>1123.5999999999999</v>
      </c>
      <c r="I253" s="2">
        <v>6</v>
      </c>
      <c r="J253" s="2" t="s">
        <v>36</v>
      </c>
      <c r="K253" s="2" t="s">
        <v>37</v>
      </c>
      <c r="L253" s="2" t="s">
        <v>1244</v>
      </c>
      <c r="M253" s="7" t="s">
        <v>1245</v>
      </c>
      <c r="N253" s="7" t="s">
        <v>1246</v>
      </c>
      <c r="O253" s="2"/>
      <c r="P253" s="2"/>
      <c r="Q253" s="2" t="str">
        <f>IF(SUMPRODUCT(--ISNUMBER(SEARCH('National Domains'!$A$2:$A$48,L253)))&gt;0,"Yes","No")</f>
        <v>Yes</v>
      </c>
      <c r="R253" s="2" t="str">
        <f>IF(COUNTIFS(Calibration!$A:$A,A253,Calibration!$B:$B,B253)&gt;0,"Yes","No")</f>
        <v>No</v>
      </c>
      <c r="S253" s="6"/>
    </row>
    <row r="254" spans="1:19" ht="34.5" customHeight="1" x14ac:dyDescent="0.2">
      <c r="A254" s="2">
        <v>95</v>
      </c>
      <c r="B254" s="2">
        <v>3</v>
      </c>
      <c r="C254" s="2" t="s">
        <v>196</v>
      </c>
      <c r="D254" s="2" t="s">
        <v>17</v>
      </c>
      <c r="E254" s="2">
        <v>20120413</v>
      </c>
      <c r="F254" s="2">
        <v>20120414</v>
      </c>
      <c r="G254" s="2">
        <v>1539.4</v>
      </c>
      <c r="H254" s="2">
        <v>1123.5999999999999</v>
      </c>
      <c r="I254" s="2">
        <v>6</v>
      </c>
      <c r="J254" s="2" t="s">
        <v>36</v>
      </c>
      <c r="K254" s="2" t="s">
        <v>37</v>
      </c>
      <c r="L254" s="2" t="s">
        <v>1247</v>
      </c>
      <c r="M254" s="7" t="s">
        <v>1248</v>
      </c>
      <c r="N254" s="7" t="s">
        <v>1249</v>
      </c>
      <c r="O254" s="2"/>
      <c r="P254" s="2"/>
      <c r="Q254" s="2" t="str">
        <f>IF(SUMPRODUCT(--ISNUMBER(SEARCH('National Domains'!$A$2:$A$48,L254)))&gt;0,"Yes","No")</f>
        <v>Yes</v>
      </c>
      <c r="R254" s="2" t="str">
        <f>IF(COUNTIFS(Calibration!$A:$A,A254,Calibration!$B:$B,B254)&gt;0,"Yes","No")</f>
        <v>No</v>
      </c>
      <c r="S254" s="6"/>
    </row>
    <row r="255" spans="1:19" ht="34.5" customHeight="1" x14ac:dyDescent="0.2">
      <c r="A255" s="2">
        <v>95</v>
      </c>
      <c r="B255" s="2">
        <v>4</v>
      </c>
      <c r="C255" s="2" t="s">
        <v>196</v>
      </c>
      <c r="D255" s="2" t="s">
        <v>17</v>
      </c>
      <c r="E255" s="2">
        <v>20120413</v>
      </c>
      <c r="F255" s="2">
        <v>20120414</v>
      </c>
      <c r="G255" s="2">
        <v>1539.4</v>
      </c>
      <c r="H255" s="2">
        <v>1123.5999999999999</v>
      </c>
      <c r="I255" s="2">
        <v>6</v>
      </c>
      <c r="J255" s="2" t="s">
        <v>36</v>
      </c>
      <c r="K255" s="2" t="s">
        <v>37</v>
      </c>
      <c r="L255" s="2" t="s">
        <v>1250</v>
      </c>
      <c r="M255" s="7" t="s">
        <v>741</v>
      </c>
      <c r="N255" s="7" t="s">
        <v>1251</v>
      </c>
      <c r="O255" s="2"/>
      <c r="P255" s="2"/>
      <c r="Q255" s="2" t="str">
        <f>IF(SUMPRODUCT(--ISNUMBER(SEARCH('National Domains'!$A$2:$A$48,L255)))&gt;0,"Yes","No")</f>
        <v>Yes</v>
      </c>
      <c r="R255" s="2" t="str">
        <f>IF(COUNTIFS(Calibration!$A:$A,A255,Calibration!$B:$B,B255)&gt;0,"Yes","No")</f>
        <v>No</v>
      </c>
      <c r="S255" s="6"/>
    </row>
    <row r="256" spans="1:19" ht="34.5" customHeight="1" x14ac:dyDescent="0.2">
      <c r="A256" s="2">
        <v>95</v>
      </c>
      <c r="B256" s="2">
        <v>5</v>
      </c>
      <c r="C256" s="2" t="s">
        <v>196</v>
      </c>
      <c r="D256" s="2" t="s">
        <v>17</v>
      </c>
      <c r="E256" s="2">
        <v>20120413</v>
      </c>
      <c r="F256" s="2">
        <v>20120414</v>
      </c>
      <c r="G256" s="2">
        <v>1539.4</v>
      </c>
      <c r="H256" s="2">
        <v>1123.5999999999999</v>
      </c>
      <c r="I256" s="2">
        <v>6</v>
      </c>
      <c r="J256" s="2" t="s">
        <v>36</v>
      </c>
      <c r="K256" s="2" t="s">
        <v>37</v>
      </c>
      <c r="L256" s="2" t="s">
        <v>1252</v>
      </c>
      <c r="M256" s="7" t="s">
        <v>1253</v>
      </c>
      <c r="N256" s="7" t="s">
        <v>1254</v>
      </c>
      <c r="O256" s="2"/>
      <c r="P256" s="2"/>
      <c r="Q256" s="2" t="str">
        <f>IF(SUMPRODUCT(--ISNUMBER(SEARCH('National Domains'!$A$2:$A$48,L256)))&gt;0,"Yes","No")</f>
        <v>Yes</v>
      </c>
      <c r="R256" s="2" t="str">
        <f>IF(COUNTIFS(Calibration!$A:$A,A256,Calibration!$B:$B,B256)&gt;0,"Yes","No")</f>
        <v>No</v>
      </c>
      <c r="S256" s="6"/>
    </row>
    <row r="257" spans="1:19" ht="34.5" customHeight="1" x14ac:dyDescent="0.2">
      <c r="A257" s="2">
        <v>95</v>
      </c>
      <c r="B257" s="2">
        <v>6</v>
      </c>
      <c r="C257" s="2" t="s">
        <v>196</v>
      </c>
      <c r="D257" s="2" t="s">
        <v>17</v>
      </c>
      <c r="E257" s="2">
        <v>20120413</v>
      </c>
      <c r="F257" s="2">
        <v>20120414</v>
      </c>
      <c r="G257" s="2">
        <v>1539.4</v>
      </c>
      <c r="H257" s="2">
        <v>1123.5999999999999</v>
      </c>
      <c r="I257" s="2">
        <v>6</v>
      </c>
      <c r="J257" s="2" t="s">
        <v>36</v>
      </c>
      <c r="K257" s="2" t="s">
        <v>37</v>
      </c>
      <c r="L257" s="2" t="s">
        <v>1255</v>
      </c>
      <c r="M257" s="7" t="s">
        <v>1256</v>
      </c>
      <c r="N257" s="7" t="s">
        <v>1257</v>
      </c>
      <c r="O257" s="2"/>
      <c r="P257" s="2"/>
      <c r="Q257" s="2" t="str">
        <f>IF(SUMPRODUCT(--ISNUMBER(SEARCH('National Domains'!$A$2:$A$48,L257)))&gt;0,"Yes","No")</f>
        <v>No</v>
      </c>
      <c r="R257" s="2" t="str">
        <f>IF(COUNTIFS(Calibration!$A:$A,A257,Calibration!$B:$B,B257)&gt;0,"Yes","No")</f>
        <v>No</v>
      </c>
      <c r="S257" s="6"/>
    </row>
    <row r="258" spans="1:19" ht="34.5" customHeight="1" x14ac:dyDescent="0.2">
      <c r="A258" s="2">
        <v>95</v>
      </c>
      <c r="B258" s="2">
        <v>7</v>
      </c>
      <c r="C258" s="2" t="s">
        <v>196</v>
      </c>
      <c r="D258" s="2" t="s">
        <v>17</v>
      </c>
      <c r="E258" s="2">
        <v>20120413</v>
      </c>
      <c r="F258" s="2">
        <v>20120414</v>
      </c>
      <c r="G258" s="2">
        <v>1539.4</v>
      </c>
      <c r="H258" s="2">
        <v>1123.5999999999999</v>
      </c>
      <c r="I258" s="2">
        <v>6</v>
      </c>
      <c r="J258" s="2" t="s">
        <v>36</v>
      </c>
      <c r="K258" s="2" t="s">
        <v>37</v>
      </c>
      <c r="L258" s="2" t="s">
        <v>1258</v>
      </c>
      <c r="M258" s="7" t="s">
        <v>1259</v>
      </c>
      <c r="N258" s="7" t="s">
        <v>1260</v>
      </c>
      <c r="O258" s="2"/>
      <c r="P258" s="2"/>
      <c r="Q258" s="2" t="str">
        <f>IF(SUMPRODUCT(--ISNUMBER(SEARCH('National Domains'!$A$2:$A$48,L258)))&gt;0,"Yes","No")</f>
        <v>Yes</v>
      </c>
      <c r="R258" s="2" t="str">
        <f>IF(COUNTIFS(Calibration!$A:$A,A258,Calibration!$B:$B,B258)&gt;0,"Yes","No")</f>
        <v>No</v>
      </c>
      <c r="S258" s="6"/>
    </row>
    <row r="259" spans="1:19" ht="34.5" customHeight="1" x14ac:dyDescent="0.2">
      <c r="A259" s="2">
        <v>95</v>
      </c>
      <c r="B259" s="2">
        <v>8</v>
      </c>
      <c r="C259" s="2" t="s">
        <v>196</v>
      </c>
      <c r="D259" s="2" t="s">
        <v>17</v>
      </c>
      <c r="E259" s="2">
        <v>20120413</v>
      </c>
      <c r="F259" s="2">
        <v>20120414</v>
      </c>
      <c r="G259" s="2">
        <v>1539.4</v>
      </c>
      <c r="H259" s="2">
        <v>1123.5999999999999</v>
      </c>
      <c r="I259" s="2">
        <v>6</v>
      </c>
      <c r="J259" s="2" t="s">
        <v>36</v>
      </c>
      <c r="K259" s="2" t="s">
        <v>37</v>
      </c>
      <c r="L259" s="2" t="s">
        <v>1261</v>
      </c>
      <c r="M259" s="7" t="s">
        <v>1262</v>
      </c>
      <c r="N259" s="7" t="s">
        <v>1263</v>
      </c>
      <c r="O259" s="2"/>
      <c r="P259" s="2"/>
      <c r="Q259" s="2" t="str">
        <f>IF(SUMPRODUCT(--ISNUMBER(SEARCH('National Domains'!$A$2:$A$48,L259)))&gt;0,"Yes","No")</f>
        <v>Yes</v>
      </c>
      <c r="R259" s="2" t="str">
        <f>IF(COUNTIFS(Calibration!$A:$A,A259,Calibration!$B:$B,B259)&gt;0,"Yes","No")</f>
        <v>No</v>
      </c>
      <c r="S259" s="6"/>
    </row>
    <row r="260" spans="1:19" ht="23.25" customHeight="1" x14ac:dyDescent="0.2">
      <c r="A260" s="2">
        <v>95</v>
      </c>
      <c r="B260" s="2">
        <v>9</v>
      </c>
      <c r="C260" s="2" t="s">
        <v>196</v>
      </c>
      <c r="D260" s="2" t="s">
        <v>17</v>
      </c>
      <c r="E260" s="2">
        <v>20120413</v>
      </c>
      <c r="F260" s="2">
        <v>20120414</v>
      </c>
      <c r="G260" s="2">
        <v>1539.4</v>
      </c>
      <c r="H260" s="2">
        <v>1123.5999999999999</v>
      </c>
      <c r="I260" s="2">
        <v>6</v>
      </c>
      <c r="J260" s="2" t="s">
        <v>36</v>
      </c>
      <c r="K260" s="2" t="s">
        <v>37</v>
      </c>
      <c r="L260" s="2" t="s">
        <v>1264</v>
      </c>
      <c r="M260" s="7" t="s">
        <v>1265</v>
      </c>
      <c r="N260" s="7" t="s">
        <v>1266</v>
      </c>
      <c r="O260" s="2"/>
      <c r="P260" s="2"/>
      <c r="Q260" s="2" t="str">
        <f>IF(SUMPRODUCT(--ISNUMBER(SEARCH('National Domains'!$A$2:$A$48,L260)))&gt;0,"Yes","No")</f>
        <v>Yes</v>
      </c>
      <c r="R260" s="2" t="str">
        <f>IF(COUNTIFS(Calibration!$A:$A,A260,Calibration!$B:$B,B260)&gt;0,"Yes","No")</f>
        <v>No</v>
      </c>
      <c r="S260" s="6"/>
    </row>
    <row r="261" spans="1:19" ht="23.25" customHeight="1" x14ac:dyDescent="0.2">
      <c r="A261" s="2">
        <v>95</v>
      </c>
      <c r="B261" s="2">
        <v>10</v>
      </c>
      <c r="C261" s="2" t="s">
        <v>196</v>
      </c>
      <c r="D261" s="2" t="s">
        <v>17</v>
      </c>
      <c r="E261" s="2">
        <v>20120413</v>
      </c>
      <c r="F261" s="2">
        <v>20120414</v>
      </c>
      <c r="G261" s="2">
        <v>1539.4</v>
      </c>
      <c r="H261" s="2">
        <v>1123.5999999999999</v>
      </c>
      <c r="I261" s="2">
        <v>6</v>
      </c>
      <c r="J261" s="2" t="s">
        <v>36</v>
      </c>
      <c r="K261" s="2" t="s">
        <v>37</v>
      </c>
      <c r="L261" s="2" t="s">
        <v>1267</v>
      </c>
      <c r="M261" s="7" t="s">
        <v>1268</v>
      </c>
      <c r="N261" s="7" t="s">
        <v>1269</v>
      </c>
      <c r="O261" s="2"/>
      <c r="P261" s="2"/>
      <c r="Q261" s="2" t="str">
        <f>IF(SUMPRODUCT(--ISNUMBER(SEARCH('National Domains'!$A$2:$A$48,L261)))&gt;0,"Yes","No")</f>
        <v>Yes</v>
      </c>
      <c r="R261" s="2" t="str">
        <f>IF(COUNTIFS(Calibration!$A:$A,A261,Calibration!$B:$B,B261)&gt;0,"Yes","No")</f>
        <v>No</v>
      </c>
      <c r="S261" s="6"/>
    </row>
    <row r="262" spans="1:19" ht="34.5" customHeight="1" x14ac:dyDescent="0.2">
      <c r="A262" s="2">
        <v>95</v>
      </c>
      <c r="B262" s="2">
        <v>11</v>
      </c>
      <c r="C262" s="2" t="s">
        <v>196</v>
      </c>
      <c r="D262" s="2" t="s">
        <v>17</v>
      </c>
      <c r="E262" s="2">
        <v>20120413</v>
      </c>
      <c r="F262" s="2">
        <v>20120414</v>
      </c>
      <c r="G262" s="2">
        <v>1539.4</v>
      </c>
      <c r="H262" s="2">
        <v>1123.5999999999999</v>
      </c>
      <c r="I262" s="2">
        <v>6</v>
      </c>
      <c r="J262" s="2" t="s">
        <v>36</v>
      </c>
      <c r="K262" s="2" t="s">
        <v>37</v>
      </c>
      <c r="L262" s="2" t="s">
        <v>1270</v>
      </c>
      <c r="M262" s="7" t="s">
        <v>1271</v>
      </c>
      <c r="N262" s="7" t="s">
        <v>1272</v>
      </c>
      <c r="O262" s="2"/>
      <c r="P262" s="2"/>
      <c r="Q262" s="2" t="str">
        <f>IF(SUMPRODUCT(--ISNUMBER(SEARCH('National Domains'!$A$2:$A$48,L262)))&gt;0,"Yes","No")</f>
        <v>Yes</v>
      </c>
      <c r="R262" s="2" t="str">
        <f>IF(COUNTIFS(Calibration!$A:$A,A262,Calibration!$B:$B,B262)&gt;0,"Yes","No")</f>
        <v>No</v>
      </c>
      <c r="S262" s="6"/>
    </row>
    <row r="263" spans="1:19" ht="34.5" customHeight="1" x14ac:dyDescent="0.2">
      <c r="A263" s="2">
        <v>95</v>
      </c>
      <c r="B263" s="2">
        <v>12</v>
      </c>
      <c r="C263" s="2" t="s">
        <v>196</v>
      </c>
      <c r="D263" s="2" t="s">
        <v>17</v>
      </c>
      <c r="E263" s="2">
        <v>20120413</v>
      </c>
      <c r="F263" s="2">
        <v>20120414</v>
      </c>
      <c r="G263" s="2">
        <v>1539.4</v>
      </c>
      <c r="H263" s="2">
        <v>1123.5999999999999</v>
      </c>
      <c r="I263" s="2">
        <v>6</v>
      </c>
      <c r="J263" s="2" t="s">
        <v>36</v>
      </c>
      <c r="K263" s="2" t="s">
        <v>37</v>
      </c>
      <c r="L263" s="2" t="s">
        <v>1273</v>
      </c>
      <c r="M263" s="7" t="s">
        <v>1274</v>
      </c>
      <c r="N263" s="7" t="s">
        <v>1275</v>
      </c>
      <c r="O263" s="2"/>
      <c r="P263" s="2"/>
      <c r="Q263" s="2" t="str">
        <f>IF(SUMPRODUCT(--ISNUMBER(SEARCH('National Domains'!$A$2:$A$48,L263)))&gt;0,"Yes","No")</f>
        <v>No</v>
      </c>
      <c r="R263" s="2" t="str">
        <f>IF(COUNTIFS(Calibration!$A:$A,A263,Calibration!$B:$B,B263)&gt;0,"Yes","No")</f>
        <v>No</v>
      </c>
      <c r="S263" s="6"/>
    </row>
    <row r="264" spans="1:19" ht="23.25" customHeight="1" x14ac:dyDescent="0.2">
      <c r="A264" s="2">
        <v>99</v>
      </c>
      <c r="B264" s="2">
        <v>1</v>
      </c>
      <c r="C264" s="2" t="s">
        <v>203</v>
      </c>
      <c r="D264" s="2" t="s">
        <v>17</v>
      </c>
      <c r="E264" s="2">
        <v>20120629</v>
      </c>
      <c r="F264" s="2">
        <v>20120702</v>
      </c>
      <c r="G264" s="2">
        <v>3957</v>
      </c>
      <c r="H264" s="2">
        <v>2888.4</v>
      </c>
      <c r="I264" s="2">
        <v>28</v>
      </c>
      <c r="J264" s="2" t="s">
        <v>204</v>
      </c>
      <c r="K264" s="2" t="s">
        <v>205</v>
      </c>
      <c r="L264" s="2" t="s">
        <v>1276</v>
      </c>
      <c r="M264" s="7" t="s">
        <v>1277</v>
      </c>
      <c r="N264" s="7" t="s">
        <v>1278</v>
      </c>
      <c r="O264" s="2"/>
      <c r="P264" s="2"/>
      <c r="Q264" s="2" t="str">
        <f>IF(SUMPRODUCT(--ISNUMBER(SEARCH('National Domains'!$A$2:$A$48,L264)))&gt;0,"Yes","No")</f>
        <v>Yes</v>
      </c>
      <c r="R264" s="2" t="str">
        <f>IF(COUNTIFS(Calibration!$A:$A,A264,Calibration!$B:$B,B264)&gt;0,"Yes","No")</f>
        <v>No</v>
      </c>
      <c r="S264" s="6"/>
    </row>
    <row r="265" spans="1:19" ht="34.5" customHeight="1" x14ac:dyDescent="0.2">
      <c r="A265" s="2">
        <v>100</v>
      </c>
      <c r="B265" s="2">
        <v>1</v>
      </c>
      <c r="C265" s="2" t="s">
        <v>206</v>
      </c>
      <c r="D265" s="2" t="s">
        <v>39</v>
      </c>
      <c r="E265" s="2">
        <v>20120826</v>
      </c>
      <c r="F265" s="2">
        <v>20120831</v>
      </c>
      <c r="G265" s="2">
        <v>3786.1</v>
      </c>
      <c r="H265" s="2">
        <v>2763.5</v>
      </c>
      <c r="I265" s="2">
        <v>9</v>
      </c>
      <c r="J265" s="2" t="s">
        <v>207</v>
      </c>
      <c r="K265" s="2" t="s">
        <v>49</v>
      </c>
      <c r="L265" s="2" t="s">
        <v>1279</v>
      </c>
      <c r="M265" s="7" t="s">
        <v>1280</v>
      </c>
      <c r="N265" s="7" t="s">
        <v>1281</v>
      </c>
      <c r="O265" s="2"/>
      <c r="P265" s="2"/>
      <c r="Q265" s="2" t="str">
        <f>IF(SUMPRODUCT(--ISNUMBER(SEARCH('National Domains'!$A$2:$A$48,L265)))&gt;0,"Yes","No")</f>
        <v>No</v>
      </c>
      <c r="R265" s="2" t="str">
        <f>IF(COUNTIFS(Calibration!$A:$A,A265,Calibration!$B:$B,B265)&gt;0,"Yes","No")</f>
        <v>No</v>
      </c>
      <c r="S265" s="6"/>
    </row>
    <row r="266" spans="1:19" ht="34.5" customHeight="1" x14ac:dyDescent="0.2">
      <c r="A266" s="2">
        <v>100</v>
      </c>
      <c r="B266" s="2">
        <v>2</v>
      </c>
      <c r="C266" s="2" t="s">
        <v>206</v>
      </c>
      <c r="D266" s="2" t="s">
        <v>39</v>
      </c>
      <c r="E266" s="2">
        <v>20120826</v>
      </c>
      <c r="F266" s="2">
        <v>20120831</v>
      </c>
      <c r="G266" s="2">
        <v>3786.1</v>
      </c>
      <c r="H266" s="2">
        <v>2763.5</v>
      </c>
      <c r="I266" s="2">
        <v>9</v>
      </c>
      <c r="J266" s="2" t="s">
        <v>207</v>
      </c>
      <c r="K266" s="2" t="s">
        <v>49</v>
      </c>
      <c r="L266" s="2" t="s">
        <v>1282</v>
      </c>
      <c r="M266" s="7" t="s">
        <v>1283</v>
      </c>
      <c r="N266" s="7" t="s">
        <v>1284</v>
      </c>
      <c r="O266" s="2"/>
      <c r="P266" s="2"/>
      <c r="Q266" s="2" t="str">
        <f>IF(SUMPRODUCT(--ISNUMBER(SEARCH('National Domains'!$A$2:$A$48,L266)))&gt;0,"Yes","No")</f>
        <v>No</v>
      </c>
      <c r="R266" s="2" t="str">
        <f>IF(COUNTIFS(Calibration!$A:$A,A266,Calibration!$B:$B,B266)&gt;0,"Yes","No")</f>
        <v>No</v>
      </c>
      <c r="S266" s="6"/>
    </row>
    <row r="267" spans="1:19" ht="23.25" customHeight="1" x14ac:dyDescent="0.2">
      <c r="A267" s="2">
        <v>100</v>
      </c>
      <c r="B267" s="2">
        <v>3</v>
      </c>
      <c r="C267" s="2" t="s">
        <v>206</v>
      </c>
      <c r="D267" s="2" t="s">
        <v>39</v>
      </c>
      <c r="E267" s="2">
        <v>20120826</v>
      </c>
      <c r="F267" s="2">
        <v>20120831</v>
      </c>
      <c r="G267" s="2">
        <v>3786.1</v>
      </c>
      <c r="H267" s="2">
        <v>2763.5</v>
      </c>
      <c r="I267" s="2">
        <v>9</v>
      </c>
      <c r="J267" s="2" t="s">
        <v>207</v>
      </c>
      <c r="K267" s="2" t="s">
        <v>49</v>
      </c>
      <c r="L267" s="2" t="s">
        <v>1285</v>
      </c>
      <c r="M267" s="7" t="s">
        <v>1286</v>
      </c>
      <c r="N267" s="7" t="s">
        <v>1287</v>
      </c>
      <c r="O267" s="2"/>
      <c r="P267" s="2"/>
      <c r="Q267" s="2" t="str">
        <f>IF(SUMPRODUCT(--ISNUMBER(SEARCH('National Domains'!$A$2:$A$48,L267)))&gt;0,"Yes","No")</f>
        <v>No</v>
      </c>
      <c r="R267" s="2" t="str">
        <f>IF(COUNTIFS(Calibration!$A:$A,A267,Calibration!$B:$B,B267)&gt;0,"Yes","No")</f>
        <v>No</v>
      </c>
      <c r="S267" s="6"/>
    </row>
    <row r="268" spans="1:19" ht="34.5" customHeight="1" x14ac:dyDescent="0.2">
      <c r="A268" s="2">
        <v>100</v>
      </c>
      <c r="B268" s="2">
        <v>4</v>
      </c>
      <c r="C268" s="2" t="s">
        <v>206</v>
      </c>
      <c r="D268" s="2" t="s">
        <v>39</v>
      </c>
      <c r="E268" s="2">
        <v>20120826</v>
      </c>
      <c r="F268" s="2">
        <v>20120831</v>
      </c>
      <c r="G268" s="2">
        <v>3786.1</v>
      </c>
      <c r="H268" s="2">
        <v>2763.5</v>
      </c>
      <c r="I268" s="2">
        <v>9</v>
      </c>
      <c r="J268" s="2" t="s">
        <v>207</v>
      </c>
      <c r="K268" s="2" t="s">
        <v>49</v>
      </c>
      <c r="L268" s="2" t="s">
        <v>1288</v>
      </c>
      <c r="M268" s="7" t="s">
        <v>1289</v>
      </c>
      <c r="N268" s="7" t="s">
        <v>1290</v>
      </c>
      <c r="O268" s="2"/>
      <c r="P268" s="2"/>
      <c r="Q268" s="2" t="str">
        <f>IF(SUMPRODUCT(--ISNUMBER(SEARCH('National Domains'!$A$2:$A$48,L268)))&gt;0,"Yes","No")</f>
        <v>No</v>
      </c>
      <c r="R268" s="2" t="str">
        <f>IF(COUNTIFS(Calibration!$A:$A,A268,Calibration!$B:$B,B268)&gt;0,"Yes","No")</f>
        <v>No</v>
      </c>
      <c r="S268" s="6"/>
    </row>
    <row r="269" spans="1:19" ht="34.5" customHeight="1" x14ac:dyDescent="0.2">
      <c r="A269" s="2">
        <v>100</v>
      </c>
      <c r="B269" s="2">
        <v>5</v>
      </c>
      <c r="C269" s="2" t="s">
        <v>206</v>
      </c>
      <c r="D269" s="2" t="s">
        <v>39</v>
      </c>
      <c r="E269" s="2">
        <v>20120826</v>
      </c>
      <c r="F269" s="2">
        <v>20120831</v>
      </c>
      <c r="G269" s="2">
        <v>3786.1</v>
      </c>
      <c r="H269" s="2">
        <v>2763.5</v>
      </c>
      <c r="I269" s="2">
        <v>9</v>
      </c>
      <c r="J269" s="2" t="s">
        <v>207</v>
      </c>
      <c r="K269" s="2" t="s">
        <v>49</v>
      </c>
      <c r="L269" s="2" t="s">
        <v>1291</v>
      </c>
      <c r="M269" s="7" t="s">
        <v>1292</v>
      </c>
      <c r="N269" s="7" t="s">
        <v>1293</v>
      </c>
      <c r="O269" s="2"/>
      <c r="P269" s="2"/>
      <c r="Q269" s="2" t="str">
        <f>IF(SUMPRODUCT(--ISNUMBER(SEARCH('National Domains'!$A$2:$A$48,L269)))&gt;0,"Yes","No")</f>
        <v>No</v>
      </c>
      <c r="R269" s="2" t="str">
        <f>IF(COUNTIFS(Calibration!$A:$A,A269,Calibration!$B:$B,B269)&gt;0,"Yes","No")</f>
        <v>No</v>
      </c>
      <c r="S269" s="6"/>
    </row>
    <row r="270" spans="1:19" ht="34.5" customHeight="1" x14ac:dyDescent="0.2">
      <c r="A270" s="2">
        <v>100</v>
      </c>
      <c r="B270" s="2">
        <v>6</v>
      </c>
      <c r="C270" s="2" t="s">
        <v>206</v>
      </c>
      <c r="D270" s="2" t="s">
        <v>39</v>
      </c>
      <c r="E270" s="2">
        <v>20120826</v>
      </c>
      <c r="F270" s="2">
        <v>20120831</v>
      </c>
      <c r="G270" s="2">
        <v>3786.1</v>
      </c>
      <c r="H270" s="2">
        <v>2763.5</v>
      </c>
      <c r="I270" s="2">
        <v>9</v>
      </c>
      <c r="J270" s="2" t="s">
        <v>207</v>
      </c>
      <c r="K270" s="2" t="s">
        <v>49</v>
      </c>
      <c r="L270" s="2" t="s">
        <v>1294</v>
      </c>
      <c r="M270" s="7" t="s">
        <v>1295</v>
      </c>
      <c r="N270" s="7" t="s">
        <v>1296</v>
      </c>
      <c r="O270" s="2"/>
      <c r="P270" s="2"/>
      <c r="Q270" s="2" t="str">
        <f>IF(SUMPRODUCT(--ISNUMBER(SEARCH('National Domains'!$A$2:$A$48,L270)))&gt;0,"Yes","No")</f>
        <v>No</v>
      </c>
      <c r="R270" s="2" t="str">
        <f>IF(COUNTIFS(Calibration!$A:$A,A270,Calibration!$B:$B,B270)&gt;0,"Yes","No")</f>
        <v>No</v>
      </c>
      <c r="S270" s="6"/>
    </row>
    <row r="271" spans="1:19" ht="23.25" customHeight="1" x14ac:dyDescent="0.2">
      <c r="A271" s="2">
        <v>100</v>
      </c>
      <c r="B271" s="2">
        <v>7</v>
      </c>
      <c r="C271" s="2" t="s">
        <v>206</v>
      </c>
      <c r="D271" s="2" t="s">
        <v>39</v>
      </c>
      <c r="E271" s="2">
        <v>20120826</v>
      </c>
      <c r="F271" s="2">
        <v>20120831</v>
      </c>
      <c r="G271" s="2">
        <v>3786.1</v>
      </c>
      <c r="H271" s="2">
        <v>2763.5</v>
      </c>
      <c r="I271" s="2">
        <v>9</v>
      </c>
      <c r="J271" s="2" t="s">
        <v>207</v>
      </c>
      <c r="K271" s="2" t="s">
        <v>49</v>
      </c>
      <c r="L271" s="2" t="s">
        <v>1297</v>
      </c>
      <c r="M271" s="7" t="s">
        <v>1298</v>
      </c>
      <c r="N271" s="7" t="s">
        <v>1299</v>
      </c>
      <c r="O271" s="2"/>
      <c r="P271" s="2"/>
      <c r="Q271" s="2" t="str">
        <f>IF(SUMPRODUCT(--ISNUMBER(SEARCH('National Domains'!$A$2:$A$48,L271)))&gt;0,"Yes","No")</f>
        <v>No</v>
      </c>
      <c r="R271" s="2" t="str">
        <f>IF(COUNTIFS(Calibration!$A:$A,A271,Calibration!$B:$B,B271)&gt;0,"Yes","No")</f>
        <v>No</v>
      </c>
      <c r="S271" s="6"/>
    </row>
    <row r="272" spans="1:19" ht="34.5" customHeight="1" x14ac:dyDescent="0.2">
      <c r="A272" s="2">
        <v>100</v>
      </c>
      <c r="B272" s="2">
        <v>8</v>
      </c>
      <c r="C272" s="2" t="s">
        <v>206</v>
      </c>
      <c r="D272" s="2" t="s">
        <v>39</v>
      </c>
      <c r="E272" s="2">
        <v>20120826</v>
      </c>
      <c r="F272" s="2">
        <v>20120831</v>
      </c>
      <c r="G272" s="2">
        <v>3786.1</v>
      </c>
      <c r="H272" s="2">
        <v>2763.5</v>
      </c>
      <c r="I272" s="2">
        <v>9</v>
      </c>
      <c r="J272" s="2" t="s">
        <v>207</v>
      </c>
      <c r="K272" s="2" t="s">
        <v>49</v>
      </c>
      <c r="L272" s="2" t="s">
        <v>1300</v>
      </c>
      <c r="M272" s="7" t="s">
        <v>1301</v>
      </c>
      <c r="N272" s="7" t="s">
        <v>1302</v>
      </c>
      <c r="O272" s="2"/>
      <c r="P272" s="2"/>
      <c r="Q272" s="2" t="str">
        <f>IF(SUMPRODUCT(--ISNUMBER(SEARCH('National Domains'!$A$2:$A$48,L272)))&gt;0,"Yes","No")</f>
        <v>No</v>
      </c>
      <c r="R272" s="2" t="str">
        <f>IF(COUNTIFS(Calibration!$A:$A,A272,Calibration!$B:$B,B272)&gt;0,"Yes","No")</f>
        <v>No</v>
      </c>
      <c r="S272" s="6"/>
    </row>
    <row r="273" spans="1:19" ht="34.5" customHeight="1" x14ac:dyDescent="0.2">
      <c r="A273" s="2">
        <v>100</v>
      </c>
      <c r="B273" s="2">
        <v>9</v>
      </c>
      <c r="C273" s="2" t="s">
        <v>206</v>
      </c>
      <c r="D273" s="2" t="s">
        <v>39</v>
      </c>
      <c r="E273" s="2">
        <v>20120826</v>
      </c>
      <c r="F273" s="2">
        <v>20120831</v>
      </c>
      <c r="G273" s="2">
        <v>3786.1</v>
      </c>
      <c r="H273" s="2">
        <v>2763.5</v>
      </c>
      <c r="I273" s="2">
        <v>9</v>
      </c>
      <c r="J273" s="2" t="s">
        <v>207</v>
      </c>
      <c r="K273" s="2" t="s">
        <v>49</v>
      </c>
      <c r="L273" s="2" t="s">
        <v>1303</v>
      </c>
      <c r="M273" s="7" t="s">
        <v>1304</v>
      </c>
      <c r="N273" s="7" t="s">
        <v>1305</v>
      </c>
      <c r="O273" s="2"/>
      <c r="P273" s="2"/>
      <c r="Q273" s="2" t="str">
        <f>IF(SUMPRODUCT(--ISNUMBER(SEARCH('National Domains'!$A$2:$A$48,L273)))&gt;0,"Yes","No")</f>
        <v>Yes</v>
      </c>
      <c r="R273" s="2" t="str">
        <f>IF(COUNTIFS(Calibration!$A:$A,A273,Calibration!$B:$B,B273)&gt;0,"Yes","No")</f>
        <v>No</v>
      </c>
      <c r="S273" s="6"/>
    </row>
    <row r="274" spans="1:19" ht="34.5" customHeight="1" x14ac:dyDescent="0.2">
      <c r="A274" s="2">
        <v>100</v>
      </c>
      <c r="B274" s="2">
        <v>10</v>
      </c>
      <c r="C274" s="2" t="s">
        <v>206</v>
      </c>
      <c r="D274" s="2" t="s">
        <v>39</v>
      </c>
      <c r="E274" s="2">
        <v>20120826</v>
      </c>
      <c r="F274" s="2">
        <v>20120831</v>
      </c>
      <c r="G274" s="2">
        <v>3786.1</v>
      </c>
      <c r="H274" s="2">
        <v>2763.5</v>
      </c>
      <c r="I274" s="2">
        <v>9</v>
      </c>
      <c r="J274" s="2" t="s">
        <v>207</v>
      </c>
      <c r="K274" s="2" t="s">
        <v>49</v>
      </c>
      <c r="L274" s="2" t="s">
        <v>1306</v>
      </c>
      <c r="M274" s="7" t="s">
        <v>1307</v>
      </c>
      <c r="N274" s="7" t="s">
        <v>1308</v>
      </c>
      <c r="O274" s="2"/>
      <c r="P274" s="2"/>
      <c r="Q274" s="2" t="str">
        <f>IF(SUMPRODUCT(--ISNUMBER(SEARCH('National Domains'!$A$2:$A$48,L274)))&gt;0,"Yes","No")</f>
        <v>Yes</v>
      </c>
      <c r="R274" s="2" t="str">
        <f>IF(COUNTIFS(Calibration!$A:$A,A274,Calibration!$B:$B,B274)&gt;0,"Yes","No")</f>
        <v>No</v>
      </c>
      <c r="S274" s="6"/>
    </row>
    <row r="275" spans="1:19" ht="34.5" customHeight="1" x14ac:dyDescent="0.2">
      <c r="A275" s="2">
        <v>100</v>
      </c>
      <c r="B275" s="2">
        <v>11</v>
      </c>
      <c r="C275" s="2" t="s">
        <v>206</v>
      </c>
      <c r="D275" s="2" t="s">
        <v>39</v>
      </c>
      <c r="E275" s="2">
        <v>20120826</v>
      </c>
      <c r="F275" s="2">
        <v>20120831</v>
      </c>
      <c r="G275" s="2">
        <v>3786.1</v>
      </c>
      <c r="H275" s="2">
        <v>2763.5</v>
      </c>
      <c r="I275" s="2">
        <v>9</v>
      </c>
      <c r="J275" s="2" t="s">
        <v>207</v>
      </c>
      <c r="K275" s="2" t="s">
        <v>49</v>
      </c>
      <c r="L275" s="2" t="s">
        <v>1309</v>
      </c>
      <c r="M275" s="7" t="s">
        <v>1310</v>
      </c>
      <c r="N275" s="7" t="s">
        <v>1311</v>
      </c>
      <c r="O275" s="2"/>
      <c r="P275" s="2"/>
      <c r="Q275" s="2" t="str">
        <f>IF(SUMPRODUCT(--ISNUMBER(SEARCH('National Domains'!$A$2:$A$48,L275)))&gt;0,"Yes","No")</f>
        <v>Yes</v>
      </c>
      <c r="R275" s="2" t="str">
        <f>IF(COUNTIFS(Calibration!$A:$A,A275,Calibration!$B:$B,B275)&gt;0,"Yes","No")</f>
        <v>No</v>
      </c>
      <c r="S275" s="6"/>
    </row>
    <row r="276" spans="1:19" ht="34.5" customHeight="1" x14ac:dyDescent="0.2">
      <c r="A276" s="2">
        <v>100</v>
      </c>
      <c r="B276" s="2">
        <v>12</v>
      </c>
      <c r="C276" s="2" t="s">
        <v>206</v>
      </c>
      <c r="D276" s="2" t="s">
        <v>39</v>
      </c>
      <c r="E276" s="2">
        <v>20120826</v>
      </c>
      <c r="F276" s="2">
        <v>20120831</v>
      </c>
      <c r="G276" s="2">
        <v>3786.1</v>
      </c>
      <c r="H276" s="2">
        <v>2763.5</v>
      </c>
      <c r="I276" s="2">
        <v>9</v>
      </c>
      <c r="J276" s="2" t="s">
        <v>207</v>
      </c>
      <c r="K276" s="2" t="s">
        <v>49</v>
      </c>
      <c r="L276" s="2" t="s">
        <v>1312</v>
      </c>
      <c r="M276" s="7" t="s">
        <v>1313</v>
      </c>
      <c r="N276" s="7" t="s">
        <v>1314</v>
      </c>
      <c r="O276" s="2"/>
      <c r="P276" s="2"/>
      <c r="Q276" s="2" t="str">
        <f>IF(SUMPRODUCT(--ISNUMBER(SEARCH('National Domains'!$A$2:$A$48,L276)))&gt;0,"Yes","No")</f>
        <v>Yes</v>
      </c>
      <c r="R276" s="2" t="str">
        <f>IF(COUNTIFS(Calibration!$A:$A,A276,Calibration!$B:$B,B276)&gt;0,"Yes","No")</f>
        <v>No</v>
      </c>
      <c r="S276" s="6"/>
    </row>
    <row r="277" spans="1:19" ht="34.5" customHeight="1" x14ac:dyDescent="0.2">
      <c r="A277" s="4">
        <v>100</v>
      </c>
      <c r="B277" s="4">
        <v>13</v>
      </c>
      <c r="C277" s="4" t="s">
        <v>206</v>
      </c>
      <c r="D277" s="4" t="s">
        <v>39</v>
      </c>
      <c r="E277" s="4">
        <v>20120826</v>
      </c>
      <c r="F277" s="4">
        <v>20120831</v>
      </c>
      <c r="G277" s="4">
        <v>3786.1</v>
      </c>
      <c r="H277" s="4">
        <v>2763.5</v>
      </c>
      <c r="I277" s="4">
        <v>9</v>
      </c>
      <c r="J277" s="4" t="s">
        <v>207</v>
      </c>
      <c r="K277" s="4" t="s">
        <v>49</v>
      </c>
      <c r="L277" s="4" t="s">
        <v>1315</v>
      </c>
      <c r="M277" s="5" t="s">
        <v>1316</v>
      </c>
      <c r="N277" s="5" t="s">
        <v>1317</v>
      </c>
      <c r="O277" s="4"/>
      <c r="P277" s="4"/>
      <c r="Q277" s="4" t="str">
        <f>IF(SUMPRODUCT(--ISNUMBER(SEARCH('National Domains'!$A$2:$A$48,L277)))&gt;0,"Yes","No")</f>
        <v>Yes</v>
      </c>
      <c r="R277" s="4" t="str">
        <f>IF(COUNTIFS(Calibration!$A:$A,A277,Calibration!$B:$B,B277)&gt;0,"Yes","No")</f>
        <v>Yes</v>
      </c>
      <c r="S277" s="6"/>
    </row>
    <row r="278" spans="1:19" ht="34.5" customHeight="1" x14ac:dyDescent="0.2">
      <c r="A278" s="2">
        <v>100</v>
      </c>
      <c r="B278" s="2">
        <v>14</v>
      </c>
      <c r="C278" s="2" t="s">
        <v>206</v>
      </c>
      <c r="D278" s="2" t="s">
        <v>39</v>
      </c>
      <c r="E278" s="2">
        <v>20120826</v>
      </c>
      <c r="F278" s="2">
        <v>20120831</v>
      </c>
      <c r="G278" s="2">
        <v>3786.1</v>
      </c>
      <c r="H278" s="2">
        <v>2763.5</v>
      </c>
      <c r="I278" s="2">
        <v>9</v>
      </c>
      <c r="J278" s="2" t="s">
        <v>207</v>
      </c>
      <c r="K278" s="2" t="s">
        <v>49</v>
      </c>
      <c r="L278" s="2" t="s">
        <v>1318</v>
      </c>
      <c r="M278" s="7" t="s">
        <v>1319</v>
      </c>
      <c r="N278" s="7" t="s">
        <v>1320</v>
      </c>
      <c r="O278" s="2"/>
      <c r="P278" s="2"/>
      <c r="Q278" s="2" t="str">
        <f>IF(SUMPRODUCT(--ISNUMBER(SEARCH('National Domains'!$A$2:$A$48,L278)))&gt;0,"Yes","No")</f>
        <v>No</v>
      </c>
      <c r="R278" s="2" t="str">
        <f>IF(COUNTIFS(Calibration!$A:$A,A278,Calibration!$B:$B,B278)&gt;0,"Yes","No")</f>
        <v>No</v>
      </c>
      <c r="S278" s="6"/>
    </row>
    <row r="279" spans="1:19" ht="34.5" customHeight="1" x14ac:dyDescent="0.2">
      <c r="A279" s="2">
        <v>100</v>
      </c>
      <c r="B279" s="2">
        <v>15</v>
      </c>
      <c r="C279" s="2" t="s">
        <v>206</v>
      </c>
      <c r="D279" s="2" t="s">
        <v>39</v>
      </c>
      <c r="E279" s="2">
        <v>20120826</v>
      </c>
      <c r="F279" s="2">
        <v>20120831</v>
      </c>
      <c r="G279" s="2">
        <v>3786.1</v>
      </c>
      <c r="H279" s="2">
        <v>2763.5</v>
      </c>
      <c r="I279" s="2">
        <v>9</v>
      </c>
      <c r="J279" s="2" t="s">
        <v>207</v>
      </c>
      <c r="K279" s="2" t="s">
        <v>49</v>
      </c>
      <c r="L279" s="2" t="s">
        <v>1321</v>
      </c>
      <c r="M279" s="7" t="s">
        <v>1322</v>
      </c>
      <c r="N279" s="7" t="s">
        <v>1323</v>
      </c>
      <c r="O279" s="2"/>
      <c r="P279" s="2"/>
      <c r="Q279" s="2" t="str">
        <f>IF(SUMPRODUCT(--ISNUMBER(SEARCH('National Domains'!$A$2:$A$48,L279)))&gt;0,"Yes","No")</f>
        <v>Yes</v>
      </c>
      <c r="R279" s="2" t="str">
        <f>IF(COUNTIFS(Calibration!$A:$A,A279,Calibration!$B:$B,B279)&gt;0,"Yes","No")</f>
        <v>No</v>
      </c>
      <c r="S279" s="6"/>
    </row>
    <row r="280" spans="1:19" ht="34.5" customHeight="1" x14ac:dyDescent="0.2">
      <c r="A280" s="2">
        <v>100</v>
      </c>
      <c r="B280" s="2">
        <v>16</v>
      </c>
      <c r="C280" s="2" t="s">
        <v>206</v>
      </c>
      <c r="D280" s="2" t="s">
        <v>39</v>
      </c>
      <c r="E280" s="2">
        <v>20120826</v>
      </c>
      <c r="F280" s="2">
        <v>20120831</v>
      </c>
      <c r="G280" s="2">
        <v>3786.1</v>
      </c>
      <c r="H280" s="2">
        <v>2763.5</v>
      </c>
      <c r="I280" s="2">
        <v>9</v>
      </c>
      <c r="J280" s="2" t="s">
        <v>207</v>
      </c>
      <c r="K280" s="2" t="s">
        <v>49</v>
      </c>
      <c r="L280" s="2" t="s">
        <v>1324</v>
      </c>
      <c r="M280" s="7" t="s">
        <v>1325</v>
      </c>
      <c r="N280" s="7" t="s">
        <v>1326</v>
      </c>
      <c r="O280" s="2"/>
      <c r="P280" s="2"/>
      <c r="Q280" s="2" t="str">
        <f>IF(SUMPRODUCT(--ISNUMBER(SEARCH('National Domains'!$A$2:$A$48,L280)))&gt;0,"Yes","No")</f>
        <v>No</v>
      </c>
      <c r="R280" s="2" t="str">
        <f>IF(COUNTIFS(Calibration!$A:$A,A280,Calibration!$B:$B,B280)&gt;0,"Yes","No")</f>
        <v>No</v>
      </c>
      <c r="S280" s="6"/>
    </row>
    <row r="281" spans="1:19" ht="34.5" customHeight="1" x14ac:dyDescent="0.2">
      <c r="A281" s="2">
        <v>100</v>
      </c>
      <c r="B281" s="2">
        <v>17</v>
      </c>
      <c r="C281" s="2" t="s">
        <v>206</v>
      </c>
      <c r="D281" s="2" t="s">
        <v>39</v>
      </c>
      <c r="E281" s="2">
        <v>20120826</v>
      </c>
      <c r="F281" s="2">
        <v>20120831</v>
      </c>
      <c r="G281" s="2">
        <v>3786.1</v>
      </c>
      <c r="H281" s="2">
        <v>2763.5</v>
      </c>
      <c r="I281" s="2">
        <v>9</v>
      </c>
      <c r="J281" s="2" t="s">
        <v>207</v>
      </c>
      <c r="K281" s="2" t="s">
        <v>49</v>
      </c>
      <c r="L281" s="2" t="s">
        <v>1327</v>
      </c>
      <c r="M281" s="7" t="s">
        <v>1328</v>
      </c>
      <c r="N281" s="7" t="s">
        <v>1329</v>
      </c>
      <c r="O281" s="2"/>
      <c r="P281" s="2"/>
      <c r="Q281" s="2" t="str">
        <f>IF(SUMPRODUCT(--ISNUMBER(SEARCH('National Domains'!$A$2:$A$48,L281)))&gt;0,"Yes","No")</f>
        <v>No</v>
      </c>
      <c r="R281" s="2" t="str">
        <f>IF(COUNTIFS(Calibration!$A:$A,A281,Calibration!$B:$B,B281)&gt;0,"Yes","No")</f>
        <v>No</v>
      </c>
      <c r="S281" s="6"/>
    </row>
    <row r="282" spans="1:19" ht="34.5" customHeight="1" x14ac:dyDescent="0.2">
      <c r="A282" s="2">
        <v>101</v>
      </c>
      <c r="B282" s="2">
        <v>1</v>
      </c>
      <c r="C282" s="2" t="s">
        <v>208</v>
      </c>
      <c r="D282" s="2" t="s">
        <v>39</v>
      </c>
      <c r="E282" s="2">
        <v>20121030</v>
      </c>
      <c r="F282" s="2">
        <v>20121031</v>
      </c>
      <c r="G282" s="2">
        <v>88453.9</v>
      </c>
      <c r="H282" s="2">
        <v>65039.6</v>
      </c>
      <c r="I282" s="2">
        <v>159</v>
      </c>
      <c r="J282" s="2" t="s">
        <v>209</v>
      </c>
      <c r="K282" s="2" t="s">
        <v>210</v>
      </c>
      <c r="L282" s="2" t="s">
        <v>1330</v>
      </c>
      <c r="M282" s="7" t="s">
        <v>1331</v>
      </c>
      <c r="N282" s="7" t="s">
        <v>1332</v>
      </c>
      <c r="O282" s="2"/>
      <c r="P282" s="2"/>
      <c r="Q282" s="2" t="str">
        <f>IF(SUMPRODUCT(--ISNUMBER(SEARCH('National Domains'!$A$2:$A$48,L282)))&gt;0,"Yes","No")</f>
        <v>No</v>
      </c>
      <c r="R282" s="2" t="str">
        <f>IF(COUNTIFS(Calibration!$A:$A,A282,Calibration!$B:$B,B282)&gt;0,"Yes","No")</f>
        <v>No</v>
      </c>
      <c r="S282" s="6"/>
    </row>
    <row r="283" spans="1:19" ht="34.5" customHeight="1" x14ac:dyDescent="0.2">
      <c r="A283" s="2">
        <v>101</v>
      </c>
      <c r="B283" s="2">
        <v>2</v>
      </c>
      <c r="C283" s="2" t="s">
        <v>208</v>
      </c>
      <c r="D283" s="2" t="s">
        <v>39</v>
      </c>
      <c r="E283" s="2">
        <v>20121030</v>
      </c>
      <c r="F283" s="2">
        <v>20121031</v>
      </c>
      <c r="G283" s="2">
        <v>88453.9</v>
      </c>
      <c r="H283" s="2">
        <v>65039.6</v>
      </c>
      <c r="I283" s="2">
        <v>159</v>
      </c>
      <c r="J283" s="2" t="s">
        <v>209</v>
      </c>
      <c r="K283" s="2" t="s">
        <v>210</v>
      </c>
      <c r="L283" s="2" t="s">
        <v>1333</v>
      </c>
      <c r="M283" s="7" t="s">
        <v>1334</v>
      </c>
      <c r="N283" s="7" t="s">
        <v>1335</v>
      </c>
      <c r="O283" s="2"/>
      <c r="P283" s="2"/>
      <c r="Q283" s="2" t="str">
        <f>IF(SUMPRODUCT(--ISNUMBER(SEARCH('National Domains'!$A$2:$A$48,L283)))&gt;0,"Yes","No")</f>
        <v>Yes</v>
      </c>
      <c r="R283" s="2" t="str">
        <f>IF(COUNTIFS(Calibration!$A:$A,A283,Calibration!$B:$B,B283)&gt;0,"Yes","No")</f>
        <v>No</v>
      </c>
      <c r="S283" s="6"/>
    </row>
    <row r="284" spans="1:19" ht="34.5" customHeight="1" x14ac:dyDescent="0.2">
      <c r="A284" s="2">
        <v>101</v>
      </c>
      <c r="B284" s="2">
        <v>3</v>
      </c>
      <c r="C284" s="2" t="s">
        <v>208</v>
      </c>
      <c r="D284" s="2" t="s">
        <v>39</v>
      </c>
      <c r="E284" s="2">
        <v>20121030</v>
      </c>
      <c r="F284" s="2">
        <v>20121031</v>
      </c>
      <c r="G284" s="2">
        <v>88453.9</v>
      </c>
      <c r="H284" s="2">
        <v>65039.6</v>
      </c>
      <c r="I284" s="2">
        <v>159</v>
      </c>
      <c r="J284" s="2" t="s">
        <v>209</v>
      </c>
      <c r="K284" s="2" t="s">
        <v>210</v>
      </c>
      <c r="L284" s="2" t="s">
        <v>1336</v>
      </c>
      <c r="M284" s="7" t="s">
        <v>1337</v>
      </c>
      <c r="N284" s="7" t="s">
        <v>1338</v>
      </c>
      <c r="O284" s="2"/>
      <c r="P284" s="2"/>
      <c r="Q284" s="2" t="str">
        <f>IF(SUMPRODUCT(--ISNUMBER(SEARCH('National Domains'!$A$2:$A$48,L284)))&gt;0,"Yes","No")</f>
        <v>Yes</v>
      </c>
      <c r="R284" s="2" t="str">
        <f>IF(COUNTIFS(Calibration!$A:$A,A284,Calibration!$B:$B,B284)&gt;0,"Yes","No")</f>
        <v>No</v>
      </c>
      <c r="S284" s="6"/>
    </row>
    <row r="285" spans="1:19" ht="34.5" customHeight="1" x14ac:dyDescent="0.2">
      <c r="A285" s="2">
        <v>101</v>
      </c>
      <c r="B285" s="2">
        <v>4</v>
      </c>
      <c r="C285" s="2" t="s">
        <v>208</v>
      </c>
      <c r="D285" s="2" t="s">
        <v>39</v>
      </c>
      <c r="E285" s="2">
        <v>20121030</v>
      </c>
      <c r="F285" s="2">
        <v>20121031</v>
      </c>
      <c r="G285" s="2">
        <v>88453.9</v>
      </c>
      <c r="H285" s="2">
        <v>65039.6</v>
      </c>
      <c r="I285" s="2">
        <v>159</v>
      </c>
      <c r="J285" s="2" t="s">
        <v>209</v>
      </c>
      <c r="K285" s="2" t="s">
        <v>210</v>
      </c>
      <c r="L285" s="2" t="s">
        <v>1339</v>
      </c>
      <c r="M285" s="7" t="s">
        <v>1340</v>
      </c>
      <c r="N285" s="7" t="s">
        <v>1341</v>
      </c>
      <c r="O285" s="2"/>
      <c r="P285" s="2"/>
      <c r="Q285" s="2" t="str">
        <f>IF(SUMPRODUCT(--ISNUMBER(SEARCH('National Domains'!$A$2:$A$48,L285)))&gt;0,"Yes","No")</f>
        <v>No</v>
      </c>
      <c r="R285" s="2" t="str">
        <f>IF(COUNTIFS(Calibration!$A:$A,A285,Calibration!$B:$B,B285)&gt;0,"Yes","No")</f>
        <v>No</v>
      </c>
      <c r="S285" s="6"/>
    </row>
    <row r="286" spans="1:19" ht="34.5" customHeight="1" x14ac:dyDescent="0.2">
      <c r="A286" s="2">
        <v>102</v>
      </c>
      <c r="B286" s="2">
        <v>1</v>
      </c>
      <c r="C286" s="2" t="s">
        <v>211</v>
      </c>
      <c r="D286" s="2" t="s">
        <v>21</v>
      </c>
      <c r="E286" s="2">
        <v>20120601</v>
      </c>
      <c r="F286" s="2">
        <v>20121130</v>
      </c>
      <c r="G286" s="2">
        <v>2381.6999999999998</v>
      </c>
      <c r="H286" s="2">
        <v>1738.5</v>
      </c>
      <c r="I286" s="2">
        <v>8</v>
      </c>
      <c r="J286" s="2" t="s">
        <v>22</v>
      </c>
      <c r="K286" s="2" t="s">
        <v>23</v>
      </c>
      <c r="L286" s="2" t="s">
        <v>1342</v>
      </c>
      <c r="M286" s="7" t="s">
        <v>1343</v>
      </c>
      <c r="N286" s="7" t="s">
        <v>1344</v>
      </c>
      <c r="O286" s="2"/>
      <c r="P286" s="2"/>
      <c r="Q286" s="2" t="str">
        <f>IF(SUMPRODUCT(--ISNUMBER(SEARCH('National Domains'!$A$2:$A$48,L286)))&gt;0,"Yes","No")</f>
        <v>No</v>
      </c>
      <c r="R286" s="2" t="str">
        <f>IF(COUNTIFS(Calibration!$A:$A,A286,Calibration!$B:$B,B286)&gt;0,"Yes","No")</f>
        <v>No</v>
      </c>
      <c r="S286" s="6"/>
    </row>
    <row r="287" spans="1:19" ht="34.5" customHeight="1" x14ac:dyDescent="0.2">
      <c r="A287" s="2">
        <v>102</v>
      </c>
      <c r="B287" s="2">
        <v>2</v>
      </c>
      <c r="C287" s="2" t="s">
        <v>211</v>
      </c>
      <c r="D287" s="2" t="s">
        <v>21</v>
      </c>
      <c r="E287" s="2">
        <v>20120601</v>
      </c>
      <c r="F287" s="2">
        <v>20121130</v>
      </c>
      <c r="G287" s="2">
        <v>2381.6999999999998</v>
      </c>
      <c r="H287" s="2">
        <v>1738.5</v>
      </c>
      <c r="I287" s="2">
        <v>8</v>
      </c>
      <c r="J287" s="2" t="s">
        <v>22</v>
      </c>
      <c r="K287" s="2" t="s">
        <v>23</v>
      </c>
      <c r="L287" s="2" t="s">
        <v>1345</v>
      </c>
      <c r="M287" s="7" t="s">
        <v>1346</v>
      </c>
      <c r="N287" s="7" t="s">
        <v>1347</v>
      </c>
      <c r="O287" s="2"/>
      <c r="P287" s="2"/>
      <c r="Q287" s="2" t="str">
        <f>IF(SUMPRODUCT(--ISNUMBER(SEARCH('National Domains'!$A$2:$A$48,L287)))&gt;0,"Yes","No")</f>
        <v>No</v>
      </c>
      <c r="R287" s="2" t="str">
        <f>IF(COUNTIFS(Calibration!$A:$A,A287,Calibration!$B:$B,B287)&gt;0,"Yes","No")</f>
        <v>No</v>
      </c>
      <c r="S287" s="6"/>
    </row>
    <row r="288" spans="1:19" ht="34.5" customHeight="1" x14ac:dyDescent="0.2">
      <c r="A288" s="2">
        <v>102</v>
      </c>
      <c r="B288" s="2">
        <v>3</v>
      </c>
      <c r="C288" s="2" t="s">
        <v>211</v>
      </c>
      <c r="D288" s="2" t="s">
        <v>21</v>
      </c>
      <c r="E288" s="2">
        <v>20120601</v>
      </c>
      <c r="F288" s="2">
        <v>20121130</v>
      </c>
      <c r="G288" s="2">
        <v>2381.6999999999998</v>
      </c>
      <c r="H288" s="2">
        <v>1738.5</v>
      </c>
      <c r="I288" s="2">
        <v>8</v>
      </c>
      <c r="J288" s="2" t="s">
        <v>22</v>
      </c>
      <c r="K288" s="2" t="s">
        <v>23</v>
      </c>
      <c r="L288" s="2" t="s">
        <v>1348</v>
      </c>
      <c r="M288" s="7" t="s">
        <v>1349</v>
      </c>
      <c r="N288" s="7" t="s">
        <v>1350</v>
      </c>
      <c r="O288" s="2"/>
      <c r="P288" s="2"/>
      <c r="Q288" s="2" t="str">
        <f>IF(SUMPRODUCT(--ISNUMBER(SEARCH('National Domains'!$A$2:$A$48,L288)))&gt;0,"Yes","No")</f>
        <v>Yes</v>
      </c>
      <c r="R288" s="2" t="str">
        <f>IF(COUNTIFS(Calibration!$A:$A,A288,Calibration!$B:$B,B288)&gt;0,"Yes","No")</f>
        <v>No</v>
      </c>
      <c r="S288" s="6"/>
    </row>
    <row r="289" spans="1:19" ht="34.5" customHeight="1" x14ac:dyDescent="0.2">
      <c r="A289" s="2">
        <v>102</v>
      </c>
      <c r="B289" s="2">
        <v>4</v>
      </c>
      <c r="C289" s="2" t="s">
        <v>211</v>
      </c>
      <c r="D289" s="2" t="s">
        <v>21</v>
      </c>
      <c r="E289" s="2">
        <v>20120601</v>
      </c>
      <c r="F289" s="2">
        <v>20121130</v>
      </c>
      <c r="G289" s="2">
        <v>2381.6999999999998</v>
      </c>
      <c r="H289" s="2">
        <v>1738.5</v>
      </c>
      <c r="I289" s="2">
        <v>8</v>
      </c>
      <c r="J289" s="2" t="s">
        <v>22</v>
      </c>
      <c r="K289" s="2" t="s">
        <v>23</v>
      </c>
      <c r="L289" s="2" t="s">
        <v>1351</v>
      </c>
      <c r="M289" s="7" t="s">
        <v>1352</v>
      </c>
      <c r="N289" s="7" t="s">
        <v>1353</v>
      </c>
      <c r="O289" s="2"/>
      <c r="P289" s="2"/>
      <c r="Q289" s="2" t="str">
        <f>IF(SUMPRODUCT(--ISNUMBER(SEARCH('National Domains'!$A$2:$A$48,L289)))&gt;0,"Yes","No")</f>
        <v>Yes</v>
      </c>
      <c r="R289" s="2" t="str">
        <f>IF(COUNTIFS(Calibration!$A:$A,A289,Calibration!$B:$B,B289)&gt;0,"Yes","No")</f>
        <v>No</v>
      </c>
      <c r="S289" s="6"/>
    </row>
    <row r="290" spans="1:19" ht="34.5" customHeight="1" x14ac:dyDescent="0.2">
      <c r="A290" s="2">
        <v>102</v>
      </c>
      <c r="B290" s="2">
        <v>5</v>
      </c>
      <c r="C290" s="2" t="s">
        <v>211</v>
      </c>
      <c r="D290" s="2" t="s">
        <v>21</v>
      </c>
      <c r="E290" s="2">
        <v>20120601</v>
      </c>
      <c r="F290" s="2">
        <v>20121130</v>
      </c>
      <c r="G290" s="2">
        <v>2381.6999999999998</v>
      </c>
      <c r="H290" s="2">
        <v>1738.5</v>
      </c>
      <c r="I290" s="2">
        <v>8</v>
      </c>
      <c r="J290" s="2" t="s">
        <v>22</v>
      </c>
      <c r="K290" s="2" t="s">
        <v>23</v>
      </c>
      <c r="L290" s="2" t="s">
        <v>1354</v>
      </c>
      <c r="M290" s="7" t="s">
        <v>1355</v>
      </c>
      <c r="N290" s="7" t="s">
        <v>1356</v>
      </c>
      <c r="O290" s="2"/>
      <c r="P290" s="2"/>
      <c r="Q290" s="2" t="str">
        <f>IF(SUMPRODUCT(--ISNUMBER(SEARCH('National Domains'!$A$2:$A$48,L290)))&gt;0,"Yes","No")</f>
        <v>Yes</v>
      </c>
      <c r="R290" s="2" t="str">
        <f>IF(COUNTIFS(Calibration!$A:$A,A290,Calibration!$B:$B,B290)&gt;0,"Yes","No")</f>
        <v>No</v>
      </c>
      <c r="S290" s="6"/>
    </row>
    <row r="291" spans="1:19" ht="34.5" customHeight="1" x14ac:dyDescent="0.2">
      <c r="A291" s="2">
        <v>102</v>
      </c>
      <c r="B291" s="2">
        <v>6</v>
      </c>
      <c r="C291" s="2" t="s">
        <v>211</v>
      </c>
      <c r="D291" s="2" t="s">
        <v>21</v>
      </c>
      <c r="E291" s="2">
        <v>20120601</v>
      </c>
      <c r="F291" s="2">
        <v>20121130</v>
      </c>
      <c r="G291" s="2">
        <v>2381.6999999999998</v>
      </c>
      <c r="H291" s="2">
        <v>1738.5</v>
      </c>
      <c r="I291" s="2">
        <v>8</v>
      </c>
      <c r="J291" s="2" t="s">
        <v>22</v>
      </c>
      <c r="K291" s="2" t="s">
        <v>23</v>
      </c>
      <c r="L291" s="2" t="s">
        <v>1357</v>
      </c>
      <c r="M291" s="7" t="s">
        <v>1358</v>
      </c>
      <c r="N291" s="7" t="s">
        <v>1359</v>
      </c>
      <c r="O291" s="2"/>
      <c r="P291" s="2"/>
      <c r="Q291" s="2" t="str">
        <f>IF(SUMPRODUCT(--ISNUMBER(SEARCH('National Domains'!$A$2:$A$48,L291)))&gt;0,"Yes","No")</f>
        <v>Yes</v>
      </c>
      <c r="R291" s="2" t="str">
        <f>IF(COUNTIFS(Calibration!$A:$A,A291,Calibration!$B:$B,B291)&gt;0,"Yes","No")</f>
        <v>No</v>
      </c>
      <c r="S291" s="6"/>
    </row>
    <row r="292" spans="1:19" ht="34.5" customHeight="1" x14ac:dyDescent="0.2">
      <c r="A292" s="2">
        <v>102</v>
      </c>
      <c r="B292" s="2">
        <v>7</v>
      </c>
      <c r="C292" s="2" t="s">
        <v>211</v>
      </c>
      <c r="D292" s="2" t="s">
        <v>21</v>
      </c>
      <c r="E292" s="2">
        <v>20120601</v>
      </c>
      <c r="F292" s="2">
        <v>20121130</v>
      </c>
      <c r="G292" s="2">
        <v>2381.6999999999998</v>
      </c>
      <c r="H292" s="2">
        <v>1738.5</v>
      </c>
      <c r="I292" s="2">
        <v>8</v>
      </c>
      <c r="J292" s="2" t="s">
        <v>22</v>
      </c>
      <c r="K292" s="2" t="s">
        <v>23</v>
      </c>
      <c r="L292" s="2" t="s">
        <v>1360</v>
      </c>
      <c r="M292" s="7" t="s">
        <v>1361</v>
      </c>
      <c r="N292" s="7" t="s">
        <v>1362</v>
      </c>
      <c r="O292" s="2"/>
      <c r="P292" s="2"/>
      <c r="Q292" s="2" t="str">
        <f>IF(SUMPRODUCT(--ISNUMBER(SEARCH('National Domains'!$A$2:$A$48,L292)))&gt;0,"Yes","No")</f>
        <v>Yes</v>
      </c>
      <c r="R292" s="2" t="str">
        <f>IF(COUNTIFS(Calibration!$A:$A,A292,Calibration!$B:$B,B292)&gt;0,"Yes","No")</f>
        <v>No</v>
      </c>
      <c r="S292" s="6"/>
    </row>
    <row r="293" spans="1:19" ht="34.5" customHeight="1" x14ac:dyDescent="0.2">
      <c r="A293" s="2">
        <v>102</v>
      </c>
      <c r="B293" s="2">
        <v>8</v>
      </c>
      <c r="C293" s="2" t="s">
        <v>211</v>
      </c>
      <c r="D293" s="2" t="s">
        <v>21</v>
      </c>
      <c r="E293" s="2">
        <v>20120601</v>
      </c>
      <c r="F293" s="2">
        <v>20121130</v>
      </c>
      <c r="G293" s="2">
        <v>2381.6999999999998</v>
      </c>
      <c r="H293" s="2">
        <v>1738.5</v>
      </c>
      <c r="I293" s="2">
        <v>8</v>
      </c>
      <c r="J293" s="2" t="s">
        <v>22</v>
      </c>
      <c r="K293" s="2" t="s">
        <v>23</v>
      </c>
      <c r="L293" s="2" t="s">
        <v>1363</v>
      </c>
      <c r="M293" s="7" t="s">
        <v>1364</v>
      </c>
      <c r="N293" s="7" t="s">
        <v>1365</v>
      </c>
      <c r="O293" s="2"/>
      <c r="P293" s="2"/>
      <c r="Q293" s="2" t="str">
        <f>IF(SUMPRODUCT(--ISNUMBER(SEARCH('National Domains'!$A$2:$A$48,L293)))&gt;0,"Yes","No")</f>
        <v>No</v>
      </c>
      <c r="R293" s="2" t="str">
        <f>IF(COUNTIFS(Calibration!$A:$A,A293,Calibration!$B:$B,B293)&gt;0,"Yes","No")</f>
        <v>No</v>
      </c>
      <c r="S293" s="6"/>
    </row>
    <row r="294" spans="1:19" ht="23.25" customHeight="1" x14ac:dyDescent="0.2">
      <c r="A294" s="2">
        <v>102</v>
      </c>
      <c r="B294" s="2">
        <v>9</v>
      </c>
      <c r="C294" s="2" t="s">
        <v>211</v>
      </c>
      <c r="D294" s="2" t="s">
        <v>21</v>
      </c>
      <c r="E294" s="2">
        <v>20120601</v>
      </c>
      <c r="F294" s="2">
        <v>20121130</v>
      </c>
      <c r="G294" s="2">
        <v>2381.6999999999998</v>
      </c>
      <c r="H294" s="2">
        <v>1738.5</v>
      </c>
      <c r="I294" s="2">
        <v>8</v>
      </c>
      <c r="J294" s="2" t="s">
        <v>22</v>
      </c>
      <c r="K294" s="2" t="s">
        <v>23</v>
      </c>
      <c r="L294" s="2" t="s">
        <v>1366</v>
      </c>
      <c r="M294" s="7" t="s">
        <v>1367</v>
      </c>
      <c r="N294" s="7" t="s">
        <v>1368</v>
      </c>
      <c r="O294" s="2"/>
      <c r="P294" s="2"/>
      <c r="Q294" s="2" t="str">
        <f>IF(SUMPRODUCT(--ISNUMBER(SEARCH('National Domains'!$A$2:$A$48,L294)))&gt;0,"Yes","No")</f>
        <v>Yes</v>
      </c>
      <c r="R294" s="2" t="str">
        <f>IF(COUNTIFS(Calibration!$A:$A,A294,Calibration!$B:$B,B294)&gt;0,"Yes","No")</f>
        <v>No</v>
      </c>
      <c r="S294" s="6"/>
    </row>
    <row r="295" spans="1:19" ht="34.5" customHeight="1" x14ac:dyDescent="0.2">
      <c r="A295" s="2">
        <v>102</v>
      </c>
      <c r="B295" s="2">
        <v>10</v>
      </c>
      <c r="C295" s="2" t="s">
        <v>211</v>
      </c>
      <c r="D295" s="2" t="s">
        <v>21</v>
      </c>
      <c r="E295" s="2">
        <v>20120601</v>
      </c>
      <c r="F295" s="2">
        <v>20121130</v>
      </c>
      <c r="G295" s="2">
        <v>2381.6999999999998</v>
      </c>
      <c r="H295" s="2">
        <v>1738.5</v>
      </c>
      <c r="I295" s="2">
        <v>8</v>
      </c>
      <c r="J295" s="2" t="s">
        <v>22</v>
      </c>
      <c r="K295" s="2" t="s">
        <v>23</v>
      </c>
      <c r="L295" s="2" t="s">
        <v>1369</v>
      </c>
      <c r="M295" s="7" t="s">
        <v>1370</v>
      </c>
      <c r="N295" s="7" t="s">
        <v>1371</v>
      </c>
      <c r="O295" s="2"/>
      <c r="P295" s="2"/>
      <c r="Q295" s="2" t="str">
        <f>IF(SUMPRODUCT(--ISNUMBER(SEARCH('National Domains'!$A$2:$A$48,L295)))&gt;0,"Yes","No")</f>
        <v>Yes</v>
      </c>
      <c r="R295" s="2" t="str">
        <f>IF(COUNTIFS(Calibration!$A:$A,A295,Calibration!$B:$B,B295)&gt;0,"Yes","No")</f>
        <v>No</v>
      </c>
      <c r="S295" s="6"/>
    </row>
    <row r="296" spans="1:19" ht="34.5" customHeight="1" x14ac:dyDescent="0.2">
      <c r="A296" s="2">
        <v>102</v>
      </c>
      <c r="B296" s="2">
        <v>11</v>
      </c>
      <c r="C296" s="2" t="s">
        <v>211</v>
      </c>
      <c r="D296" s="2" t="s">
        <v>21</v>
      </c>
      <c r="E296" s="2">
        <v>20120601</v>
      </c>
      <c r="F296" s="2">
        <v>20121130</v>
      </c>
      <c r="G296" s="2">
        <v>2381.6999999999998</v>
      </c>
      <c r="H296" s="2">
        <v>1738.5</v>
      </c>
      <c r="I296" s="2">
        <v>8</v>
      </c>
      <c r="J296" s="2" t="s">
        <v>22</v>
      </c>
      <c r="K296" s="2" t="s">
        <v>23</v>
      </c>
      <c r="L296" s="2" t="s">
        <v>1372</v>
      </c>
      <c r="M296" s="7" t="s">
        <v>1373</v>
      </c>
      <c r="N296" s="7" t="s">
        <v>1374</v>
      </c>
      <c r="O296" s="2"/>
      <c r="P296" s="2"/>
      <c r="Q296" s="2" t="str">
        <f>IF(SUMPRODUCT(--ISNUMBER(SEARCH('National Domains'!$A$2:$A$48,L296)))&gt;0,"Yes","No")</f>
        <v>No</v>
      </c>
      <c r="R296" s="2" t="str">
        <f>IF(COUNTIFS(Calibration!$A:$A,A296,Calibration!$B:$B,B296)&gt;0,"Yes","No")</f>
        <v>No</v>
      </c>
      <c r="S296" s="6"/>
    </row>
    <row r="297" spans="1:19" ht="34.5" customHeight="1" x14ac:dyDescent="0.2">
      <c r="A297" s="2">
        <v>102</v>
      </c>
      <c r="B297" s="2">
        <v>12</v>
      </c>
      <c r="C297" s="2" t="s">
        <v>211</v>
      </c>
      <c r="D297" s="2" t="s">
        <v>21</v>
      </c>
      <c r="E297" s="2">
        <v>20120601</v>
      </c>
      <c r="F297" s="2">
        <v>20121130</v>
      </c>
      <c r="G297" s="2">
        <v>2381.6999999999998</v>
      </c>
      <c r="H297" s="2">
        <v>1738.5</v>
      </c>
      <c r="I297" s="2">
        <v>8</v>
      </c>
      <c r="J297" s="2" t="s">
        <v>22</v>
      </c>
      <c r="K297" s="2" t="s">
        <v>23</v>
      </c>
      <c r="L297" s="2" t="s">
        <v>1375</v>
      </c>
      <c r="M297" s="7" t="s">
        <v>1376</v>
      </c>
      <c r="N297" s="7" t="s">
        <v>1377</v>
      </c>
      <c r="O297" s="2"/>
      <c r="P297" s="2"/>
      <c r="Q297" s="2" t="str">
        <f>IF(SUMPRODUCT(--ISNUMBER(SEARCH('National Domains'!$A$2:$A$48,L297)))&gt;0,"Yes","No")</f>
        <v>No</v>
      </c>
      <c r="R297" s="2" t="str">
        <f>IF(COUNTIFS(Calibration!$A:$A,A297,Calibration!$B:$B,B297)&gt;0,"Yes","No")</f>
        <v>No</v>
      </c>
      <c r="S297" s="6"/>
    </row>
    <row r="298" spans="1:19" ht="34.5" customHeight="1" x14ac:dyDescent="0.2">
      <c r="A298" s="2">
        <v>102</v>
      </c>
      <c r="B298" s="2">
        <v>13</v>
      </c>
      <c r="C298" s="2" t="s">
        <v>211</v>
      </c>
      <c r="D298" s="2" t="s">
        <v>21</v>
      </c>
      <c r="E298" s="2">
        <v>20120601</v>
      </c>
      <c r="F298" s="2">
        <v>20121130</v>
      </c>
      <c r="G298" s="2">
        <v>2381.6999999999998</v>
      </c>
      <c r="H298" s="2">
        <v>1738.5</v>
      </c>
      <c r="I298" s="2">
        <v>8</v>
      </c>
      <c r="J298" s="2" t="s">
        <v>22</v>
      </c>
      <c r="K298" s="2" t="s">
        <v>23</v>
      </c>
      <c r="L298" s="2" t="s">
        <v>1378</v>
      </c>
      <c r="M298" s="7" t="s">
        <v>1379</v>
      </c>
      <c r="N298" s="7" t="s">
        <v>1380</v>
      </c>
      <c r="O298" s="2"/>
      <c r="P298" s="2"/>
      <c r="Q298" s="2" t="str">
        <f>IF(SUMPRODUCT(--ISNUMBER(SEARCH('National Domains'!$A$2:$A$48,L298)))&gt;0,"Yes","No")</f>
        <v>No</v>
      </c>
      <c r="R298" s="2" t="str">
        <f>IF(COUNTIFS(Calibration!$A:$A,A298,Calibration!$B:$B,B298)&gt;0,"Yes","No")</f>
        <v>No</v>
      </c>
      <c r="S298" s="6"/>
    </row>
    <row r="299" spans="1:19" ht="34.5" customHeight="1" x14ac:dyDescent="0.2">
      <c r="A299" s="2">
        <v>102</v>
      </c>
      <c r="B299" s="2">
        <v>14</v>
      </c>
      <c r="C299" s="2" t="s">
        <v>211</v>
      </c>
      <c r="D299" s="2" t="s">
        <v>21</v>
      </c>
      <c r="E299" s="2">
        <v>20120601</v>
      </c>
      <c r="F299" s="2">
        <v>20121130</v>
      </c>
      <c r="G299" s="2">
        <v>2381.6999999999998</v>
      </c>
      <c r="H299" s="2">
        <v>1738.5</v>
      </c>
      <c r="I299" s="2">
        <v>8</v>
      </c>
      <c r="J299" s="2" t="s">
        <v>22</v>
      </c>
      <c r="K299" s="2" t="s">
        <v>23</v>
      </c>
      <c r="L299" s="2" t="s">
        <v>1381</v>
      </c>
      <c r="M299" s="7" t="s">
        <v>1382</v>
      </c>
      <c r="N299" s="7" t="s">
        <v>1383</v>
      </c>
      <c r="O299" s="2"/>
      <c r="P299" s="2"/>
      <c r="Q299" s="2" t="str">
        <f>IF(SUMPRODUCT(--ISNUMBER(SEARCH('National Domains'!$A$2:$A$48,L299)))&gt;0,"Yes","No")</f>
        <v>No</v>
      </c>
      <c r="R299" s="2" t="str">
        <f>IF(COUNTIFS(Calibration!$A:$A,A299,Calibration!$B:$B,B299)&gt;0,"Yes","No")</f>
        <v>No</v>
      </c>
      <c r="S299" s="6"/>
    </row>
    <row r="300" spans="1:19" ht="34.5" customHeight="1" x14ac:dyDescent="0.2">
      <c r="A300" s="2">
        <v>102</v>
      </c>
      <c r="B300" s="2">
        <v>15</v>
      </c>
      <c r="C300" s="2" t="s">
        <v>211</v>
      </c>
      <c r="D300" s="2" t="s">
        <v>21</v>
      </c>
      <c r="E300" s="2">
        <v>20120601</v>
      </c>
      <c r="F300" s="2">
        <v>20121130</v>
      </c>
      <c r="G300" s="2">
        <v>2381.6999999999998</v>
      </c>
      <c r="H300" s="2">
        <v>1738.5</v>
      </c>
      <c r="I300" s="2">
        <v>8</v>
      </c>
      <c r="J300" s="2" t="s">
        <v>22</v>
      </c>
      <c r="K300" s="2" t="s">
        <v>23</v>
      </c>
      <c r="L300" s="2" t="s">
        <v>1384</v>
      </c>
      <c r="M300" s="7" t="s">
        <v>1367</v>
      </c>
      <c r="N300" s="7" t="s">
        <v>1385</v>
      </c>
      <c r="O300" s="2"/>
      <c r="P300" s="2"/>
      <c r="Q300" s="2" t="str">
        <f>IF(SUMPRODUCT(--ISNUMBER(SEARCH('National Domains'!$A$2:$A$48,L300)))&gt;0,"Yes","No")</f>
        <v>Yes</v>
      </c>
      <c r="R300" s="2" t="str">
        <f>IF(COUNTIFS(Calibration!$A:$A,A300,Calibration!$B:$B,B300)&gt;0,"Yes","No")</f>
        <v>No</v>
      </c>
      <c r="S300" s="6"/>
    </row>
    <row r="301" spans="1:19" ht="34.5" customHeight="1" x14ac:dyDescent="0.2">
      <c r="A301" s="2">
        <v>102</v>
      </c>
      <c r="B301" s="2">
        <v>16</v>
      </c>
      <c r="C301" s="2" t="s">
        <v>211</v>
      </c>
      <c r="D301" s="2" t="s">
        <v>21</v>
      </c>
      <c r="E301" s="2">
        <v>20120601</v>
      </c>
      <c r="F301" s="2">
        <v>20121130</v>
      </c>
      <c r="G301" s="2">
        <v>2381.6999999999998</v>
      </c>
      <c r="H301" s="2">
        <v>1738.5</v>
      </c>
      <c r="I301" s="2">
        <v>8</v>
      </c>
      <c r="J301" s="2" t="s">
        <v>22</v>
      </c>
      <c r="K301" s="2" t="s">
        <v>23</v>
      </c>
      <c r="L301" s="2" t="s">
        <v>1386</v>
      </c>
      <c r="M301" s="7" t="s">
        <v>1387</v>
      </c>
      <c r="N301" s="7" t="s">
        <v>1388</v>
      </c>
      <c r="O301" s="2"/>
      <c r="P301" s="2"/>
      <c r="Q301" s="2" t="str">
        <f>IF(SUMPRODUCT(--ISNUMBER(SEARCH('National Domains'!$A$2:$A$48,L301)))&gt;0,"Yes","No")</f>
        <v>Yes</v>
      </c>
      <c r="R301" s="2" t="str">
        <f>IF(COUNTIFS(Calibration!$A:$A,A301,Calibration!$B:$B,B301)&gt;0,"Yes","No")</f>
        <v>No</v>
      </c>
      <c r="S301" s="6"/>
    </row>
    <row r="302" spans="1:19" ht="34.5" customHeight="1" x14ac:dyDescent="0.2">
      <c r="A302" s="2">
        <v>103</v>
      </c>
      <c r="B302" s="2">
        <v>1</v>
      </c>
      <c r="C302" s="2" t="s">
        <v>212</v>
      </c>
      <c r="D302" s="2" t="s">
        <v>29</v>
      </c>
      <c r="E302" s="2">
        <v>20120101</v>
      </c>
      <c r="F302" s="2">
        <v>20121231</v>
      </c>
      <c r="G302" s="2">
        <v>41705.199999999997</v>
      </c>
      <c r="H302" s="2">
        <v>30003.599999999999</v>
      </c>
      <c r="I302" s="2">
        <v>123</v>
      </c>
      <c r="J302" s="2" t="s">
        <v>43</v>
      </c>
      <c r="K302" s="2" t="s">
        <v>44</v>
      </c>
      <c r="L302" s="2" t="s">
        <v>1389</v>
      </c>
      <c r="M302" s="7" t="s">
        <v>1390</v>
      </c>
      <c r="N302" s="7" t="s">
        <v>1391</v>
      </c>
      <c r="O302" s="2"/>
      <c r="P302" s="2"/>
      <c r="Q302" s="2" t="str">
        <f>IF(SUMPRODUCT(--ISNUMBER(SEARCH('National Domains'!$A$2:$A$48,L302)))&gt;0,"Yes","No")</f>
        <v>Yes</v>
      </c>
      <c r="R302" s="2" t="str">
        <f>IF(COUNTIFS(Calibration!$A:$A,A302,Calibration!$B:$B,B302)&gt;0,"Yes","No")</f>
        <v>No</v>
      </c>
      <c r="S302" s="6"/>
    </row>
    <row r="303" spans="1:19" ht="34.5" customHeight="1" x14ac:dyDescent="0.2">
      <c r="A303" s="2">
        <v>103</v>
      </c>
      <c r="B303" s="2">
        <v>2</v>
      </c>
      <c r="C303" s="2" t="s">
        <v>212</v>
      </c>
      <c r="D303" s="2" t="s">
        <v>29</v>
      </c>
      <c r="E303" s="2">
        <v>20120101</v>
      </c>
      <c r="F303" s="2">
        <v>20121231</v>
      </c>
      <c r="G303" s="2">
        <v>41705.199999999997</v>
      </c>
      <c r="H303" s="2">
        <v>30003.599999999999</v>
      </c>
      <c r="I303" s="2">
        <v>123</v>
      </c>
      <c r="J303" s="2" t="s">
        <v>43</v>
      </c>
      <c r="K303" s="2" t="s">
        <v>44</v>
      </c>
      <c r="L303" s="2" t="s">
        <v>1392</v>
      </c>
      <c r="M303" s="7" t="s">
        <v>1393</v>
      </c>
      <c r="N303" s="7" t="s">
        <v>1394</v>
      </c>
      <c r="O303" s="2"/>
      <c r="P303" s="2"/>
      <c r="Q303" s="2" t="str">
        <f>IF(SUMPRODUCT(--ISNUMBER(SEARCH('National Domains'!$A$2:$A$48,L303)))&gt;0,"Yes","No")</f>
        <v>Yes</v>
      </c>
      <c r="R303" s="2" t="str">
        <f>IF(COUNTIFS(Calibration!$A:$A,A303,Calibration!$B:$B,B303)&gt;0,"Yes","No")</f>
        <v>No</v>
      </c>
      <c r="S303" s="6"/>
    </row>
    <row r="304" spans="1:19" ht="34.5" customHeight="1" x14ac:dyDescent="0.2">
      <c r="A304" s="2">
        <v>103</v>
      </c>
      <c r="B304" s="2">
        <v>3</v>
      </c>
      <c r="C304" s="2" t="s">
        <v>212</v>
      </c>
      <c r="D304" s="2" t="s">
        <v>29</v>
      </c>
      <c r="E304" s="2">
        <v>20120101</v>
      </c>
      <c r="F304" s="2">
        <v>20121231</v>
      </c>
      <c r="G304" s="2">
        <v>41705.199999999997</v>
      </c>
      <c r="H304" s="2">
        <v>30003.599999999999</v>
      </c>
      <c r="I304" s="2">
        <v>123</v>
      </c>
      <c r="J304" s="2" t="s">
        <v>43</v>
      </c>
      <c r="K304" s="2" t="s">
        <v>44</v>
      </c>
      <c r="L304" s="2" t="s">
        <v>1395</v>
      </c>
      <c r="M304" s="7" t="s">
        <v>1396</v>
      </c>
      <c r="N304" s="7" t="s">
        <v>1397</v>
      </c>
      <c r="O304" s="2"/>
      <c r="P304" s="2"/>
      <c r="Q304" s="2" t="str">
        <f>IF(SUMPRODUCT(--ISNUMBER(SEARCH('National Domains'!$A$2:$A$48,L304)))&gt;0,"Yes","No")</f>
        <v>Yes</v>
      </c>
      <c r="R304" s="2" t="str">
        <f>IF(COUNTIFS(Calibration!$A:$A,A304,Calibration!$B:$B,B304)&gt;0,"Yes","No")</f>
        <v>No</v>
      </c>
      <c r="S304" s="6"/>
    </row>
    <row r="305" spans="1:19" ht="34.5" customHeight="1" x14ac:dyDescent="0.2">
      <c r="A305" s="2">
        <v>103</v>
      </c>
      <c r="B305" s="2">
        <v>4</v>
      </c>
      <c r="C305" s="2" t="s">
        <v>212</v>
      </c>
      <c r="D305" s="2" t="s">
        <v>29</v>
      </c>
      <c r="E305" s="2">
        <v>20120101</v>
      </c>
      <c r="F305" s="2">
        <v>20121231</v>
      </c>
      <c r="G305" s="2">
        <v>41705.199999999997</v>
      </c>
      <c r="H305" s="2">
        <v>30003.599999999999</v>
      </c>
      <c r="I305" s="2">
        <v>123</v>
      </c>
      <c r="J305" s="2" t="s">
        <v>43</v>
      </c>
      <c r="K305" s="2" t="s">
        <v>44</v>
      </c>
      <c r="L305" s="2" t="s">
        <v>1398</v>
      </c>
      <c r="M305" s="7" t="s">
        <v>1399</v>
      </c>
      <c r="N305" s="7" t="s">
        <v>1400</v>
      </c>
      <c r="O305" s="2"/>
      <c r="P305" s="2"/>
      <c r="Q305" s="2" t="str">
        <f>IF(SUMPRODUCT(--ISNUMBER(SEARCH('National Domains'!$A$2:$A$48,L305)))&gt;0,"Yes","No")</f>
        <v>Yes</v>
      </c>
      <c r="R305" s="2" t="str">
        <f>IF(COUNTIFS(Calibration!$A:$A,A305,Calibration!$B:$B,B305)&gt;0,"Yes","No")</f>
        <v>No</v>
      </c>
      <c r="S305" s="6"/>
    </row>
    <row r="306" spans="1:19" ht="34.5" customHeight="1" x14ac:dyDescent="0.2">
      <c r="A306" s="2">
        <v>103</v>
      </c>
      <c r="B306" s="2">
        <v>5</v>
      </c>
      <c r="C306" s="2" t="s">
        <v>212</v>
      </c>
      <c r="D306" s="2" t="s">
        <v>29</v>
      </c>
      <c r="E306" s="2">
        <v>20120101</v>
      </c>
      <c r="F306" s="2">
        <v>20121231</v>
      </c>
      <c r="G306" s="2">
        <v>41705.199999999997</v>
      </c>
      <c r="H306" s="2">
        <v>30003.599999999999</v>
      </c>
      <c r="I306" s="2">
        <v>123</v>
      </c>
      <c r="J306" s="2" t="s">
        <v>43</v>
      </c>
      <c r="K306" s="2" t="s">
        <v>44</v>
      </c>
      <c r="L306" s="2" t="s">
        <v>1401</v>
      </c>
      <c r="M306" s="7" t="s">
        <v>1402</v>
      </c>
      <c r="N306" s="7" t="s">
        <v>1403</v>
      </c>
      <c r="O306" s="2"/>
      <c r="P306" s="2"/>
      <c r="Q306" s="2" t="str">
        <f>IF(SUMPRODUCT(--ISNUMBER(SEARCH('National Domains'!$A$2:$A$48,L306)))&gt;0,"Yes","No")</f>
        <v>Yes</v>
      </c>
      <c r="R306" s="2" t="str">
        <f>IF(COUNTIFS(Calibration!$A:$A,A306,Calibration!$B:$B,B306)&gt;0,"Yes","No")</f>
        <v>No</v>
      </c>
      <c r="S306" s="6"/>
    </row>
    <row r="307" spans="1:19" ht="34.5" customHeight="1" x14ac:dyDescent="0.2">
      <c r="A307" s="2">
        <v>103</v>
      </c>
      <c r="B307" s="2">
        <v>6</v>
      </c>
      <c r="C307" s="2" t="s">
        <v>212</v>
      </c>
      <c r="D307" s="2" t="s">
        <v>29</v>
      </c>
      <c r="E307" s="2">
        <v>20120101</v>
      </c>
      <c r="F307" s="2">
        <v>20121231</v>
      </c>
      <c r="G307" s="2">
        <v>41705.199999999997</v>
      </c>
      <c r="H307" s="2">
        <v>30003.599999999999</v>
      </c>
      <c r="I307" s="2">
        <v>123</v>
      </c>
      <c r="J307" s="2" t="s">
        <v>43</v>
      </c>
      <c r="K307" s="2" t="s">
        <v>44</v>
      </c>
      <c r="L307" s="2" t="s">
        <v>1404</v>
      </c>
      <c r="M307" s="7" t="s">
        <v>1405</v>
      </c>
      <c r="N307" s="7" t="s">
        <v>1406</v>
      </c>
      <c r="O307" s="2"/>
      <c r="P307" s="2"/>
      <c r="Q307" s="2" t="str">
        <f>IF(SUMPRODUCT(--ISNUMBER(SEARCH('National Domains'!$A$2:$A$48,L307)))&gt;0,"Yes","No")</f>
        <v>Yes</v>
      </c>
      <c r="R307" s="2" t="str">
        <f>IF(COUNTIFS(Calibration!$A:$A,A307,Calibration!$B:$B,B307)&gt;0,"Yes","No")</f>
        <v>No</v>
      </c>
      <c r="S307" s="6"/>
    </row>
    <row r="308" spans="1:19" ht="34.5" customHeight="1" x14ac:dyDescent="0.2">
      <c r="A308" s="2">
        <v>103</v>
      </c>
      <c r="B308" s="2">
        <v>7</v>
      </c>
      <c r="C308" s="2" t="s">
        <v>212</v>
      </c>
      <c r="D308" s="2" t="s">
        <v>29</v>
      </c>
      <c r="E308" s="2">
        <v>20120101</v>
      </c>
      <c r="F308" s="2">
        <v>20121231</v>
      </c>
      <c r="G308" s="2">
        <v>41705.199999999997</v>
      </c>
      <c r="H308" s="2">
        <v>30003.599999999999</v>
      </c>
      <c r="I308" s="2">
        <v>123</v>
      </c>
      <c r="J308" s="2" t="s">
        <v>43</v>
      </c>
      <c r="K308" s="2" t="s">
        <v>44</v>
      </c>
      <c r="L308" s="2" t="s">
        <v>1407</v>
      </c>
      <c r="M308" s="7" t="s">
        <v>1408</v>
      </c>
      <c r="N308" s="7" t="s">
        <v>1409</v>
      </c>
      <c r="O308" s="2"/>
      <c r="P308" s="2"/>
      <c r="Q308" s="2" t="str">
        <f>IF(SUMPRODUCT(--ISNUMBER(SEARCH('National Domains'!$A$2:$A$48,L308)))&gt;0,"Yes","No")</f>
        <v>Yes</v>
      </c>
      <c r="R308" s="2" t="str">
        <f>IF(COUNTIFS(Calibration!$A:$A,A308,Calibration!$B:$B,B308)&gt;0,"Yes","No")</f>
        <v>No</v>
      </c>
      <c r="S308" s="6"/>
    </row>
    <row r="309" spans="1:19" ht="34.5" customHeight="1" x14ac:dyDescent="0.2">
      <c r="A309" s="2">
        <v>103</v>
      </c>
      <c r="B309" s="2">
        <v>8</v>
      </c>
      <c r="C309" s="2" t="s">
        <v>212</v>
      </c>
      <c r="D309" s="2" t="s">
        <v>29</v>
      </c>
      <c r="E309" s="2">
        <v>20120101</v>
      </c>
      <c r="F309" s="2">
        <v>20121231</v>
      </c>
      <c r="G309" s="2">
        <v>41705.199999999997</v>
      </c>
      <c r="H309" s="2">
        <v>30003.599999999999</v>
      </c>
      <c r="I309" s="2">
        <v>123</v>
      </c>
      <c r="J309" s="2" t="s">
        <v>43</v>
      </c>
      <c r="K309" s="2" t="s">
        <v>44</v>
      </c>
      <c r="L309" s="2" t="s">
        <v>1410</v>
      </c>
      <c r="M309" s="7" t="s">
        <v>1411</v>
      </c>
      <c r="N309" s="7" t="s">
        <v>1412</v>
      </c>
      <c r="O309" s="2"/>
      <c r="P309" s="2"/>
      <c r="Q309" s="2" t="str">
        <f>IF(SUMPRODUCT(--ISNUMBER(SEARCH('National Domains'!$A$2:$A$48,L309)))&gt;0,"Yes","No")</f>
        <v>Yes</v>
      </c>
      <c r="R309" s="2" t="str">
        <f>IF(COUNTIFS(Calibration!$A:$A,A309,Calibration!$B:$B,B309)&gt;0,"Yes","No")</f>
        <v>No</v>
      </c>
      <c r="S309" s="6"/>
    </row>
    <row r="310" spans="1:19" ht="34.5" customHeight="1" x14ac:dyDescent="0.2">
      <c r="A310" s="2">
        <v>103</v>
      </c>
      <c r="B310" s="2">
        <v>9</v>
      </c>
      <c r="C310" s="2" t="s">
        <v>212</v>
      </c>
      <c r="D310" s="2" t="s">
        <v>29</v>
      </c>
      <c r="E310" s="2">
        <v>20120101</v>
      </c>
      <c r="F310" s="2">
        <v>20121231</v>
      </c>
      <c r="G310" s="2">
        <v>41705.199999999997</v>
      </c>
      <c r="H310" s="2">
        <v>30003.599999999999</v>
      </c>
      <c r="I310" s="2">
        <v>123</v>
      </c>
      <c r="J310" s="2" t="s">
        <v>43</v>
      </c>
      <c r="K310" s="2" t="s">
        <v>44</v>
      </c>
      <c r="L310" s="2" t="s">
        <v>1413</v>
      </c>
      <c r="M310" s="7" t="s">
        <v>1414</v>
      </c>
      <c r="N310" s="7" t="s">
        <v>1415</v>
      </c>
      <c r="O310" s="2"/>
      <c r="P310" s="2"/>
      <c r="Q310" s="2" t="str">
        <f>IF(SUMPRODUCT(--ISNUMBER(SEARCH('National Domains'!$A$2:$A$48,L310)))&gt;0,"Yes","No")</f>
        <v>Yes</v>
      </c>
      <c r="R310" s="2" t="str">
        <f>IF(COUNTIFS(Calibration!$A:$A,A310,Calibration!$B:$B,B310)&gt;0,"Yes","No")</f>
        <v>No</v>
      </c>
      <c r="S310" s="6"/>
    </row>
    <row r="311" spans="1:19" ht="34.5" customHeight="1" x14ac:dyDescent="0.2">
      <c r="A311" s="2">
        <v>103</v>
      </c>
      <c r="B311" s="2">
        <v>10</v>
      </c>
      <c r="C311" s="2" t="s">
        <v>212</v>
      </c>
      <c r="D311" s="2" t="s">
        <v>29</v>
      </c>
      <c r="E311" s="2">
        <v>20120101</v>
      </c>
      <c r="F311" s="2">
        <v>20121231</v>
      </c>
      <c r="G311" s="2">
        <v>41705.199999999997</v>
      </c>
      <c r="H311" s="2">
        <v>30003.599999999999</v>
      </c>
      <c r="I311" s="2">
        <v>123</v>
      </c>
      <c r="J311" s="2" t="s">
        <v>43</v>
      </c>
      <c r="K311" s="2" t="s">
        <v>44</v>
      </c>
      <c r="L311" s="2" t="s">
        <v>1416</v>
      </c>
      <c r="M311" s="7" t="s">
        <v>1417</v>
      </c>
      <c r="N311" s="7" t="s">
        <v>1418</v>
      </c>
      <c r="O311" s="2"/>
      <c r="P311" s="2"/>
      <c r="Q311" s="2" t="str">
        <f>IF(SUMPRODUCT(--ISNUMBER(SEARCH('National Domains'!$A$2:$A$48,L311)))&gt;0,"Yes","No")</f>
        <v>Yes</v>
      </c>
      <c r="R311" s="2" t="str">
        <f>IF(COUNTIFS(Calibration!$A:$A,A311,Calibration!$B:$B,B311)&gt;0,"Yes","No")</f>
        <v>No</v>
      </c>
      <c r="S311" s="6"/>
    </row>
    <row r="312" spans="1:19" ht="34.5" customHeight="1" x14ac:dyDescent="0.2">
      <c r="A312" s="2">
        <v>103</v>
      </c>
      <c r="B312" s="2">
        <v>11</v>
      </c>
      <c r="C312" s="2" t="s">
        <v>212</v>
      </c>
      <c r="D312" s="2" t="s">
        <v>29</v>
      </c>
      <c r="E312" s="2">
        <v>20120101</v>
      </c>
      <c r="F312" s="2">
        <v>20121231</v>
      </c>
      <c r="G312" s="2">
        <v>41705.199999999997</v>
      </c>
      <c r="H312" s="2">
        <v>30003.599999999999</v>
      </c>
      <c r="I312" s="2">
        <v>123</v>
      </c>
      <c r="J312" s="2" t="s">
        <v>43</v>
      </c>
      <c r="K312" s="2" t="s">
        <v>44</v>
      </c>
      <c r="L312" s="2" t="s">
        <v>1419</v>
      </c>
      <c r="M312" s="7" t="s">
        <v>1420</v>
      </c>
      <c r="N312" s="7" t="s">
        <v>1421</v>
      </c>
      <c r="O312" s="2"/>
      <c r="P312" s="2"/>
      <c r="Q312" s="2" t="str">
        <f>IF(SUMPRODUCT(--ISNUMBER(SEARCH('National Domains'!$A$2:$A$48,L312)))&gt;0,"Yes","No")</f>
        <v>Yes</v>
      </c>
      <c r="R312" s="2" t="str">
        <f>IF(COUNTIFS(Calibration!$A:$A,A312,Calibration!$B:$B,B312)&gt;0,"Yes","No")</f>
        <v>No</v>
      </c>
      <c r="S312" s="6"/>
    </row>
    <row r="313" spans="1:19" ht="34.5" customHeight="1" x14ac:dyDescent="0.2">
      <c r="A313" s="2">
        <v>105</v>
      </c>
      <c r="B313" s="2">
        <v>1</v>
      </c>
      <c r="C313" s="2" t="s">
        <v>214</v>
      </c>
      <c r="D313" s="2" t="s">
        <v>17</v>
      </c>
      <c r="E313" s="2">
        <v>20130318</v>
      </c>
      <c r="F313" s="2">
        <v>20130318</v>
      </c>
      <c r="G313" s="2">
        <v>2747.2</v>
      </c>
      <c r="H313" s="2">
        <v>2020</v>
      </c>
      <c r="I313" s="2">
        <v>1</v>
      </c>
      <c r="J313" s="2" t="s">
        <v>14</v>
      </c>
      <c r="K313" s="2" t="s">
        <v>15</v>
      </c>
      <c r="L313" s="2" t="s">
        <v>1422</v>
      </c>
      <c r="M313" s="7" t="s">
        <v>1423</v>
      </c>
      <c r="N313" s="7" t="s">
        <v>1424</v>
      </c>
      <c r="O313" s="2"/>
      <c r="P313" s="2"/>
      <c r="Q313" s="2" t="str">
        <f>IF(SUMPRODUCT(--ISNUMBER(SEARCH('National Domains'!$A$2:$A$48,L313)))&gt;0,"Yes","No")</f>
        <v>No</v>
      </c>
      <c r="R313" s="2" t="str">
        <f>IF(COUNTIFS(Calibration!$A:$A,A313,Calibration!$B:$B,B313)&gt;0,"Yes","No")</f>
        <v>No</v>
      </c>
      <c r="S313" s="6"/>
    </row>
    <row r="314" spans="1:19" ht="34.5" customHeight="1" x14ac:dyDescent="0.2">
      <c r="A314" s="2">
        <v>106</v>
      </c>
      <c r="B314" s="2">
        <v>1</v>
      </c>
      <c r="C314" s="2" t="s">
        <v>215</v>
      </c>
      <c r="D314" s="2" t="s">
        <v>17</v>
      </c>
      <c r="E314" s="2">
        <v>20130407</v>
      </c>
      <c r="F314" s="2">
        <v>20130411</v>
      </c>
      <c r="G314" s="2">
        <v>1963.8</v>
      </c>
      <c r="H314" s="2">
        <v>1444</v>
      </c>
      <c r="I314" s="2">
        <v>1</v>
      </c>
      <c r="J314" s="2" t="s">
        <v>58</v>
      </c>
      <c r="K314" s="2" t="s">
        <v>59</v>
      </c>
      <c r="L314" s="2" t="s">
        <v>1425</v>
      </c>
      <c r="M314" s="7" t="s">
        <v>741</v>
      </c>
      <c r="N314" s="7" t="s">
        <v>1426</v>
      </c>
      <c r="O314" s="2"/>
      <c r="P314" s="2"/>
      <c r="Q314" s="2" t="str">
        <f>IF(SUMPRODUCT(--ISNUMBER(SEARCH('National Domains'!$A$2:$A$48,L314)))&gt;0,"Yes","No")</f>
        <v>Yes</v>
      </c>
      <c r="R314" s="2" t="str">
        <f>IF(COUNTIFS(Calibration!$A:$A,A314,Calibration!$B:$B,B314)&gt;0,"Yes","No")</f>
        <v>No</v>
      </c>
      <c r="S314" s="6"/>
    </row>
    <row r="315" spans="1:19" ht="34.5" customHeight="1" x14ac:dyDescent="0.2">
      <c r="A315" s="2">
        <v>108</v>
      </c>
      <c r="B315" s="2">
        <v>1</v>
      </c>
      <c r="C315" s="2" t="s">
        <v>219</v>
      </c>
      <c r="D315" s="2" t="s">
        <v>17</v>
      </c>
      <c r="E315" s="2">
        <v>20130518</v>
      </c>
      <c r="F315" s="2">
        <v>20130522</v>
      </c>
      <c r="G315" s="2">
        <v>3240.5</v>
      </c>
      <c r="H315" s="2">
        <v>2400.3000000000002</v>
      </c>
      <c r="I315" s="2">
        <v>27</v>
      </c>
      <c r="J315" s="2" t="s">
        <v>220</v>
      </c>
      <c r="K315" s="2" t="s">
        <v>155</v>
      </c>
      <c r="L315" s="2" t="s">
        <v>1427</v>
      </c>
      <c r="M315" s="7" t="s">
        <v>1428</v>
      </c>
      <c r="N315" s="7" t="s">
        <v>1429</v>
      </c>
      <c r="O315" s="2"/>
      <c r="P315" s="2"/>
      <c r="Q315" s="2" t="str">
        <f>IF(SUMPRODUCT(--ISNUMBER(SEARCH('National Domains'!$A$2:$A$48,L315)))&gt;0,"Yes","No")</f>
        <v>Yes</v>
      </c>
      <c r="R315" s="2" t="str">
        <f>IF(COUNTIFS(Calibration!$A:$A,A315,Calibration!$B:$B,B315)&gt;0,"Yes","No")</f>
        <v>No</v>
      </c>
      <c r="S315" s="6"/>
    </row>
    <row r="316" spans="1:19" ht="34.5" customHeight="1" x14ac:dyDescent="0.2">
      <c r="A316" s="2">
        <v>108</v>
      </c>
      <c r="B316" s="2">
        <v>2</v>
      </c>
      <c r="C316" s="2" t="s">
        <v>219</v>
      </c>
      <c r="D316" s="2" t="s">
        <v>17</v>
      </c>
      <c r="E316" s="2">
        <v>20130518</v>
      </c>
      <c r="F316" s="2">
        <v>20130522</v>
      </c>
      <c r="G316" s="2">
        <v>3240.5</v>
      </c>
      <c r="H316" s="2">
        <v>2400.3000000000002</v>
      </c>
      <c r="I316" s="2">
        <v>27</v>
      </c>
      <c r="J316" s="2" t="s">
        <v>220</v>
      </c>
      <c r="K316" s="2" t="s">
        <v>155</v>
      </c>
      <c r="L316" s="2" t="s">
        <v>1430</v>
      </c>
      <c r="M316" s="7" t="s">
        <v>1431</v>
      </c>
      <c r="N316" s="7" t="s">
        <v>1432</v>
      </c>
      <c r="O316" s="2"/>
      <c r="P316" s="2"/>
      <c r="Q316" s="2" t="str">
        <f>IF(SUMPRODUCT(--ISNUMBER(SEARCH('National Domains'!$A$2:$A$48,L316)))&gt;0,"Yes","No")</f>
        <v>Yes</v>
      </c>
      <c r="R316" s="2" t="str">
        <f>IF(COUNTIFS(Calibration!$A:$A,A316,Calibration!$B:$B,B316)&gt;0,"Yes","No")</f>
        <v>No</v>
      </c>
      <c r="S316" s="6"/>
    </row>
    <row r="317" spans="1:19" ht="34.5" customHeight="1" x14ac:dyDescent="0.2">
      <c r="A317" s="2">
        <v>108</v>
      </c>
      <c r="B317" s="2">
        <v>3</v>
      </c>
      <c r="C317" s="2" t="s">
        <v>219</v>
      </c>
      <c r="D317" s="2" t="s">
        <v>17</v>
      </c>
      <c r="E317" s="2">
        <v>20130518</v>
      </c>
      <c r="F317" s="2">
        <v>20130522</v>
      </c>
      <c r="G317" s="2">
        <v>3240.5</v>
      </c>
      <c r="H317" s="2">
        <v>2400.3000000000002</v>
      </c>
      <c r="I317" s="2">
        <v>27</v>
      </c>
      <c r="J317" s="2" t="s">
        <v>220</v>
      </c>
      <c r="K317" s="2" t="s">
        <v>155</v>
      </c>
      <c r="L317" s="2" t="s">
        <v>1433</v>
      </c>
      <c r="M317" s="7" t="s">
        <v>1428</v>
      </c>
      <c r="N317" s="7" t="s">
        <v>1434</v>
      </c>
      <c r="O317" s="2"/>
      <c r="P317" s="2"/>
      <c r="Q317" s="2" t="str">
        <f>IF(SUMPRODUCT(--ISNUMBER(SEARCH('National Domains'!$A$2:$A$48,L317)))&gt;0,"Yes","No")</f>
        <v>Yes</v>
      </c>
      <c r="R317" s="2" t="str">
        <f>IF(COUNTIFS(Calibration!$A:$A,A317,Calibration!$B:$B,B317)&gt;0,"Yes","No")</f>
        <v>No</v>
      </c>
      <c r="S317" s="6"/>
    </row>
    <row r="318" spans="1:19" ht="34.5" customHeight="1" x14ac:dyDescent="0.2">
      <c r="A318" s="2">
        <v>108</v>
      </c>
      <c r="B318" s="2">
        <v>4</v>
      </c>
      <c r="C318" s="2" t="s">
        <v>219</v>
      </c>
      <c r="D318" s="2" t="s">
        <v>17</v>
      </c>
      <c r="E318" s="2">
        <v>20130518</v>
      </c>
      <c r="F318" s="2">
        <v>20130522</v>
      </c>
      <c r="G318" s="2">
        <v>3240.5</v>
      </c>
      <c r="H318" s="2">
        <v>2400.3000000000002</v>
      </c>
      <c r="I318" s="2">
        <v>27</v>
      </c>
      <c r="J318" s="2" t="s">
        <v>220</v>
      </c>
      <c r="K318" s="2" t="s">
        <v>155</v>
      </c>
      <c r="L318" s="2" t="s">
        <v>1435</v>
      </c>
      <c r="M318" s="7" t="s">
        <v>1436</v>
      </c>
      <c r="N318" s="7" t="s">
        <v>1437</v>
      </c>
      <c r="O318" s="2"/>
      <c r="P318" s="2"/>
      <c r="Q318" s="2" t="str">
        <f>IF(SUMPRODUCT(--ISNUMBER(SEARCH('National Domains'!$A$2:$A$48,L318)))&gt;0,"Yes","No")</f>
        <v>Yes</v>
      </c>
      <c r="R318" s="2" t="str">
        <f>IF(COUNTIFS(Calibration!$A:$A,A318,Calibration!$B:$B,B318)&gt;0,"Yes","No")</f>
        <v>No</v>
      </c>
      <c r="S318" s="6"/>
    </row>
    <row r="319" spans="1:19" ht="34.5" customHeight="1" x14ac:dyDescent="0.2">
      <c r="A319" s="2">
        <v>108</v>
      </c>
      <c r="B319" s="2">
        <v>5</v>
      </c>
      <c r="C319" s="2" t="s">
        <v>219</v>
      </c>
      <c r="D319" s="2" t="s">
        <v>17</v>
      </c>
      <c r="E319" s="2">
        <v>20130518</v>
      </c>
      <c r="F319" s="2">
        <v>20130522</v>
      </c>
      <c r="G319" s="2">
        <v>3240.5</v>
      </c>
      <c r="H319" s="2">
        <v>2400.3000000000002</v>
      </c>
      <c r="I319" s="2">
        <v>27</v>
      </c>
      <c r="J319" s="2" t="s">
        <v>220</v>
      </c>
      <c r="K319" s="2" t="s">
        <v>155</v>
      </c>
      <c r="L319" s="2" t="s">
        <v>1438</v>
      </c>
      <c r="M319" s="7" t="s">
        <v>1439</v>
      </c>
      <c r="N319" s="7" t="s">
        <v>1440</v>
      </c>
      <c r="O319" s="2"/>
      <c r="P319" s="2"/>
      <c r="Q319" s="2" t="str">
        <f>IF(SUMPRODUCT(--ISNUMBER(SEARCH('National Domains'!$A$2:$A$48,L319)))&gt;0,"Yes","No")</f>
        <v>Yes</v>
      </c>
      <c r="R319" s="2" t="str">
        <f>IF(COUNTIFS(Calibration!$A:$A,A319,Calibration!$B:$B,B319)&gt;0,"Yes","No")</f>
        <v>No</v>
      </c>
      <c r="S319" s="6"/>
    </row>
    <row r="320" spans="1:19" ht="34.5" customHeight="1" x14ac:dyDescent="0.2">
      <c r="A320" s="2">
        <v>109</v>
      </c>
      <c r="B320" s="2">
        <v>1</v>
      </c>
      <c r="C320" s="2" t="s">
        <v>221</v>
      </c>
      <c r="D320" s="2" t="s">
        <v>17</v>
      </c>
      <c r="E320" s="2">
        <v>20130527</v>
      </c>
      <c r="F320" s="2">
        <v>20130531</v>
      </c>
      <c r="G320" s="2">
        <v>2448.4</v>
      </c>
      <c r="H320" s="2">
        <v>1813.5</v>
      </c>
      <c r="I320" s="2">
        <v>10</v>
      </c>
      <c r="J320" s="2" t="s">
        <v>222</v>
      </c>
      <c r="K320" s="2" t="s">
        <v>223</v>
      </c>
      <c r="L320" s="2" t="s">
        <v>1441</v>
      </c>
      <c r="M320" s="7" t="s">
        <v>1442</v>
      </c>
      <c r="N320" s="7" t="s">
        <v>1443</v>
      </c>
      <c r="O320" s="2"/>
      <c r="P320" s="2"/>
      <c r="Q320" s="2" t="str">
        <f>IF(SUMPRODUCT(--ISNUMBER(SEARCH('National Domains'!$A$2:$A$48,L320)))&gt;0,"Yes","No")</f>
        <v>Yes</v>
      </c>
      <c r="R320" s="2" t="str">
        <f>IF(COUNTIFS(Calibration!$A:$A,A320,Calibration!$B:$B,B320)&gt;0,"Yes","No")</f>
        <v>No</v>
      </c>
      <c r="S320" s="6"/>
    </row>
    <row r="321" spans="1:19" ht="34.5" customHeight="1" x14ac:dyDescent="0.2">
      <c r="A321" s="2">
        <v>109</v>
      </c>
      <c r="B321" s="2">
        <v>2</v>
      </c>
      <c r="C321" s="2" t="s">
        <v>221</v>
      </c>
      <c r="D321" s="2" t="s">
        <v>17</v>
      </c>
      <c r="E321" s="2">
        <v>20130527</v>
      </c>
      <c r="F321" s="2">
        <v>20130531</v>
      </c>
      <c r="G321" s="2">
        <v>2448.4</v>
      </c>
      <c r="H321" s="2">
        <v>1813.5</v>
      </c>
      <c r="I321" s="2">
        <v>10</v>
      </c>
      <c r="J321" s="2" t="s">
        <v>222</v>
      </c>
      <c r="K321" s="2" t="s">
        <v>223</v>
      </c>
      <c r="L321" s="2" t="s">
        <v>1444</v>
      </c>
      <c r="M321" s="7" t="s">
        <v>741</v>
      </c>
      <c r="N321" s="7" t="s">
        <v>1445</v>
      </c>
      <c r="O321" s="2"/>
      <c r="P321" s="2"/>
      <c r="Q321" s="2" t="str">
        <f>IF(SUMPRODUCT(--ISNUMBER(SEARCH('National Domains'!$A$2:$A$48,L321)))&gt;0,"Yes","No")</f>
        <v>Yes</v>
      </c>
      <c r="R321" s="2" t="str">
        <f>IF(COUNTIFS(Calibration!$A:$A,A321,Calibration!$B:$B,B321)&gt;0,"Yes","No")</f>
        <v>No</v>
      </c>
      <c r="S321" s="6"/>
    </row>
    <row r="322" spans="1:19" ht="34.5" customHeight="1" x14ac:dyDescent="0.2">
      <c r="A322" s="2">
        <v>111</v>
      </c>
      <c r="B322" s="2">
        <v>1</v>
      </c>
      <c r="C322" s="2" t="s">
        <v>225</v>
      </c>
      <c r="D322" s="2" t="s">
        <v>25</v>
      </c>
      <c r="E322" s="2">
        <v>20130910</v>
      </c>
      <c r="F322" s="2">
        <v>20130916</v>
      </c>
      <c r="G322" s="2">
        <v>2036.5</v>
      </c>
      <c r="H322" s="2">
        <v>1508.5</v>
      </c>
      <c r="I322" s="2">
        <v>9</v>
      </c>
      <c r="J322" s="2" t="s">
        <v>73</v>
      </c>
      <c r="K322" s="2" t="s">
        <v>74</v>
      </c>
      <c r="L322" s="2" t="s">
        <v>1446</v>
      </c>
      <c r="M322" s="7" t="s">
        <v>1447</v>
      </c>
      <c r="N322" s="7" t="s">
        <v>1448</v>
      </c>
      <c r="O322" s="2"/>
      <c r="P322" s="2"/>
      <c r="Q322" s="2" t="str">
        <f>IF(SUMPRODUCT(--ISNUMBER(SEARCH('National Domains'!$A$2:$A$48,L322)))&gt;0,"Yes","No")</f>
        <v>No</v>
      </c>
      <c r="R322" s="2" t="str">
        <f>IF(COUNTIFS(Calibration!$A:$A,A322,Calibration!$B:$B,B322)&gt;0,"Yes","No")</f>
        <v>No</v>
      </c>
      <c r="S322" s="6"/>
    </row>
    <row r="323" spans="1:19" ht="34.5" customHeight="1" x14ac:dyDescent="0.2">
      <c r="A323" s="2">
        <v>111</v>
      </c>
      <c r="B323" s="2">
        <v>2</v>
      </c>
      <c r="C323" s="2" t="s">
        <v>225</v>
      </c>
      <c r="D323" s="2" t="s">
        <v>25</v>
      </c>
      <c r="E323" s="2">
        <v>20130910</v>
      </c>
      <c r="F323" s="2">
        <v>20130916</v>
      </c>
      <c r="G323" s="2">
        <v>2036.5</v>
      </c>
      <c r="H323" s="2">
        <v>1508.5</v>
      </c>
      <c r="I323" s="2">
        <v>9</v>
      </c>
      <c r="J323" s="2" t="s">
        <v>73</v>
      </c>
      <c r="K323" s="2" t="s">
        <v>74</v>
      </c>
      <c r="L323" s="2" t="s">
        <v>1449</v>
      </c>
      <c r="M323" s="7" t="s">
        <v>1450</v>
      </c>
      <c r="N323" s="7" t="s">
        <v>1451</v>
      </c>
      <c r="O323" s="2"/>
      <c r="P323" s="2"/>
      <c r="Q323" s="2" t="str">
        <f>IF(SUMPRODUCT(--ISNUMBER(SEARCH('National Domains'!$A$2:$A$48,L323)))&gt;0,"Yes","No")</f>
        <v>No</v>
      </c>
      <c r="R323" s="2" t="str">
        <f>IF(COUNTIFS(Calibration!$A:$A,A323,Calibration!$B:$B,B323)&gt;0,"Yes","No")</f>
        <v>No</v>
      </c>
      <c r="S323" s="6"/>
    </row>
    <row r="324" spans="1:19" ht="34.5" customHeight="1" x14ac:dyDescent="0.2">
      <c r="A324" s="2">
        <v>111</v>
      </c>
      <c r="B324" s="2">
        <v>3</v>
      </c>
      <c r="C324" s="2" t="s">
        <v>225</v>
      </c>
      <c r="D324" s="2" t="s">
        <v>25</v>
      </c>
      <c r="E324" s="2">
        <v>20130910</v>
      </c>
      <c r="F324" s="2">
        <v>20130916</v>
      </c>
      <c r="G324" s="2">
        <v>2036.5</v>
      </c>
      <c r="H324" s="2">
        <v>1508.5</v>
      </c>
      <c r="I324" s="2">
        <v>9</v>
      </c>
      <c r="J324" s="2" t="s">
        <v>73</v>
      </c>
      <c r="K324" s="2" t="s">
        <v>74</v>
      </c>
      <c r="L324" s="2" t="s">
        <v>1452</v>
      </c>
      <c r="M324" s="7" t="s">
        <v>1453</v>
      </c>
      <c r="N324" s="7" t="s">
        <v>1454</v>
      </c>
      <c r="O324" s="2"/>
      <c r="P324" s="2"/>
      <c r="Q324" s="2" t="str">
        <f>IF(SUMPRODUCT(--ISNUMBER(SEARCH('National Domains'!$A$2:$A$48,L324)))&gt;0,"Yes","No")</f>
        <v>No</v>
      </c>
      <c r="R324" s="2" t="str">
        <f>IF(COUNTIFS(Calibration!$A:$A,A324,Calibration!$B:$B,B324)&gt;0,"Yes","No")</f>
        <v>No</v>
      </c>
      <c r="S324" s="6"/>
    </row>
    <row r="325" spans="1:19" ht="34.5" customHeight="1" x14ac:dyDescent="0.2">
      <c r="A325" s="2">
        <v>111</v>
      </c>
      <c r="B325" s="2">
        <v>4</v>
      </c>
      <c r="C325" s="2" t="s">
        <v>225</v>
      </c>
      <c r="D325" s="2" t="s">
        <v>25</v>
      </c>
      <c r="E325" s="2">
        <v>20130910</v>
      </c>
      <c r="F325" s="2">
        <v>20130916</v>
      </c>
      <c r="G325" s="2">
        <v>2036.5</v>
      </c>
      <c r="H325" s="2">
        <v>1508.5</v>
      </c>
      <c r="I325" s="2">
        <v>9</v>
      </c>
      <c r="J325" s="2" t="s">
        <v>73</v>
      </c>
      <c r="K325" s="2" t="s">
        <v>74</v>
      </c>
      <c r="L325" s="2" t="s">
        <v>1455</v>
      </c>
      <c r="M325" s="7" t="s">
        <v>1456</v>
      </c>
      <c r="N325" s="7" t="s">
        <v>1457</v>
      </c>
      <c r="O325" s="2"/>
      <c r="P325" s="2"/>
      <c r="Q325" s="2" t="str">
        <f>IF(SUMPRODUCT(--ISNUMBER(SEARCH('National Domains'!$A$2:$A$48,L325)))&gt;0,"Yes","No")</f>
        <v>No</v>
      </c>
      <c r="R325" s="2" t="str">
        <f>IF(COUNTIFS(Calibration!$A:$A,A325,Calibration!$B:$B,B325)&gt;0,"Yes","No")</f>
        <v>No</v>
      </c>
      <c r="S325" s="6"/>
    </row>
    <row r="326" spans="1:19" ht="34.5" customHeight="1" x14ac:dyDescent="0.2">
      <c r="A326" s="2">
        <v>111</v>
      </c>
      <c r="B326" s="2">
        <v>5</v>
      </c>
      <c r="C326" s="2" t="s">
        <v>225</v>
      </c>
      <c r="D326" s="2" t="s">
        <v>25</v>
      </c>
      <c r="E326" s="2">
        <v>20130910</v>
      </c>
      <c r="F326" s="2">
        <v>20130916</v>
      </c>
      <c r="G326" s="2">
        <v>2036.5</v>
      </c>
      <c r="H326" s="2">
        <v>1508.5</v>
      </c>
      <c r="I326" s="2">
        <v>9</v>
      </c>
      <c r="J326" s="2" t="s">
        <v>73</v>
      </c>
      <c r="K326" s="2" t="s">
        <v>74</v>
      </c>
      <c r="L326" s="2" t="s">
        <v>1458</v>
      </c>
      <c r="M326" s="7" t="s">
        <v>1459</v>
      </c>
      <c r="N326" s="7" t="s">
        <v>1460</v>
      </c>
      <c r="O326" s="2"/>
      <c r="P326" s="2"/>
      <c r="Q326" s="2" t="str">
        <f>IF(SUMPRODUCT(--ISNUMBER(SEARCH('National Domains'!$A$2:$A$48,L326)))&gt;0,"Yes","No")</f>
        <v>No</v>
      </c>
      <c r="R326" s="2" t="str">
        <f>IF(COUNTIFS(Calibration!$A:$A,A326,Calibration!$B:$B,B326)&gt;0,"Yes","No")</f>
        <v>No</v>
      </c>
      <c r="S326" s="6"/>
    </row>
    <row r="327" spans="1:19" ht="34.5" customHeight="1" x14ac:dyDescent="0.2">
      <c r="A327" s="2">
        <v>111</v>
      </c>
      <c r="B327" s="2">
        <v>6</v>
      </c>
      <c r="C327" s="2" t="s">
        <v>225</v>
      </c>
      <c r="D327" s="2" t="s">
        <v>25</v>
      </c>
      <c r="E327" s="2">
        <v>20130910</v>
      </c>
      <c r="F327" s="2">
        <v>20130916</v>
      </c>
      <c r="G327" s="2">
        <v>2036.5</v>
      </c>
      <c r="H327" s="2">
        <v>1508.5</v>
      </c>
      <c r="I327" s="2">
        <v>9</v>
      </c>
      <c r="J327" s="2" t="s">
        <v>73</v>
      </c>
      <c r="K327" s="2" t="s">
        <v>74</v>
      </c>
      <c r="L327" s="2" t="s">
        <v>1461</v>
      </c>
      <c r="M327" s="7" t="s">
        <v>1462</v>
      </c>
      <c r="N327" s="7" t="s">
        <v>1463</v>
      </c>
      <c r="O327" s="2"/>
      <c r="P327" s="2"/>
      <c r="Q327" s="2" t="str">
        <f>IF(SUMPRODUCT(--ISNUMBER(SEARCH('National Domains'!$A$2:$A$48,L327)))&gt;0,"Yes","No")</f>
        <v>Yes</v>
      </c>
      <c r="R327" s="2" t="str">
        <f>IF(COUNTIFS(Calibration!$A:$A,A327,Calibration!$B:$B,B327)&gt;0,"Yes","No")</f>
        <v>No</v>
      </c>
      <c r="S327" s="6"/>
    </row>
    <row r="328" spans="1:19" ht="34.5" customHeight="1" x14ac:dyDescent="0.2">
      <c r="A328" s="2">
        <v>111</v>
      </c>
      <c r="B328" s="2">
        <v>7</v>
      </c>
      <c r="C328" s="2" t="s">
        <v>225</v>
      </c>
      <c r="D328" s="2" t="s">
        <v>25</v>
      </c>
      <c r="E328" s="2">
        <v>20130910</v>
      </c>
      <c r="F328" s="2">
        <v>20130916</v>
      </c>
      <c r="G328" s="2">
        <v>2036.5</v>
      </c>
      <c r="H328" s="2">
        <v>1508.5</v>
      </c>
      <c r="I328" s="2">
        <v>9</v>
      </c>
      <c r="J328" s="2" t="s">
        <v>73</v>
      </c>
      <c r="K328" s="2" t="s">
        <v>74</v>
      </c>
      <c r="L328" s="2" t="s">
        <v>1464</v>
      </c>
      <c r="M328" s="7" t="s">
        <v>1465</v>
      </c>
      <c r="N328" s="7" t="s">
        <v>1466</v>
      </c>
      <c r="O328" s="2"/>
      <c r="P328" s="2"/>
      <c r="Q328" s="2" t="str">
        <f>IF(SUMPRODUCT(--ISNUMBER(SEARCH('National Domains'!$A$2:$A$48,L328)))&gt;0,"Yes","No")</f>
        <v>Yes</v>
      </c>
      <c r="R328" s="2" t="str">
        <f>IF(COUNTIFS(Calibration!$A:$A,A328,Calibration!$B:$B,B328)&gt;0,"Yes","No")</f>
        <v>No</v>
      </c>
      <c r="S328" s="6"/>
    </row>
    <row r="329" spans="1:19" ht="34.5" customHeight="1" x14ac:dyDescent="0.2">
      <c r="A329" s="2">
        <v>111</v>
      </c>
      <c r="B329" s="2">
        <v>8</v>
      </c>
      <c r="C329" s="2" t="s">
        <v>225</v>
      </c>
      <c r="D329" s="2" t="s">
        <v>25</v>
      </c>
      <c r="E329" s="2">
        <v>20130910</v>
      </c>
      <c r="F329" s="2">
        <v>20130916</v>
      </c>
      <c r="G329" s="2">
        <v>2036.5</v>
      </c>
      <c r="H329" s="2">
        <v>1508.5</v>
      </c>
      <c r="I329" s="2">
        <v>9</v>
      </c>
      <c r="J329" s="2" t="s">
        <v>73</v>
      </c>
      <c r="K329" s="2" t="s">
        <v>74</v>
      </c>
      <c r="L329" s="2" t="s">
        <v>1467</v>
      </c>
      <c r="M329" s="7" t="s">
        <v>1468</v>
      </c>
      <c r="N329" s="7" t="s">
        <v>1469</v>
      </c>
      <c r="O329" s="2"/>
      <c r="P329" s="2"/>
      <c r="Q329" s="2" t="str">
        <f>IF(SUMPRODUCT(--ISNUMBER(SEARCH('National Domains'!$A$2:$A$48,L329)))&gt;0,"Yes","No")</f>
        <v>Yes</v>
      </c>
      <c r="R329" s="2" t="str">
        <f>IF(COUNTIFS(Calibration!$A:$A,A329,Calibration!$B:$B,B329)&gt;0,"Yes","No")</f>
        <v>No</v>
      </c>
      <c r="S329" s="6"/>
    </row>
    <row r="330" spans="1:19" ht="34.5" customHeight="1" x14ac:dyDescent="0.2">
      <c r="A330" s="2">
        <v>111</v>
      </c>
      <c r="B330" s="2">
        <v>9</v>
      </c>
      <c r="C330" s="2" t="s">
        <v>225</v>
      </c>
      <c r="D330" s="2" t="s">
        <v>25</v>
      </c>
      <c r="E330" s="2">
        <v>20130910</v>
      </c>
      <c r="F330" s="2">
        <v>20130916</v>
      </c>
      <c r="G330" s="2">
        <v>2036.5</v>
      </c>
      <c r="H330" s="2">
        <v>1508.5</v>
      </c>
      <c r="I330" s="2">
        <v>9</v>
      </c>
      <c r="J330" s="2" t="s">
        <v>73</v>
      </c>
      <c r="K330" s="2" t="s">
        <v>74</v>
      </c>
      <c r="L330" s="2" t="s">
        <v>1470</v>
      </c>
      <c r="M330" s="7" t="s">
        <v>1471</v>
      </c>
      <c r="N330" s="7" t="s">
        <v>1472</v>
      </c>
      <c r="O330" s="2"/>
      <c r="P330" s="2"/>
      <c r="Q330" s="2" t="str">
        <f>IF(SUMPRODUCT(--ISNUMBER(SEARCH('National Domains'!$A$2:$A$48,L330)))&gt;0,"Yes","No")</f>
        <v>Yes</v>
      </c>
      <c r="R330" s="2" t="str">
        <f>IF(COUNTIFS(Calibration!$A:$A,A330,Calibration!$B:$B,B330)&gt;0,"Yes","No")</f>
        <v>No</v>
      </c>
      <c r="S330" s="6"/>
    </row>
    <row r="331" spans="1:19" ht="34.5" customHeight="1" x14ac:dyDescent="0.2">
      <c r="A331" s="2">
        <v>111</v>
      </c>
      <c r="B331" s="2">
        <v>10</v>
      </c>
      <c r="C331" s="2" t="s">
        <v>225</v>
      </c>
      <c r="D331" s="2" t="s">
        <v>25</v>
      </c>
      <c r="E331" s="2">
        <v>20130910</v>
      </c>
      <c r="F331" s="2">
        <v>20130916</v>
      </c>
      <c r="G331" s="2">
        <v>2036.5</v>
      </c>
      <c r="H331" s="2">
        <v>1508.5</v>
      </c>
      <c r="I331" s="2">
        <v>9</v>
      </c>
      <c r="J331" s="2" t="s">
        <v>73</v>
      </c>
      <c r="K331" s="2" t="s">
        <v>74</v>
      </c>
      <c r="L331" s="2" t="s">
        <v>1473</v>
      </c>
      <c r="M331" s="7" t="s">
        <v>1474</v>
      </c>
      <c r="N331" s="7" t="s">
        <v>1475</v>
      </c>
      <c r="O331" s="2"/>
      <c r="P331" s="2"/>
      <c r="Q331" s="2" t="str">
        <f>IF(SUMPRODUCT(--ISNUMBER(SEARCH('National Domains'!$A$2:$A$48,L331)))&gt;0,"Yes","No")</f>
        <v>Yes</v>
      </c>
      <c r="R331" s="2" t="str">
        <f>IF(COUNTIFS(Calibration!$A:$A,A331,Calibration!$B:$B,B331)&gt;0,"Yes","No")</f>
        <v>No</v>
      </c>
      <c r="S331" s="6"/>
    </row>
    <row r="332" spans="1:19" ht="34.5" customHeight="1" x14ac:dyDescent="0.2">
      <c r="A332" s="2">
        <v>111</v>
      </c>
      <c r="B332" s="2">
        <v>11</v>
      </c>
      <c r="C332" s="2" t="s">
        <v>225</v>
      </c>
      <c r="D332" s="2" t="s">
        <v>25</v>
      </c>
      <c r="E332" s="2">
        <v>20130910</v>
      </c>
      <c r="F332" s="2">
        <v>20130916</v>
      </c>
      <c r="G332" s="2">
        <v>2036.5</v>
      </c>
      <c r="H332" s="2">
        <v>1508.5</v>
      </c>
      <c r="I332" s="2">
        <v>9</v>
      </c>
      <c r="J332" s="2" t="s">
        <v>73</v>
      </c>
      <c r="K332" s="2" t="s">
        <v>74</v>
      </c>
      <c r="L332" s="2" t="s">
        <v>1476</v>
      </c>
      <c r="M332" s="7" t="s">
        <v>1477</v>
      </c>
      <c r="N332" s="7" t="s">
        <v>1478</v>
      </c>
      <c r="O332" s="2"/>
      <c r="P332" s="2"/>
      <c r="Q332" s="2" t="str">
        <f>IF(SUMPRODUCT(--ISNUMBER(SEARCH('National Domains'!$A$2:$A$48,L332)))&gt;0,"Yes","No")</f>
        <v>No</v>
      </c>
      <c r="R332" s="2" t="str">
        <f>IF(COUNTIFS(Calibration!$A:$A,A332,Calibration!$B:$B,B332)&gt;0,"Yes","No")</f>
        <v>No</v>
      </c>
      <c r="S332" s="6"/>
    </row>
    <row r="333" spans="1:19" ht="34.5" customHeight="1" x14ac:dyDescent="0.2">
      <c r="A333" s="2">
        <v>112</v>
      </c>
      <c r="B333" s="2">
        <v>1</v>
      </c>
      <c r="C333" s="2" t="s">
        <v>226</v>
      </c>
      <c r="D333" s="2" t="s">
        <v>17</v>
      </c>
      <c r="E333" s="2">
        <v>20131117</v>
      </c>
      <c r="F333" s="2">
        <v>20131117</v>
      </c>
      <c r="G333" s="2">
        <v>1472.2</v>
      </c>
      <c r="H333" s="2">
        <v>1090.5999999999999</v>
      </c>
      <c r="I333" s="2">
        <v>8</v>
      </c>
      <c r="J333" s="2" t="s">
        <v>227</v>
      </c>
      <c r="K333" s="2" t="s">
        <v>34</v>
      </c>
      <c r="L333" s="2" t="s">
        <v>1479</v>
      </c>
      <c r="M333" s="7" t="s">
        <v>1480</v>
      </c>
      <c r="N333" s="7" t="s">
        <v>1481</v>
      </c>
      <c r="O333" s="2"/>
      <c r="P333" s="2"/>
      <c r="Q333" s="2" t="str">
        <f>IF(SUMPRODUCT(--ISNUMBER(SEARCH('National Domains'!$A$2:$A$48,L333)))&gt;0,"Yes","No")</f>
        <v>Yes</v>
      </c>
      <c r="R333" s="2" t="str">
        <f>IF(COUNTIFS(Calibration!$A:$A,A333,Calibration!$B:$B,B333)&gt;0,"Yes","No")</f>
        <v>No</v>
      </c>
      <c r="S333" s="6"/>
    </row>
    <row r="334" spans="1:19" ht="34.5" customHeight="1" x14ac:dyDescent="0.2">
      <c r="A334" s="2">
        <v>112</v>
      </c>
      <c r="B334" s="2">
        <v>2</v>
      </c>
      <c r="C334" s="2" t="s">
        <v>226</v>
      </c>
      <c r="D334" s="2" t="s">
        <v>17</v>
      </c>
      <c r="E334" s="2">
        <v>20131117</v>
      </c>
      <c r="F334" s="2">
        <v>20131117</v>
      </c>
      <c r="G334" s="2">
        <v>1472.2</v>
      </c>
      <c r="H334" s="2">
        <v>1090.5999999999999</v>
      </c>
      <c r="I334" s="2">
        <v>8</v>
      </c>
      <c r="J334" s="2" t="s">
        <v>227</v>
      </c>
      <c r="K334" s="2" t="s">
        <v>34</v>
      </c>
      <c r="L334" s="2" t="s">
        <v>1482</v>
      </c>
      <c r="M334" s="7" t="s">
        <v>1483</v>
      </c>
      <c r="N334" s="7" t="s">
        <v>1484</v>
      </c>
      <c r="O334" s="2"/>
      <c r="P334" s="2"/>
      <c r="Q334" s="2" t="str">
        <f>IF(SUMPRODUCT(--ISNUMBER(SEARCH('National Domains'!$A$2:$A$48,L334)))&gt;0,"Yes","No")</f>
        <v>Yes</v>
      </c>
      <c r="R334" s="2" t="str">
        <f>IF(COUNTIFS(Calibration!$A:$A,A334,Calibration!$B:$B,B334)&gt;0,"Yes","No")</f>
        <v>No</v>
      </c>
      <c r="S334" s="6"/>
    </row>
    <row r="335" spans="1:19" ht="34.5" customHeight="1" x14ac:dyDescent="0.2">
      <c r="A335" s="2">
        <v>112</v>
      </c>
      <c r="B335" s="2">
        <v>3</v>
      </c>
      <c r="C335" s="2" t="s">
        <v>226</v>
      </c>
      <c r="D335" s="2" t="s">
        <v>17</v>
      </c>
      <c r="E335" s="2">
        <v>20131117</v>
      </c>
      <c r="F335" s="2">
        <v>20131117</v>
      </c>
      <c r="G335" s="2">
        <v>1472.2</v>
      </c>
      <c r="H335" s="2">
        <v>1090.5999999999999</v>
      </c>
      <c r="I335" s="2">
        <v>8</v>
      </c>
      <c r="J335" s="2" t="s">
        <v>227</v>
      </c>
      <c r="K335" s="2" t="s">
        <v>34</v>
      </c>
      <c r="L335" s="2" t="s">
        <v>1485</v>
      </c>
      <c r="M335" s="7" t="s">
        <v>1486</v>
      </c>
      <c r="N335" s="7" t="s">
        <v>1487</v>
      </c>
      <c r="O335" s="2"/>
      <c r="P335" s="2"/>
      <c r="Q335" s="2" t="str">
        <f>IF(SUMPRODUCT(--ISNUMBER(SEARCH('National Domains'!$A$2:$A$48,L335)))&gt;0,"Yes","No")</f>
        <v>No</v>
      </c>
      <c r="R335" s="2" t="str">
        <f>IF(COUNTIFS(Calibration!$A:$A,A335,Calibration!$B:$B,B335)&gt;0,"Yes","No")</f>
        <v>No</v>
      </c>
      <c r="S335" s="6"/>
    </row>
    <row r="336" spans="1:19" ht="34.5" customHeight="1" x14ac:dyDescent="0.2">
      <c r="A336" s="2">
        <v>112</v>
      </c>
      <c r="B336" s="2">
        <v>4</v>
      </c>
      <c r="C336" s="2" t="s">
        <v>226</v>
      </c>
      <c r="D336" s="2" t="s">
        <v>17</v>
      </c>
      <c r="E336" s="2">
        <v>20131117</v>
      </c>
      <c r="F336" s="2">
        <v>20131117</v>
      </c>
      <c r="G336" s="2">
        <v>1472.2</v>
      </c>
      <c r="H336" s="2">
        <v>1090.5999999999999</v>
      </c>
      <c r="I336" s="2">
        <v>8</v>
      </c>
      <c r="J336" s="2" t="s">
        <v>227</v>
      </c>
      <c r="K336" s="2" t="s">
        <v>34</v>
      </c>
      <c r="L336" s="2" t="s">
        <v>1488</v>
      </c>
      <c r="M336" s="7" t="s">
        <v>1480</v>
      </c>
      <c r="N336" s="7" t="s">
        <v>1489</v>
      </c>
      <c r="O336" s="2"/>
      <c r="P336" s="2"/>
      <c r="Q336" s="2" t="str">
        <f>IF(SUMPRODUCT(--ISNUMBER(SEARCH('National Domains'!$A$2:$A$48,L336)))&gt;0,"Yes","No")</f>
        <v>Yes</v>
      </c>
      <c r="R336" s="2" t="str">
        <f>IF(COUNTIFS(Calibration!$A:$A,A336,Calibration!$B:$B,B336)&gt;0,"Yes","No")</f>
        <v>No</v>
      </c>
      <c r="S336" s="6"/>
    </row>
    <row r="337" spans="1:19" ht="34.5" customHeight="1" x14ac:dyDescent="0.2">
      <c r="A337" s="2">
        <v>112</v>
      </c>
      <c r="B337" s="2">
        <v>5</v>
      </c>
      <c r="C337" s="2" t="s">
        <v>226</v>
      </c>
      <c r="D337" s="2" t="s">
        <v>17</v>
      </c>
      <c r="E337" s="2">
        <v>20131117</v>
      </c>
      <c r="F337" s="2">
        <v>20131117</v>
      </c>
      <c r="G337" s="2">
        <v>1472.2</v>
      </c>
      <c r="H337" s="2">
        <v>1090.5999999999999</v>
      </c>
      <c r="I337" s="2">
        <v>8</v>
      </c>
      <c r="J337" s="2" t="s">
        <v>227</v>
      </c>
      <c r="K337" s="2" t="s">
        <v>34</v>
      </c>
      <c r="L337" s="2" t="s">
        <v>1490</v>
      </c>
      <c r="M337" s="7" t="s">
        <v>1491</v>
      </c>
      <c r="N337" s="7" t="s">
        <v>1492</v>
      </c>
      <c r="O337" s="2"/>
      <c r="P337" s="2"/>
      <c r="Q337" s="2" t="str">
        <f>IF(SUMPRODUCT(--ISNUMBER(SEARCH('National Domains'!$A$2:$A$48,L337)))&gt;0,"Yes","No")</f>
        <v>Yes</v>
      </c>
      <c r="R337" s="2" t="str">
        <f>IF(COUNTIFS(Calibration!$A:$A,A337,Calibration!$B:$B,B337)&gt;0,"Yes","No")</f>
        <v>No</v>
      </c>
      <c r="S337" s="6"/>
    </row>
    <row r="338" spans="1:19" ht="23.25" customHeight="1" x14ac:dyDescent="0.2">
      <c r="A338" s="2">
        <v>112</v>
      </c>
      <c r="B338" s="2">
        <v>6</v>
      </c>
      <c r="C338" s="2" t="s">
        <v>226</v>
      </c>
      <c r="D338" s="2" t="s">
        <v>17</v>
      </c>
      <c r="E338" s="2">
        <v>20131117</v>
      </c>
      <c r="F338" s="2">
        <v>20131117</v>
      </c>
      <c r="G338" s="2">
        <v>1472.2</v>
      </c>
      <c r="H338" s="2">
        <v>1090.5999999999999</v>
      </c>
      <c r="I338" s="2">
        <v>8</v>
      </c>
      <c r="J338" s="2" t="s">
        <v>227</v>
      </c>
      <c r="K338" s="2" t="s">
        <v>34</v>
      </c>
      <c r="L338" s="2" t="s">
        <v>1493</v>
      </c>
      <c r="M338" s="7" t="s">
        <v>1494</v>
      </c>
      <c r="N338" s="7" t="s">
        <v>1495</v>
      </c>
      <c r="O338" s="2"/>
      <c r="P338" s="2"/>
      <c r="Q338" s="2" t="str">
        <f>IF(SUMPRODUCT(--ISNUMBER(SEARCH('National Domains'!$A$2:$A$48,L338)))&gt;0,"Yes","No")</f>
        <v>Yes</v>
      </c>
      <c r="R338" s="2" t="str">
        <f>IF(COUNTIFS(Calibration!$A:$A,A338,Calibration!$B:$B,B338)&gt;0,"Yes","No")</f>
        <v>No</v>
      </c>
      <c r="S338" s="6"/>
    </row>
    <row r="339" spans="1:19" ht="34.5" customHeight="1" x14ac:dyDescent="0.2">
      <c r="A339" s="4">
        <v>113</v>
      </c>
      <c r="B339" s="4">
        <v>1</v>
      </c>
      <c r="C339" s="4" t="s">
        <v>228</v>
      </c>
      <c r="D339" s="4" t="s">
        <v>29</v>
      </c>
      <c r="E339" s="4">
        <v>20130301</v>
      </c>
      <c r="F339" s="4">
        <v>20131130</v>
      </c>
      <c r="G339" s="4">
        <v>14283.6</v>
      </c>
      <c r="H339" s="4">
        <v>10425.9</v>
      </c>
      <c r="I339" s="4">
        <v>53</v>
      </c>
      <c r="J339" s="4" t="s">
        <v>229</v>
      </c>
      <c r="K339" s="4" t="s">
        <v>230</v>
      </c>
      <c r="L339" s="4" t="s">
        <v>1496</v>
      </c>
      <c r="M339" s="5" t="s">
        <v>1497</v>
      </c>
      <c r="N339" s="5" t="s">
        <v>1498</v>
      </c>
      <c r="O339" s="4"/>
      <c r="P339" s="4"/>
      <c r="Q339" s="4" t="str">
        <f>IF(SUMPRODUCT(--ISNUMBER(SEARCH('National Domains'!$A$2:$A$48,L339)))&gt;0,"Yes","No")</f>
        <v>Yes</v>
      </c>
      <c r="R339" s="4" t="str">
        <f>IF(COUNTIFS(Calibration!$A:$A,A339,Calibration!$B:$B,B339)&gt;0,"Yes","No")</f>
        <v>Yes</v>
      </c>
      <c r="S339" s="6"/>
    </row>
    <row r="340" spans="1:19" ht="34.5" customHeight="1" x14ac:dyDescent="0.2">
      <c r="A340" s="2">
        <v>113</v>
      </c>
      <c r="B340" s="2">
        <v>2</v>
      </c>
      <c r="C340" s="2" t="s">
        <v>228</v>
      </c>
      <c r="D340" s="2" t="s">
        <v>29</v>
      </c>
      <c r="E340" s="2">
        <v>20130301</v>
      </c>
      <c r="F340" s="2">
        <v>20131130</v>
      </c>
      <c r="G340" s="2">
        <v>14283.6</v>
      </c>
      <c r="H340" s="2">
        <v>10425.9</v>
      </c>
      <c r="I340" s="2">
        <v>53</v>
      </c>
      <c r="J340" s="2" t="s">
        <v>229</v>
      </c>
      <c r="K340" s="2" t="s">
        <v>230</v>
      </c>
      <c r="L340" s="2" t="s">
        <v>1499</v>
      </c>
      <c r="M340" s="7" t="s">
        <v>1500</v>
      </c>
      <c r="N340" s="7" t="s">
        <v>1501</v>
      </c>
      <c r="O340" s="2"/>
      <c r="P340" s="2"/>
      <c r="Q340" s="2" t="str">
        <f>IF(SUMPRODUCT(--ISNUMBER(SEARCH('National Domains'!$A$2:$A$48,L340)))&gt;0,"Yes","No")</f>
        <v>Yes</v>
      </c>
      <c r="R340" s="2" t="str">
        <f>IF(COUNTIFS(Calibration!$A:$A,A340,Calibration!$B:$B,B340)&gt;0,"Yes","No")</f>
        <v>No</v>
      </c>
      <c r="S340" s="6"/>
    </row>
    <row r="341" spans="1:19" ht="34.5" customHeight="1" x14ac:dyDescent="0.2">
      <c r="A341" s="2">
        <v>113</v>
      </c>
      <c r="B341" s="2">
        <v>3</v>
      </c>
      <c r="C341" s="2" t="s">
        <v>228</v>
      </c>
      <c r="D341" s="2" t="s">
        <v>29</v>
      </c>
      <c r="E341" s="2">
        <v>20130301</v>
      </c>
      <c r="F341" s="2">
        <v>20131130</v>
      </c>
      <c r="G341" s="2">
        <v>14283.6</v>
      </c>
      <c r="H341" s="2">
        <v>10425.9</v>
      </c>
      <c r="I341" s="2">
        <v>53</v>
      </c>
      <c r="J341" s="2" t="s">
        <v>229</v>
      </c>
      <c r="K341" s="2" t="s">
        <v>230</v>
      </c>
      <c r="L341" s="2" t="s">
        <v>1502</v>
      </c>
      <c r="M341" s="7" t="s">
        <v>1503</v>
      </c>
      <c r="N341" s="7" t="s">
        <v>1504</v>
      </c>
      <c r="O341" s="2"/>
      <c r="P341" s="2"/>
      <c r="Q341" s="2" t="str">
        <f>IF(SUMPRODUCT(--ISNUMBER(SEARCH('National Domains'!$A$2:$A$48,L341)))&gt;0,"Yes","No")</f>
        <v>No</v>
      </c>
      <c r="R341" s="2" t="str">
        <f>IF(COUNTIFS(Calibration!$A:$A,A341,Calibration!$B:$B,B341)&gt;0,"Yes","No")</f>
        <v>No</v>
      </c>
      <c r="S341" s="6"/>
    </row>
    <row r="342" spans="1:19" ht="34.5" customHeight="1" x14ac:dyDescent="0.2">
      <c r="A342" s="2">
        <v>113</v>
      </c>
      <c r="B342" s="2">
        <v>4</v>
      </c>
      <c r="C342" s="2" t="s">
        <v>228</v>
      </c>
      <c r="D342" s="2" t="s">
        <v>29</v>
      </c>
      <c r="E342" s="2">
        <v>20130301</v>
      </c>
      <c r="F342" s="2">
        <v>20131130</v>
      </c>
      <c r="G342" s="2">
        <v>14283.6</v>
      </c>
      <c r="H342" s="2">
        <v>10425.9</v>
      </c>
      <c r="I342" s="2">
        <v>53</v>
      </c>
      <c r="J342" s="2" t="s">
        <v>229</v>
      </c>
      <c r="K342" s="2" t="s">
        <v>230</v>
      </c>
      <c r="L342" s="2" t="s">
        <v>1505</v>
      </c>
      <c r="M342" s="7" t="s">
        <v>1506</v>
      </c>
      <c r="N342" s="7" t="s">
        <v>1507</v>
      </c>
      <c r="O342" s="2"/>
      <c r="P342" s="2"/>
      <c r="Q342" s="2" t="str">
        <f>IF(SUMPRODUCT(--ISNUMBER(SEARCH('National Domains'!$A$2:$A$48,L342)))&gt;0,"Yes","No")</f>
        <v>No</v>
      </c>
      <c r="R342" s="2" t="str">
        <f>IF(COUNTIFS(Calibration!$A:$A,A342,Calibration!$B:$B,B342)&gt;0,"Yes","No")</f>
        <v>No</v>
      </c>
      <c r="S342" s="6"/>
    </row>
    <row r="343" spans="1:19" ht="34.5" customHeight="1" x14ac:dyDescent="0.2">
      <c r="A343" s="2">
        <v>113</v>
      </c>
      <c r="B343" s="2">
        <v>5</v>
      </c>
      <c r="C343" s="2" t="s">
        <v>228</v>
      </c>
      <c r="D343" s="2" t="s">
        <v>29</v>
      </c>
      <c r="E343" s="2">
        <v>20130301</v>
      </c>
      <c r="F343" s="2">
        <v>20131130</v>
      </c>
      <c r="G343" s="2">
        <v>14283.6</v>
      </c>
      <c r="H343" s="2">
        <v>10425.9</v>
      </c>
      <c r="I343" s="2">
        <v>53</v>
      </c>
      <c r="J343" s="2" t="s">
        <v>229</v>
      </c>
      <c r="K343" s="2" t="s">
        <v>230</v>
      </c>
      <c r="L343" s="2" t="s">
        <v>1508</v>
      </c>
      <c r="M343" s="7" t="s">
        <v>1509</v>
      </c>
      <c r="N343" s="7" t="s">
        <v>1510</v>
      </c>
      <c r="O343" s="2"/>
      <c r="P343" s="2"/>
      <c r="Q343" s="2" t="str">
        <f>IF(SUMPRODUCT(--ISNUMBER(SEARCH('National Domains'!$A$2:$A$48,L343)))&gt;0,"Yes","No")</f>
        <v>No</v>
      </c>
      <c r="R343" s="2" t="str">
        <f>IF(COUNTIFS(Calibration!$A:$A,A343,Calibration!$B:$B,B343)&gt;0,"Yes","No")</f>
        <v>No</v>
      </c>
      <c r="S343" s="6"/>
    </row>
    <row r="344" spans="1:19" ht="34.5" customHeight="1" x14ac:dyDescent="0.2">
      <c r="A344" s="2">
        <v>113</v>
      </c>
      <c r="B344" s="2">
        <v>6</v>
      </c>
      <c r="C344" s="2" t="s">
        <v>228</v>
      </c>
      <c r="D344" s="2" t="s">
        <v>29</v>
      </c>
      <c r="E344" s="2">
        <v>20130301</v>
      </c>
      <c r="F344" s="2">
        <v>20131130</v>
      </c>
      <c r="G344" s="2">
        <v>14283.6</v>
      </c>
      <c r="H344" s="2">
        <v>10425.9</v>
      </c>
      <c r="I344" s="2">
        <v>53</v>
      </c>
      <c r="J344" s="2" t="s">
        <v>229</v>
      </c>
      <c r="K344" s="2" t="s">
        <v>230</v>
      </c>
      <c r="L344" s="2" t="s">
        <v>1511</v>
      </c>
      <c r="M344" s="7" t="s">
        <v>1512</v>
      </c>
      <c r="N344" s="7" t="s">
        <v>1513</v>
      </c>
      <c r="O344" s="2"/>
      <c r="P344" s="2"/>
      <c r="Q344" s="2" t="str">
        <f>IF(SUMPRODUCT(--ISNUMBER(SEARCH('National Domains'!$A$2:$A$48,L344)))&gt;0,"Yes","No")</f>
        <v>Yes</v>
      </c>
      <c r="R344" s="2" t="str">
        <f>IF(COUNTIFS(Calibration!$A:$A,A344,Calibration!$B:$B,B344)&gt;0,"Yes","No")</f>
        <v>No</v>
      </c>
      <c r="S344" s="6"/>
    </row>
    <row r="345" spans="1:19" ht="34.5" customHeight="1" x14ac:dyDescent="0.2">
      <c r="A345" s="2">
        <v>113</v>
      </c>
      <c r="B345" s="2">
        <v>7</v>
      </c>
      <c r="C345" s="2" t="s">
        <v>228</v>
      </c>
      <c r="D345" s="2" t="s">
        <v>29</v>
      </c>
      <c r="E345" s="2">
        <v>20130301</v>
      </c>
      <c r="F345" s="2">
        <v>20131130</v>
      </c>
      <c r="G345" s="2">
        <v>14283.6</v>
      </c>
      <c r="H345" s="2">
        <v>10425.9</v>
      </c>
      <c r="I345" s="2">
        <v>53</v>
      </c>
      <c r="J345" s="2" t="s">
        <v>229</v>
      </c>
      <c r="K345" s="2" t="s">
        <v>230</v>
      </c>
      <c r="L345" s="2" t="s">
        <v>1514</v>
      </c>
      <c r="M345" s="7" t="s">
        <v>1515</v>
      </c>
      <c r="N345" s="7" t="s">
        <v>1516</v>
      </c>
      <c r="O345" s="2"/>
      <c r="P345" s="2"/>
      <c r="Q345" s="2" t="str">
        <f>IF(SUMPRODUCT(--ISNUMBER(SEARCH('National Domains'!$A$2:$A$48,L345)))&gt;0,"Yes","No")</f>
        <v>Yes</v>
      </c>
      <c r="R345" s="2" t="str">
        <f>IF(COUNTIFS(Calibration!$A:$A,A345,Calibration!$B:$B,B345)&gt;0,"Yes","No")</f>
        <v>No</v>
      </c>
      <c r="S345" s="6"/>
    </row>
    <row r="346" spans="1:19" ht="34.5" customHeight="1" x14ac:dyDescent="0.2">
      <c r="A346" s="2">
        <v>113</v>
      </c>
      <c r="B346" s="2">
        <v>8</v>
      </c>
      <c r="C346" s="2" t="s">
        <v>228</v>
      </c>
      <c r="D346" s="2" t="s">
        <v>29</v>
      </c>
      <c r="E346" s="2">
        <v>20130301</v>
      </c>
      <c r="F346" s="2">
        <v>20131130</v>
      </c>
      <c r="G346" s="2">
        <v>14283.6</v>
      </c>
      <c r="H346" s="2">
        <v>10425.9</v>
      </c>
      <c r="I346" s="2">
        <v>53</v>
      </c>
      <c r="J346" s="2" t="s">
        <v>229</v>
      </c>
      <c r="K346" s="2" t="s">
        <v>230</v>
      </c>
      <c r="L346" s="2" t="s">
        <v>1517</v>
      </c>
      <c r="M346" s="7" t="s">
        <v>1518</v>
      </c>
      <c r="N346" s="7" t="s">
        <v>1519</v>
      </c>
      <c r="O346" s="2"/>
      <c r="P346" s="2"/>
      <c r="Q346" s="2" t="str">
        <f>IF(SUMPRODUCT(--ISNUMBER(SEARCH('National Domains'!$A$2:$A$48,L346)))&gt;0,"Yes","No")</f>
        <v>Yes</v>
      </c>
      <c r="R346" s="2" t="str">
        <f>IF(COUNTIFS(Calibration!$A:$A,A346,Calibration!$B:$B,B346)&gt;0,"Yes","No")</f>
        <v>No</v>
      </c>
      <c r="S346" s="6"/>
    </row>
    <row r="347" spans="1:19" ht="34.5" customHeight="1" x14ac:dyDescent="0.2">
      <c r="A347" s="2">
        <v>113</v>
      </c>
      <c r="B347" s="2">
        <v>9</v>
      </c>
      <c r="C347" s="2" t="s">
        <v>228</v>
      </c>
      <c r="D347" s="2" t="s">
        <v>29</v>
      </c>
      <c r="E347" s="2">
        <v>20130301</v>
      </c>
      <c r="F347" s="2">
        <v>20131130</v>
      </c>
      <c r="G347" s="2">
        <v>14283.6</v>
      </c>
      <c r="H347" s="2">
        <v>10425.9</v>
      </c>
      <c r="I347" s="2">
        <v>53</v>
      </c>
      <c r="J347" s="2" t="s">
        <v>229</v>
      </c>
      <c r="K347" s="2" t="s">
        <v>230</v>
      </c>
      <c r="L347" s="2" t="s">
        <v>1520</v>
      </c>
      <c r="M347" s="7" t="s">
        <v>1521</v>
      </c>
      <c r="N347" s="7" t="s">
        <v>1522</v>
      </c>
      <c r="O347" s="2"/>
      <c r="P347" s="2"/>
      <c r="Q347" s="2" t="str">
        <f>IF(SUMPRODUCT(--ISNUMBER(SEARCH('National Domains'!$A$2:$A$48,L347)))&gt;0,"Yes","No")</f>
        <v>Yes</v>
      </c>
      <c r="R347" s="2" t="str">
        <f>IF(COUNTIFS(Calibration!$A:$A,A347,Calibration!$B:$B,B347)&gt;0,"Yes","No")</f>
        <v>No</v>
      </c>
      <c r="S347" s="6"/>
    </row>
    <row r="348" spans="1:19" ht="34.5" customHeight="1" x14ac:dyDescent="0.2">
      <c r="A348" s="2">
        <v>113</v>
      </c>
      <c r="B348" s="2">
        <v>10</v>
      </c>
      <c r="C348" s="2" t="s">
        <v>228</v>
      </c>
      <c r="D348" s="2" t="s">
        <v>29</v>
      </c>
      <c r="E348" s="2">
        <v>20130301</v>
      </c>
      <c r="F348" s="2">
        <v>20131130</v>
      </c>
      <c r="G348" s="2">
        <v>14283.6</v>
      </c>
      <c r="H348" s="2">
        <v>10425.9</v>
      </c>
      <c r="I348" s="2">
        <v>53</v>
      </c>
      <c r="J348" s="2" t="s">
        <v>229</v>
      </c>
      <c r="K348" s="2" t="s">
        <v>230</v>
      </c>
      <c r="L348" s="2" t="s">
        <v>1523</v>
      </c>
      <c r="M348" s="7" t="s">
        <v>741</v>
      </c>
      <c r="N348" s="7" t="s">
        <v>1524</v>
      </c>
      <c r="O348" s="2"/>
      <c r="P348" s="2"/>
      <c r="Q348" s="2" t="str">
        <f>IF(SUMPRODUCT(--ISNUMBER(SEARCH('National Domains'!$A$2:$A$48,L348)))&gt;0,"Yes","No")</f>
        <v>Yes</v>
      </c>
      <c r="R348" s="2" t="str">
        <f>IF(COUNTIFS(Calibration!$A:$A,A348,Calibration!$B:$B,B348)&gt;0,"Yes","No")</f>
        <v>No</v>
      </c>
      <c r="S348" s="6"/>
    </row>
    <row r="349" spans="1:19" ht="34.5" customHeight="1" x14ac:dyDescent="0.2">
      <c r="A349" s="2">
        <v>114</v>
      </c>
      <c r="B349" s="2">
        <v>1</v>
      </c>
      <c r="C349" s="2" t="s">
        <v>231</v>
      </c>
      <c r="D349" s="2" t="s">
        <v>13</v>
      </c>
      <c r="E349" s="2">
        <v>20140105</v>
      </c>
      <c r="F349" s="2">
        <v>20140108</v>
      </c>
      <c r="G349" s="2">
        <v>2933.4</v>
      </c>
      <c r="H349" s="2">
        <v>2172.6999999999998</v>
      </c>
      <c r="I349" s="2">
        <v>16</v>
      </c>
      <c r="J349" s="2" t="s">
        <v>232</v>
      </c>
      <c r="K349" s="2" t="s">
        <v>233</v>
      </c>
      <c r="L349" s="2" t="s">
        <v>1525</v>
      </c>
      <c r="M349" s="7" t="s">
        <v>1526</v>
      </c>
      <c r="N349" s="7" t="s">
        <v>1527</v>
      </c>
      <c r="O349" s="2"/>
      <c r="P349" s="2"/>
      <c r="Q349" s="2" t="str">
        <f>IF(SUMPRODUCT(--ISNUMBER(SEARCH('National Domains'!$A$2:$A$48,L349)))&gt;0,"Yes","No")</f>
        <v>Yes</v>
      </c>
      <c r="R349" s="2" t="str">
        <f>IF(COUNTIFS(Calibration!$A:$A,A349,Calibration!$B:$B,B349)&gt;0,"Yes","No")</f>
        <v>No</v>
      </c>
      <c r="S349" s="6"/>
    </row>
    <row r="350" spans="1:19" ht="34.5" customHeight="1" x14ac:dyDescent="0.2">
      <c r="A350" s="2">
        <v>116</v>
      </c>
      <c r="B350" s="2">
        <v>1</v>
      </c>
      <c r="C350" s="2" t="s">
        <v>236</v>
      </c>
      <c r="D350" s="2" t="s">
        <v>17</v>
      </c>
      <c r="E350" s="2">
        <v>20140412</v>
      </c>
      <c r="F350" s="2">
        <v>20140413</v>
      </c>
      <c r="G350" s="2">
        <v>1221.0999999999999</v>
      </c>
      <c r="H350" s="2">
        <v>918</v>
      </c>
      <c r="I350" s="2">
        <v>0</v>
      </c>
      <c r="J350" s="2" t="s">
        <v>102</v>
      </c>
      <c r="K350" s="2" t="s">
        <v>103</v>
      </c>
      <c r="L350" s="2" t="s">
        <v>1528</v>
      </c>
      <c r="M350" s="7" t="s">
        <v>741</v>
      </c>
      <c r="N350" s="7" t="s">
        <v>1529</v>
      </c>
      <c r="O350" s="2"/>
      <c r="P350" s="2"/>
      <c r="Q350" s="2" t="str">
        <f>IF(SUMPRODUCT(--ISNUMBER(SEARCH('National Domains'!$A$2:$A$48,L350)))&gt;0,"Yes","No")</f>
        <v>Yes</v>
      </c>
      <c r="R350" s="2" t="str">
        <f>IF(COUNTIFS(Calibration!$A:$A,A350,Calibration!$B:$B,B350)&gt;0,"Yes","No")</f>
        <v>No</v>
      </c>
      <c r="S350" s="6"/>
    </row>
    <row r="351" spans="1:19" ht="34.5" customHeight="1" x14ac:dyDescent="0.2">
      <c r="A351" s="2">
        <v>117</v>
      </c>
      <c r="B351" s="2">
        <v>1</v>
      </c>
      <c r="C351" s="2" t="s">
        <v>237</v>
      </c>
      <c r="D351" s="2" t="s">
        <v>17</v>
      </c>
      <c r="E351" s="2">
        <v>20140427</v>
      </c>
      <c r="F351" s="2">
        <v>20140501</v>
      </c>
      <c r="G351" s="2">
        <v>2309.1999999999998</v>
      </c>
      <c r="H351" s="2">
        <v>1736.1</v>
      </c>
      <c r="I351" s="2">
        <v>33</v>
      </c>
      <c r="J351" s="2" t="s">
        <v>232</v>
      </c>
      <c r="K351" s="2" t="s">
        <v>233</v>
      </c>
      <c r="L351" s="2" t="s">
        <v>1530</v>
      </c>
      <c r="M351" s="7" t="s">
        <v>741</v>
      </c>
      <c r="N351" s="7" t="s">
        <v>1531</v>
      </c>
      <c r="O351" s="2"/>
      <c r="P351" s="2"/>
      <c r="Q351" s="2" t="str">
        <f>IF(SUMPRODUCT(--ISNUMBER(SEARCH('National Domains'!$A$2:$A$48,L351)))&gt;0,"Yes","No")</f>
        <v>Yes</v>
      </c>
      <c r="R351" s="2" t="str">
        <f>IF(COUNTIFS(Calibration!$A:$A,A351,Calibration!$B:$B,B351)&gt;0,"Yes","No")</f>
        <v>No</v>
      </c>
      <c r="S351" s="6"/>
    </row>
    <row r="352" spans="1:19" ht="34.5" customHeight="1" x14ac:dyDescent="0.2">
      <c r="A352" s="2">
        <v>117</v>
      </c>
      <c r="B352" s="2">
        <v>2</v>
      </c>
      <c r="C352" s="2" t="s">
        <v>237</v>
      </c>
      <c r="D352" s="2" t="s">
        <v>17</v>
      </c>
      <c r="E352" s="2">
        <v>20140427</v>
      </c>
      <c r="F352" s="2">
        <v>20140501</v>
      </c>
      <c r="G352" s="2">
        <v>2309.1999999999998</v>
      </c>
      <c r="H352" s="2">
        <v>1736.1</v>
      </c>
      <c r="I352" s="2">
        <v>33</v>
      </c>
      <c r="J352" s="2" t="s">
        <v>232</v>
      </c>
      <c r="K352" s="2" t="s">
        <v>233</v>
      </c>
      <c r="L352" s="2" t="s">
        <v>1532</v>
      </c>
      <c r="M352" s="7" t="s">
        <v>1533</v>
      </c>
      <c r="N352" s="7" t="s">
        <v>1534</v>
      </c>
      <c r="O352" s="2"/>
      <c r="P352" s="2"/>
      <c r="Q352" s="2" t="str">
        <f>IF(SUMPRODUCT(--ISNUMBER(SEARCH('National Domains'!$A$2:$A$48,L352)))&gt;0,"Yes","No")</f>
        <v>Yes</v>
      </c>
      <c r="R352" s="2" t="str">
        <f>IF(COUNTIFS(Calibration!$A:$A,A352,Calibration!$B:$B,B352)&gt;0,"Yes","No")</f>
        <v>No</v>
      </c>
      <c r="S352" s="6"/>
    </row>
    <row r="353" spans="1:19" ht="34.5" customHeight="1" x14ac:dyDescent="0.2">
      <c r="A353" s="2">
        <v>117</v>
      </c>
      <c r="B353" s="2">
        <v>3</v>
      </c>
      <c r="C353" s="2" t="s">
        <v>237</v>
      </c>
      <c r="D353" s="2" t="s">
        <v>17</v>
      </c>
      <c r="E353" s="2">
        <v>20140427</v>
      </c>
      <c r="F353" s="2">
        <v>20140501</v>
      </c>
      <c r="G353" s="2">
        <v>2309.1999999999998</v>
      </c>
      <c r="H353" s="2">
        <v>1736.1</v>
      </c>
      <c r="I353" s="2">
        <v>33</v>
      </c>
      <c r="J353" s="2" t="s">
        <v>232</v>
      </c>
      <c r="K353" s="2" t="s">
        <v>233</v>
      </c>
      <c r="L353" s="2" t="s">
        <v>1535</v>
      </c>
      <c r="M353" s="7" t="s">
        <v>1536</v>
      </c>
      <c r="N353" s="7" t="s">
        <v>1537</v>
      </c>
      <c r="O353" s="2"/>
      <c r="P353" s="2"/>
      <c r="Q353" s="2" t="str">
        <f>IF(SUMPRODUCT(--ISNUMBER(SEARCH('National Domains'!$A$2:$A$48,L353)))&gt;0,"Yes","No")</f>
        <v>No</v>
      </c>
      <c r="R353" s="2" t="str">
        <f>IF(COUNTIFS(Calibration!$A:$A,A353,Calibration!$B:$B,B353)&gt;0,"Yes","No")</f>
        <v>No</v>
      </c>
      <c r="S353" s="6"/>
    </row>
    <row r="354" spans="1:19" ht="34.5" customHeight="1" x14ac:dyDescent="0.2">
      <c r="A354" s="2">
        <v>117</v>
      </c>
      <c r="B354" s="2">
        <v>4</v>
      </c>
      <c r="C354" s="2" t="s">
        <v>237</v>
      </c>
      <c r="D354" s="2" t="s">
        <v>17</v>
      </c>
      <c r="E354" s="2">
        <v>20140427</v>
      </c>
      <c r="F354" s="2">
        <v>20140501</v>
      </c>
      <c r="G354" s="2">
        <v>2309.1999999999998</v>
      </c>
      <c r="H354" s="2">
        <v>1736.1</v>
      </c>
      <c r="I354" s="2">
        <v>33</v>
      </c>
      <c r="J354" s="2" t="s">
        <v>232</v>
      </c>
      <c r="K354" s="2" t="s">
        <v>233</v>
      </c>
      <c r="L354" s="2" t="s">
        <v>1538</v>
      </c>
      <c r="M354" s="7" t="s">
        <v>1539</v>
      </c>
      <c r="N354" s="7" t="s">
        <v>1540</v>
      </c>
      <c r="O354" s="2"/>
      <c r="P354" s="2"/>
      <c r="Q354" s="2" t="str">
        <f>IF(SUMPRODUCT(--ISNUMBER(SEARCH('National Domains'!$A$2:$A$48,L354)))&gt;0,"Yes","No")</f>
        <v>No</v>
      </c>
      <c r="R354" s="2" t="str">
        <f>IF(COUNTIFS(Calibration!$A:$A,A354,Calibration!$B:$B,B354)&gt;0,"Yes","No")</f>
        <v>No</v>
      </c>
      <c r="S354" s="6"/>
    </row>
    <row r="355" spans="1:19" ht="34.5" customHeight="1" x14ac:dyDescent="0.2">
      <c r="A355" s="2">
        <v>117</v>
      </c>
      <c r="B355" s="2">
        <v>5</v>
      </c>
      <c r="C355" s="2" t="s">
        <v>237</v>
      </c>
      <c r="D355" s="2" t="s">
        <v>17</v>
      </c>
      <c r="E355" s="2">
        <v>20140427</v>
      </c>
      <c r="F355" s="2">
        <v>20140501</v>
      </c>
      <c r="G355" s="2">
        <v>2309.1999999999998</v>
      </c>
      <c r="H355" s="2">
        <v>1736.1</v>
      </c>
      <c r="I355" s="2">
        <v>33</v>
      </c>
      <c r="J355" s="2" t="s">
        <v>232</v>
      </c>
      <c r="K355" s="2" t="s">
        <v>233</v>
      </c>
      <c r="L355" s="2" t="s">
        <v>1541</v>
      </c>
      <c r="M355" s="7" t="s">
        <v>1542</v>
      </c>
      <c r="N355" s="7" t="s">
        <v>1543</v>
      </c>
      <c r="O355" s="2"/>
      <c r="P355" s="2"/>
      <c r="Q355" s="2" t="str">
        <f>IF(SUMPRODUCT(--ISNUMBER(SEARCH('National Domains'!$A$2:$A$48,L355)))&gt;0,"Yes","No")</f>
        <v>No</v>
      </c>
      <c r="R355" s="2" t="str">
        <f>IF(COUNTIFS(Calibration!$A:$A,A355,Calibration!$B:$B,B355)&gt;0,"Yes","No")</f>
        <v>No</v>
      </c>
      <c r="S355" s="6"/>
    </row>
    <row r="356" spans="1:19" ht="34.5" customHeight="1" x14ac:dyDescent="0.2">
      <c r="A356" s="2">
        <v>117</v>
      </c>
      <c r="B356" s="2">
        <v>6</v>
      </c>
      <c r="C356" s="2" t="s">
        <v>237</v>
      </c>
      <c r="D356" s="2" t="s">
        <v>17</v>
      </c>
      <c r="E356" s="2">
        <v>20140427</v>
      </c>
      <c r="F356" s="2">
        <v>20140501</v>
      </c>
      <c r="G356" s="2">
        <v>2309.1999999999998</v>
      </c>
      <c r="H356" s="2">
        <v>1736.1</v>
      </c>
      <c r="I356" s="2">
        <v>33</v>
      </c>
      <c r="J356" s="2" t="s">
        <v>232</v>
      </c>
      <c r="K356" s="2" t="s">
        <v>233</v>
      </c>
      <c r="L356" s="2" t="s">
        <v>1544</v>
      </c>
      <c r="M356" s="7" t="s">
        <v>1545</v>
      </c>
      <c r="N356" s="7" t="s">
        <v>1546</v>
      </c>
      <c r="O356" s="2"/>
      <c r="P356" s="2"/>
      <c r="Q356" s="2" t="str">
        <f>IF(SUMPRODUCT(--ISNUMBER(SEARCH('National Domains'!$A$2:$A$48,L356)))&gt;0,"Yes","No")</f>
        <v>Yes</v>
      </c>
      <c r="R356" s="2" t="str">
        <f>IF(COUNTIFS(Calibration!$A:$A,A356,Calibration!$B:$B,B356)&gt;0,"Yes","No")</f>
        <v>No</v>
      </c>
      <c r="S356" s="6"/>
    </row>
    <row r="357" spans="1:19" ht="34.5" customHeight="1" x14ac:dyDescent="0.2">
      <c r="A357" s="2">
        <v>118</v>
      </c>
      <c r="B357" s="2">
        <v>1</v>
      </c>
      <c r="C357" s="2" t="s">
        <v>238</v>
      </c>
      <c r="D357" s="2" t="s">
        <v>17</v>
      </c>
      <c r="E357" s="2">
        <v>20140510</v>
      </c>
      <c r="F357" s="2">
        <v>20140514</v>
      </c>
      <c r="G357" s="2">
        <v>1134.5</v>
      </c>
      <c r="H357" s="2">
        <v>853</v>
      </c>
      <c r="I357" s="2">
        <v>0</v>
      </c>
      <c r="J357" s="2" t="s">
        <v>102</v>
      </c>
      <c r="K357" s="2" t="s">
        <v>103</v>
      </c>
      <c r="L357" s="2" t="s">
        <v>1547</v>
      </c>
      <c r="M357" s="7" t="s">
        <v>1548</v>
      </c>
      <c r="N357" s="7" t="s">
        <v>1549</v>
      </c>
      <c r="O357" s="2"/>
      <c r="P357" s="2"/>
      <c r="Q357" s="2" t="str">
        <f>IF(SUMPRODUCT(--ISNUMBER(SEARCH('National Domains'!$A$2:$A$48,L357)))&gt;0,"Yes","No")</f>
        <v>Yes</v>
      </c>
      <c r="R357" s="2" t="str">
        <f>IF(COUNTIFS(Calibration!$A:$A,A357,Calibration!$B:$B,B357)&gt;0,"Yes","No")</f>
        <v>No</v>
      </c>
      <c r="S357" s="6"/>
    </row>
    <row r="358" spans="1:19" ht="34.5" customHeight="1" x14ac:dyDescent="0.2">
      <c r="A358" s="2">
        <v>118</v>
      </c>
      <c r="B358" s="2">
        <v>2</v>
      </c>
      <c r="C358" s="2" t="s">
        <v>238</v>
      </c>
      <c r="D358" s="2" t="s">
        <v>17</v>
      </c>
      <c r="E358" s="2">
        <v>20140510</v>
      </c>
      <c r="F358" s="2">
        <v>20140514</v>
      </c>
      <c r="G358" s="2">
        <v>1134.5</v>
      </c>
      <c r="H358" s="2">
        <v>853</v>
      </c>
      <c r="I358" s="2">
        <v>0</v>
      </c>
      <c r="J358" s="2" t="s">
        <v>102</v>
      </c>
      <c r="K358" s="2" t="s">
        <v>103</v>
      </c>
      <c r="L358" s="2" t="s">
        <v>1550</v>
      </c>
      <c r="M358" s="7" t="s">
        <v>1551</v>
      </c>
      <c r="N358" s="7" t="s">
        <v>1552</v>
      </c>
      <c r="O358" s="2"/>
      <c r="P358" s="2"/>
      <c r="Q358" s="2" t="str">
        <f>IF(SUMPRODUCT(--ISNUMBER(SEARCH('National Domains'!$A$2:$A$48,L358)))&gt;0,"Yes","No")</f>
        <v>No</v>
      </c>
      <c r="R358" s="2" t="str">
        <f>IF(COUNTIFS(Calibration!$A:$A,A358,Calibration!$B:$B,B358)&gt;0,"Yes","No")</f>
        <v>No</v>
      </c>
      <c r="S358" s="6"/>
    </row>
    <row r="359" spans="1:19" ht="34.5" customHeight="1" x14ac:dyDescent="0.2">
      <c r="A359" s="2">
        <v>121</v>
      </c>
      <c r="B359" s="2">
        <v>1</v>
      </c>
      <c r="C359" s="2" t="s">
        <v>244</v>
      </c>
      <c r="D359" s="2" t="s">
        <v>25</v>
      </c>
      <c r="E359" s="2">
        <v>20140811</v>
      </c>
      <c r="F359" s="2">
        <v>20140813</v>
      </c>
      <c r="G359" s="2">
        <v>1361.9</v>
      </c>
      <c r="H359" s="2">
        <v>1031.7</v>
      </c>
      <c r="I359" s="2">
        <v>2</v>
      </c>
      <c r="J359" s="2" t="s">
        <v>245</v>
      </c>
      <c r="K359" s="2" t="s">
        <v>210</v>
      </c>
      <c r="L359" s="2" t="s">
        <v>1553</v>
      </c>
      <c r="M359" s="7" t="s">
        <v>1554</v>
      </c>
      <c r="N359" s="7" t="s">
        <v>1555</v>
      </c>
      <c r="O359" s="2"/>
      <c r="P359" s="2"/>
      <c r="Q359" s="2" t="str">
        <f>IF(SUMPRODUCT(--ISNUMBER(SEARCH('National Domains'!$A$2:$A$48,L359)))&gt;0,"Yes","No")</f>
        <v>Yes</v>
      </c>
      <c r="R359" s="2" t="str">
        <f>IF(COUNTIFS(Calibration!$A:$A,A359,Calibration!$B:$B,B359)&gt;0,"Yes","No")</f>
        <v>No</v>
      </c>
      <c r="S359" s="6"/>
    </row>
    <row r="360" spans="1:19" ht="34.5" customHeight="1" x14ac:dyDescent="0.2">
      <c r="A360" s="2">
        <v>121</v>
      </c>
      <c r="B360" s="2">
        <v>2</v>
      </c>
      <c r="C360" s="2" t="s">
        <v>244</v>
      </c>
      <c r="D360" s="2" t="s">
        <v>25</v>
      </c>
      <c r="E360" s="2">
        <v>20140811</v>
      </c>
      <c r="F360" s="2">
        <v>20140813</v>
      </c>
      <c r="G360" s="2">
        <v>1361.9</v>
      </c>
      <c r="H360" s="2">
        <v>1031.7</v>
      </c>
      <c r="I360" s="2">
        <v>2</v>
      </c>
      <c r="J360" s="2" t="s">
        <v>245</v>
      </c>
      <c r="K360" s="2" t="s">
        <v>210</v>
      </c>
      <c r="L360" s="2" t="s">
        <v>1556</v>
      </c>
      <c r="M360" s="7" t="s">
        <v>1557</v>
      </c>
      <c r="N360" s="7" t="s">
        <v>1558</v>
      </c>
      <c r="O360" s="2"/>
      <c r="P360" s="2"/>
      <c r="Q360" s="2" t="str">
        <f>IF(SUMPRODUCT(--ISNUMBER(SEARCH('National Domains'!$A$2:$A$48,L360)))&gt;0,"Yes","No")</f>
        <v>Yes</v>
      </c>
      <c r="R360" s="2" t="str">
        <f>IF(COUNTIFS(Calibration!$A:$A,A360,Calibration!$B:$B,B360)&gt;0,"Yes","No")</f>
        <v>No</v>
      </c>
      <c r="S360" s="6"/>
    </row>
    <row r="361" spans="1:19" ht="34.5" customHeight="1" x14ac:dyDescent="0.2">
      <c r="A361" s="2">
        <v>123</v>
      </c>
      <c r="B361" s="2">
        <v>1</v>
      </c>
      <c r="C361" s="2" t="s">
        <v>248</v>
      </c>
      <c r="D361" s="2" t="s">
        <v>29</v>
      </c>
      <c r="E361" s="2">
        <v>20140101</v>
      </c>
      <c r="F361" s="2">
        <v>20141231</v>
      </c>
      <c r="G361" s="2">
        <v>5334.8</v>
      </c>
      <c r="H361" s="2">
        <v>3951.7</v>
      </c>
      <c r="I361" s="2">
        <v>0</v>
      </c>
      <c r="J361" s="2" t="s">
        <v>22</v>
      </c>
      <c r="K361" s="2" t="s">
        <v>23</v>
      </c>
      <c r="L361" s="2" t="s">
        <v>1559</v>
      </c>
      <c r="M361" s="7" t="s">
        <v>1560</v>
      </c>
      <c r="N361" s="7" t="s">
        <v>1561</v>
      </c>
      <c r="O361" s="2"/>
      <c r="P361" s="2"/>
      <c r="Q361" s="2" t="str">
        <f>IF(SUMPRODUCT(--ISNUMBER(SEARCH('National Domains'!$A$2:$A$48,L361)))&gt;0,"Yes","No")</f>
        <v>No</v>
      </c>
      <c r="R361" s="2" t="str">
        <f>IF(COUNTIFS(Calibration!$A:$A,A361,Calibration!$B:$B,B361)&gt;0,"Yes","No")</f>
        <v>No</v>
      </c>
      <c r="S361" s="6"/>
    </row>
    <row r="362" spans="1:19" ht="34.5" customHeight="1" x14ac:dyDescent="0.2">
      <c r="A362" s="2">
        <v>123</v>
      </c>
      <c r="B362" s="2">
        <v>2</v>
      </c>
      <c r="C362" s="2" t="s">
        <v>248</v>
      </c>
      <c r="D362" s="2" t="s">
        <v>29</v>
      </c>
      <c r="E362" s="2">
        <v>20140101</v>
      </c>
      <c r="F362" s="2">
        <v>20141231</v>
      </c>
      <c r="G362" s="2">
        <v>5334.8</v>
      </c>
      <c r="H362" s="2">
        <v>3951.7</v>
      </c>
      <c r="I362" s="2">
        <v>0</v>
      </c>
      <c r="J362" s="2" t="s">
        <v>22</v>
      </c>
      <c r="K362" s="2" t="s">
        <v>23</v>
      </c>
      <c r="L362" s="2" t="s">
        <v>1562</v>
      </c>
      <c r="M362" s="7" t="s">
        <v>1563</v>
      </c>
      <c r="N362" s="7" t="s">
        <v>1564</v>
      </c>
      <c r="O362" s="2"/>
      <c r="P362" s="2"/>
      <c r="Q362" s="2" t="str">
        <f>IF(SUMPRODUCT(--ISNUMBER(SEARCH('National Domains'!$A$2:$A$48,L362)))&gt;0,"Yes","No")</f>
        <v>Yes</v>
      </c>
      <c r="R362" s="2" t="str">
        <f>IF(COUNTIFS(Calibration!$A:$A,A362,Calibration!$B:$B,B362)&gt;0,"Yes","No")</f>
        <v>No</v>
      </c>
      <c r="S362" s="6"/>
    </row>
    <row r="363" spans="1:19" ht="34.5" customHeight="1" x14ac:dyDescent="0.2">
      <c r="A363" s="2">
        <v>123</v>
      </c>
      <c r="B363" s="2">
        <v>3</v>
      </c>
      <c r="C363" s="2" t="s">
        <v>248</v>
      </c>
      <c r="D363" s="2" t="s">
        <v>29</v>
      </c>
      <c r="E363" s="2">
        <v>20140101</v>
      </c>
      <c r="F363" s="2">
        <v>20141231</v>
      </c>
      <c r="G363" s="2">
        <v>5334.8</v>
      </c>
      <c r="H363" s="2">
        <v>3951.7</v>
      </c>
      <c r="I363" s="2">
        <v>0</v>
      </c>
      <c r="J363" s="2" t="s">
        <v>22</v>
      </c>
      <c r="K363" s="2" t="s">
        <v>23</v>
      </c>
      <c r="L363" s="2" t="s">
        <v>1565</v>
      </c>
      <c r="M363" s="7" t="s">
        <v>1566</v>
      </c>
      <c r="N363" s="7" t="s">
        <v>1567</v>
      </c>
      <c r="O363" s="2"/>
      <c r="P363" s="2"/>
      <c r="Q363" s="2" t="str">
        <f>IF(SUMPRODUCT(--ISNUMBER(SEARCH('National Domains'!$A$2:$A$48,L363)))&gt;0,"Yes","No")</f>
        <v>No</v>
      </c>
      <c r="R363" s="2" t="str">
        <f>IF(COUNTIFS(Calibration!$A:$A,A363,Calibration!$B:$B,B363)&gt;0,"Yes","No")</f>
        <v>No</v>
      </c>
      <c r="S363" s="6"/>
    </row>
    <row r="364" spans="1:19" ht="34.5" customHeight="1" x14ac:dyDescent="0.2">
      <c r="A364" s="2">
        <v>123</v>
      </c>
      <c r="B364" s="2">
        <v>4</v>
      </c>
      <c r="C364" s="2" t="s">
        <v>248</v>
      </c>
      <c r="D364" s="2" t="s">
        <v>29</v>
      </c>
      <c r="E364" s="2">
        <v>20140101</v>
      </c>
      <c r="F364" s="2">
        <v>20141231</v>
      </c>
      <c r="G364" s="2">
        <v>5334.8</v>
      </c>
      <c r="H364" s="2">
        <v>3951.7</v>
      </c>
      <c r="I364" s="2">
        <v>0</v>
      </c>
      <c r="J364" s="2" t="s">
        <v>22</v>
      </c>
      <c r="K364" s="2" t="s">
        <v>23</v>
      </c>
      <c r="L364" s="2" t="s">
        <v>1568</v>
      </c>
      <c r="M364" s="7" t="s">
        <v>1569</v>
      </c>
      <c r="N364" s="7" t="s">
        <v>1570</v>
      </c>
      <c r="O364" s="2"/>
      <c r="P364" s="2"/>
      <c r="Q364" s="2" t="str">
        <f>IF(SUMPRODUCT(--ISNUMBER(SEARCH('National Domains'!$A$2:$A$48,L364)))&gt;0,"Yes","No")</f>
        <v>No</v>
      </c>
      <c r="R364" s="2" t="str">
        <f>IF(COUNTIFS(Calibration!$A:$A,A364,Calibration!$B:$B,B364)&gt;0,"Yes","No")</f>
        <v>No</v>
      </c>
      <c r="S364" s="6"/>
    </row>
    <row r="365" spans="1:19" ht="34.5" customHeight="1" x14ac:dyDescent="0.2">
      <c r="A365" s="2">
        <v>123</v>
      </c>
      <c r="B365" s="2">
        <v>5</v>
      </c>
      <c r="C365" s="2" t="s">
        <v>248</v>
      </c>
      <c r="D365" s="2" t="s">
        <v>29</v>
      </c>
      <c r="E365" s="2">
        <v>20140101</v>
      </c>
      <c r="F365" s="2">
        <v>20141231</v>
      </c>
      <c r="G365" s="2">
        <v>5334.8</v>
      </c>
      <c r="H365" s="2">
        <v>3951.7</v>
      </c>
      <c r="I365" s="2">
        <v>0</v>
      </c>
      <c r="J365" s="2" t="s">
        <v>22</v>
      </c>
      <c r="K365" s="2" t="s">
        <v>23</v>
      </c>
      <c r="L365" s="2" t="s">
        <v>1571</v>
      </c>
      <c r="M365" s="7" t="s">
        <v>1572</v>
      </c>
      <c r="N365" s="7" t="s">
        <v>1573</v>
      </c>
      <c r="O365" s="2"/>
      <c r="P365" s="2"/>
      <c r="Q365" s="2" t="str">
        <f>IF(SUMPRODUCT(--ISNUMBER(SEARCH('National Domains'!$A$2:$A$48,L365)))&gt;0,"Yes","No")</f>
        <v>Yes</v>
      </c>
      <c r="R365" s="2" t="str">
        <f>IF(COUNTIFS(Calibration!$A:$A,A365,Calibration!$B:$B,B365)&gt;0,"Yes","No")</f>
        <v>No</v>
      </c>
      <c r="S365" s="6"/>
    </row>
    <row r="366" spans="1:19" ht="34.5" customHeight="1" x14ac:dyDescent="0.2">
      <c r="A366" s="2">
        <v>123</v>
      </c>
      <c r="B366" s="2">
        <v>6</v>
      </c>
      <c r="C366" s="2" t="s">
        <v>248</v>
      </c>
      <c r="D366" s="2" t="s">
        <v>29</v>
      </c>
      <c r="E366" s="2">
        <v>20140101</v>
      </c>
      <c r="F366" s="2">
        <v>20141231</v>
      </c>
      <c r="G366" s="2">
        <v>5334.8</v>
      </c>
      <c r="H366" s="2">
        <v>3951.7</v>
      </c>
      <c r="I366" s="2">
        <v>0</v>
      </c>
      <c r="J366" s="2" t="s">
        <v>22</v>
      </c>
      <c r="K366" s="2" t="s">
        <v>23</v>
      </c>
      <c r="L366" s="2" t="s">
        <v>1574</v>
      </c>
      <c r="M366" s="7" t="s">
        <v>1575</v>
      </c>
      <c r="N366" s="7" t="s">
        <v>1576</v>
      </c>
      <c r="O366" s="2"/>
      <c r="P366" s="2"/>
      <c r="Q366" s="2" t="str">
        <f>IF(SUMPRODUCT(--ISNUMBER(SEARCH('National Domains'!$A$2:$A$48,L366)))&gt;0,"Yes","No")</f>
        <v>Yes</v>
      </c>
      <c r="R366" s="2" t="str">
        <f>IF(COUNTIFS(Calibration!$A:$A,A366,Calibration!$B:$B,B366)&gt;0,"Yes","No")</f>
        <v>No</v>
      </c>
      <c r="S366" s="6"/>
    </row>
    <row r="367" spans="1:19" ht="34.5" customHeight="1" x14ac:dyDescent="0.2">
      <c r="A367" s="2">
        <v>123</v>
      </c>
      <c r="B367" s="2">
        <v>7</v>
      </c>
      <c r="C367" s="2" t="s">
        <v>248</v>
      </c>
      <c r="D367" s="2" t="s">
        <v>29</v>
      </c>
      <c r="E367" s="2">
        <v>20140101</v>
      </c>
      <c r="F367" s="2">
        <v>20141231</v>
      </c>
      <c r="G367" s="2">
        <v>5334.8</v>
      </c>
      <c r="H367" s="2">
        <v>3951.7</v>
      </c>
      <c r="I367" s="2">
        <v>0</v>
      </c>
      <c r="J367" s="2" t="s">
        <v>22</v>
      </c>
      <c r="K367" s="2" t="s">
        <v>23</v>
      </c>
      <c r="L367" s="2" t="s">
        <v>1577</v>
      </c>
      <c r="M367" s="7" t="s">
        <v>1578</v>
      </c>
      <c r="N367" s="7" t="s">
        <v>1579</v>
      </c>
      <c r="O367" s="2"/>
      <c r="P367" s="2"/>
      <c r="Q367" s="2" t="str">
        <f>IF(SUMPRODUCT(--ISNUMBER(SEARCH('National Domains'!$A$2:$A$48,L367)))&gt;0,"Yes","No")</f>
        <v>Yes</v>
      </c>
      <c r="R367" s="2" t="str">
        <f>IF(COUNTIFS(Calibration!$A:$A,A367,Calibration!$B:$B,B367)&gt;0,"Yes","No")</f>
        <v>No</v>
      </c>
      <c r="S367" s="6"/>
    </row>
    <row r="368" spans="1:19" ht="34.5" customHeight="1" x14ac:dyDescent="0.2">
      <c r="A368" s="2">
        <v>123</v>
      </c>
      <c r="B368" s="2">
        <v>8</v>
      </c>
      <c r="C368" s="2" t="s">
        <v>248</v>
      </c>
      <c r="D368" s="2" t="s">
        <v>29</v>
      </c>
      <c r="E368" s="2">
        <v>20140101</v>
      </c>
      <c r="F368" s="2">
        <v>20141231</v>
      </c>
      <c r="G368" s="2">
        <v>5334.8</v>
      </c>
      <c r="H368" s="2">
        <v>3951.7</v>
      </c>
      <c r="I368" s="2">
        <v>0</v>
      </c>
      <c r="J368" s="2" t="s">
        <v>22</v>
      </c>
      <c r="K368" s="2" t="s">
        <v>23</v>
      </c>
      <c r="L368" s="2" t="s">
        <v>1580</v>
      </c>
      <c r="M368" s="7" t="s">
        <v>1581</v>
      </c>
      <c r="N368" s="7" t="s">
        <v>1582</v>
      </c>
      <c r="O368" s="2"/>
      <c r="P368" s="2"/>
      <c r="Q368" s="2" t="str">
        <f>IF(SUMPRODUCT(--ISNUMBER(SEARCH('National Domains'!$A$2:$A$48,L368)))&gt;0,"Yes","No")</f>
        <v>Yes</v>
      </c>
      <c r="R368" s="2" t="str">
        <f>IF(COUNTIFS(Calibration!$A:$A,A368,Calibration!$B:$B,B368)&gt;0,"Yes","No")</f>
        <v>No</v>
      </c>
      <c r="S368" s="6"/>
    </row>
    <row r="369" spans="1:19" ht="34.5" customHeight="1" x14ac:dyDescent="0.2">
      <c r="A369" s="2">
        <v>123</v>
      </c>
      <c r="B369" s="2">
        <v>9</v>
      </c>
      <c r="C369" s="2" t="s">
        <v>248</v>
      </c>
      <c r="D369" s="2" t="s">
        <v>29</v>
      </c>
      <c r="E369" s="2">
        <v>20140101</v>
      </c>
      <c r="F369" s="2">
        <v>20141231</v>
      </c>
      <c r="G369" s="2">
        <v>5334.8</v>
      </c>
      <c r="H369" s="2">
        <v>3951.7</v>
      </c>
      <c r="I369" s="2">
        <v>0</v>
      </c>
      <c r="J369" s="2" t="s">
        <v>22</v>
      </c>
      <c r="K369" s="2" t="s">
        <v>23</v>
      </c>
      <c r="L369" s="2" t="s">
        <v>1583</v>
      </c>
      <c r="M369" s="7" t="s">
        <v>1584</v>
      </c>
      <c r="N369" s="7" t="s">
        <v>1585</v>
      </c>
      <c r="O369" s="2"/>
      <c r="P369" s="2"/>
      <c r="Q369" s="2" t="str">
        <f>IF(SUMPRODUCT(--ISNUMBER(SEARCH('National Domains'!$A$2:$A$48,L369)))&gt;0,"Yes","No")</f>
        <v>Yes</v>
      </c>
      <c r="R369" s="2" t="str">
        <f>IF(COUNTIFS(Calibration!$A:$A,A369,Calibration!$B:$B,B369)&gt;0,"Yes","No")</f>
        <v>No</v>
      </c>
      <c r="S369" s="6"/>
    </row>
    <row r="370" spans="1:19" ht="34.5" customHeight="1" x14ac:dyDescent="0.2">
      <c r="A370" s="2">
        <v>123</v>
      </c>
      <c r="B370" s="2">
        <v>10</v>
      </c>
      <c r="C370" s="2" t="s">
        <v>248</v>
      </c>
      <c r="D370" s="2" t="s">
        <v>29</v>
      </c>
      <c r="E370" s="2">
        <v>20140101</v>
      </c>
      <c r="F370" s="2">
        <v>20141231</v>
      </c>
      <c r="G370" s="2">
        <v>5334.8</v>
      </c>
      <c r="H370" s="2">
        <v>3951.7</v>
      </c>
      <c r="I370" s="2">
        <v>0</v>
      </c>
      <c r="J370" s="2" t="s">
        <v>22</v>
      </c>
      <c r="K370" s="2" t="s">
        <v>23</v>
      </c>
      <c r="L370" s="2" t="s">
        <v>1586</v>
      </c>
      <c r="M370" s="7" t="s">
        <v>1587</v>
      </c>
      <c r="N370" s="7" t="s">
        <v>1588</v>
      </c>
      <c r="O370" s="2"/>
      <c r="P370" s="2"/>
      <c r="Q370" s="2" t="str">
        <f>IF(SUMPRODUCT(--ISNUMBER(SEARCH('National Domains'!$A$2:$A$48,L370)))&gt;0,"Yes","No")</f>
        <v>Yes</v>
      </c>
      <c r="R370" s="2" t="str">
        <f>IF(COUNTIFS(Calibration!$A:$A,A370,Calibration!$B:$B,B370)&gt;0,"Yes","No")</f>
        <v>No</v>
      </c>
      <c r="S370" s="6"/>
    </row>
    <row r="371" spans="1:19" ht="34.5" customHeight="1" x14ac:dyDescent="0.2">
      <c r="A371" s="2">
        <v>123</v>
      </c>
      <c r="B371" s="2">
        <v>11</v>
      </c>
      <c r="C371" s="2" t="s">
        <v>248</v>
      </c>
      <c r="D371" s="2" t="s">
        <v>29</v>
      </c>
      <c r="E371" s="2">
        <v>20140101</v>
      </c>
      <c r="F371" s="2">
        <v>20141231</v>
      </c>
      <c r="G371" s="2">
        <v>5334.8</v>
      </c>
      <c r="H371" s="2">
        <v>3951.7</v>
      </c>
      <c r="I371" s="2">
        <v>0</v>
      </c>
      <c r="J371" s="2" t="s">
        <v>22</v>
      </c>
      <c r="K371" s="2" t="s">
        <v>23</v>
      </c>
      <c r="L371" s="2" t="s">
        <v>1589</v>
      </c>
      <c r="M371" s="7" t="s">
        <v>1590</v>
      </c>
      <c r="N371" s="7" t="s">
        <v>1591</v>
      </c>
      <c r="O371" s="2"/>
      <c r="P371" s="2"/>
      <c r="Q371" s="2" t="str">
        <f>IF(SUMPRODUCT(--ISNUMBER(SEARCH('National Domains'!$A$2:$A$48,L371)))&gt;0,"Yes","No")</f>
        <v>Yes</v>
      </c>
      <c r="R371" s="2" t="str">
        <f>IF(COUNTIFS(Calibration!$A:$A,A371,Calibration!$B:$B,B371)&gt;0,"Yes","No")</f>
        <v>No</v>
      </c>
      <c r="S371" s="6"/>
    </row>
    <row r="372" spans="1:19" ht="34.5" customHeight="1" x14ac:dyDescent="0.2">
      <c r="A372" s="2">
        <v>123</v>
      </c>
      <c r="B372" s="2">
        <v>12</v>
      </c>
      <c r="C372" s="2" t="s">
        <v>248</v>
      </c>
      <c r="D372" s="2" t="s">
        <v>29</v>
      </c>
      <c r="E372" s="2">
        <v>20140101</v>
      </c>
      <c r="F372" s="2">
        <v>20141231</v>
      </c>
      <c r="G372" s="2">
        <v>5334.8</v>
      </c>
      <c r="H372" s="2">
        <v>3951.7</v>
      </c>
      <c r="I372" s="2">
        <v>0</v>
      </c>
      <c r="J372" s="2" t="s">
        <v>22</v>
      </c>
      <c r="K372" s="2" t="s">
        <v>23</v>
      </c>
      <c r="L372" s="2" t="s">
        <v>1592</v>
      </c>
      <c r="M372" s="7" t="s">
        <v>741</v>
      </c>
      <c r="N372" s="7" t="s">
        <v>1593</v>
      </c>
      <c r="O372" s="2"/>
      <c r="P372" s="2"/>
      <c r="Q372" s="2" t="str">
        <f>IF(SUMPRODUCT(--ISNUMBER(SEARCH('National Domains'!$A$2:$A$48,L372)))&gt;0,"Yes","No")</f>
        <v>Yes</v>
      </c>
      <c r="R372" s="2" t="str">
        <f>IF(COUNTIFS(Calibration!$A:$A,A372,Calibration!$B:$B,B372)&gt;0,"Yes","No")</f>
        <v>No</v>
      </c>
      <c r="S372" s="6"/>
    </row>
    <row r="373" spans="1:19" ht="34.5" customHeight="1" x14ac:dyDescent="0.2">
      <c r="A373" s="2">
        <v>123</v>
      </c>
      <c r="B373" s="2">
        <v>13</v>
      </c>
      <c r="C373" s="2" t="s">
        <v>248</v>
      </c>
      <c r="D373" s="2" t="s">
        <v>29</v>
      </c>
      <c r="E373" s="2">
        <v>20140101</v>
      </c>
      <c r="F373" s="2">
        <v>20141231</v>
      </c>
      <c r="G373" s="2">
        <v>5334.8</v>
      </c>
      <c r="H373" s="2">
        <v>3951.7</v>
      </c>
      <c r="I373" s="2">
        <v>0</v>
      </c>
      <c r="J373" s="2" t="s">
        <v>22</v>
      </c>
      <c r="K373" s="2" t="s">
        <v>23</v>
      </c>
      <c r="L373" s="2" t="s">
        <v>1594</v>
      </c>
      <c r="M373" s="7" t="s">
        <v>1590</v>
      </c>
      <c r="N373" s="7" t="s">
        <v>1595</v>
      </c>
      <c r="O373" s="2"/>
      <c r="P373" s="2"/>
      <c r="Q373" s="2" t="str">
        <f>IF(SUMPRODUCT(--ISNUMBER(SEARCH('National Domains'!$A$2:$A$48,L373)))&gt;0,"Yes","No")</f>
        <v>Yes</v>
      </c>
      <c r="R373" s="2" t="str">
        <f>IF(COUNTIFS(Calibration!$A:$A,A373,Calibration!$B:$B,B373)&gt;0,"Yes","No")</f>
        <v>No</v>
      </c>
      <c r="S373" s="6"/>
    </row>
    <row r="374" spans="1:19" ht="34.5" customHeight="1" x14ac:dyDescent="0.2">
      <c r="A374" s="2">
        <v>124</v>
      </c>
      <c r="B374" s="2">
        <v>1</v>
      </c>
      <c r="C374" s="2" t="s">
        <v>249</v>
      </c>
      <c r="D374" s="2" t="s">
        <v>13</v>
      </c>
      <c r="E374" s="2">
        <v>20150214</v>
      </c>
      <c r="F374" s="2">
        <v>20150220</v>
      </c>
      <c r="G374" s="2">
        <v>3969.3</v>
      </c>
      <c r="H374" s="2">
        <v>2962.1</v>
      </c>
      <c r="I374" s="2">
        <v>30</v>
      </c>
      <c r="J374" s="2" t="s">
        <v>250</v>
      </c>
      <c r="K374" s="2" t="s">
        <v>251</v>
      </c>
      <c r="L374" s="2" t="s">
        <v>1596</v>
      </c>
      <c r="M374" s="7" t="s">
        <v>1597</v>
      </c>
      <c r="N374" s="7" t="s">
        <v>1598</v>
      </c>
      <c r="O374" s="2"/>
      <c r="P374" s="2"/>
      <c r="Q374" s="2" t="str">
        <f>IF(SUMPRODUCT(--ISNUMBER(SEARCH('National Domains'!$A$2:$A$48,L374)))&gt;0,"Yes","No")</f>
        <v>No</v>
      </c>
      <c r="R374" s="2" t="str">
        <f>IF(COUNTIFS(Calibration!$A:$A,A374,Calibration!$B:$B,B374)&gt;0,"Yes","No")</f>
        <v>No</v>
      </c>
      <c r="S374" s="6"/>
    </row>
    <row r="375" spans="1:19" ht="34.5" customHeight="1" x14ac:dyDescent="0.2">
      <c r="A375" s="2">
        <v>124</v>
      </c>
      <c r="B375" s="2">
        <v>2</v>
      </c>
      <c r="C375" s="2" t="s">
        <v>249</v>
      </c>
      <c r="D375" s="2" t="s">
        <v>13</v>
      </c>
      <c r="E375" s="2">
        <v>20150214</v>
      </c>
      <c r="F375" s="2">
        <v>20150220</v>
      </c>
      <c r="G375" s="2">
        <v>3969.3</v>
      </c>
      <c r="H375" s="2">
        <v>2962.1</v>
      </c>
      <c r="I375" s="2">
        <v>30</v>
      </c>
      <c r="J375" s="2" t="s">
        <v>250</v>
      </c>
      <c r="K375" s="2" t="s">
        <v>251</v>
      </c>
      <c r="L375" s="2" t="s">
        <v>1599</v>
      </c>
      <c r="M375" s="7" t="s">
        <v>1600</v>
      </c>
      <c r="N375" s="7" t="s">
        <v>1601</v>
      </c>
      <c r="O375" s="2"/>
      <c r="P375" s="2"/>
      <c r="Q375" s="2" t="str">
        <f>IF(SUMPRODUCT(--ISNUMBER(SEARCH('National Domains'!$A$2:$A$48,L375)))&gt;0,"Yes","No")</f>
        <v>No</v>
      </c>
      <c r="R375" s="2" t="str">
        <f>IF(COUNTIFS(Calibration!$A:$A,A375,Calibration!$B:$B,B375)&gt;0,"Yes","No")</f>
        <v>No</v>
      </c>
      <c r="S375" s="6"/>
    </row>
    <row r="376" spans="1:19" ht="34.5" customHeight="1" x14ac:dyDescent="0.2">
      <c r="A376" s="2">
        <v>124</v>
      </c>
      <c r="B376" s="2">
        <v>3</v>
      </c>
      <c r="C376" s="2" t="s">
        <v>249</v>
      </c>
      <c r="D376" s="2" t="s">
        <v>13</v>
      </c>
      <c r="E376" s="2">
        <v>20150214</v>
      </c>
      <c r="F376" s="2">
        <v>20150220</v>
      </c>
      <c r="G376" s="2">
        <v>3969.3</v>
      </c>
      <c r="H376" s="2">
        <v>2962.1</v>
      </c>
      <c r="I376" s="2">
        <v>30</v>
      </c>
      <c r="J376" s="2" t="s">
        <v>250</v>
      </c>
      <c r="K376" s="2" t="s">
        <v>251</v>
      </c>
      <c r="L376" s="2" t="s">
        <v>1602</v>
      </c>
      <c r="M376" s="7" t="s">
        <v>1603</v>
      </c>
      <c r="N376" s="7" t="s">
        <v>1604</v>
      </c>
      <c r="O376" s="2"/>
      <c r="P376" s="2"/>
      <c r="Q376" s="2" t="str">
        <f>IF(SUMPRODUCT(--ISNUMBER(SEARCH('National Domains'!$A$2:$A$48,L376)))&gt;0,"Yes","No")</f>
        <v>No</v>
      </c>
      <c r="R376" s="2" t="str">
        <f>IF(COUNTIFS(Calibration!$A:$A,A376,Calibration!$B:$B,B376)&gt;0,"Yes","No")</f>
        <v>No</v>
      </c>
      <c r="S376" s="6"/>
    </row>
    <row r="377" spans="1:19" ht="34.5" customHeight="1" x14ac:dyDescent="0.2">
      <c r="A377" s="2">
        <v>124</v>
      </c>
      <c r="B377" s="2">
        <v>4</v>
      </c>
      <c r="C377" s="2" t="s">
        <v>249</v>
      </c>
      <c r="D377" s="2" t="s">
        <v>13</v>
      </c>
      <c r="E377" s="2">
        <v>20150214</v>
      </c>
      <c r="F377" s="2">
        <v>20150220</v>
      </c>
      <c r="G377" s="2">
        <v>3969.3</v>
      </c>
      <c r="H377" s="2">
        <v>2962.1</v>
      </c>
      <c r="I377" s="2">
        <v>30</v>
      </c>
      <c r="J377" s="2" t="s">
        <v>250</v>
      </c>
      <c r="K377" s="2" t="s">
        <v>251</v>
      </c>
      <c r="L377" s="2" t="s">
        <v>1605</v>
      </c>
      <c r="M377" s="7" t="s">
        <v>1600</v>
      </c>
      <c r="N377" s="7" t="s">
        <v>1606</v>
      </c>
      <c r="O377" s="2"/>
      <c r="P377" s="2"/>
      <c r="Q377" s="2" t="str">
        <f>IF(SUMPRODUCT(--ISNUMBER(SEARCH('National Domains'!$A$2:$A$48,L377)))&gt;0,"Yes","No")</f>
        <v>No</v>
      </c>
      <c r="R377" s="2" t="str">
        <f>IF(COUNTIFS(Calibration!$A:$A,A377,Calibration!$B:$B,B377)&gt;0,"Yes","No")</f>
        <v>No</v>
      </c>
      <c r="S377" s="6"/>
    </row>
    <row r="378" spans="1:19" ht="34.5" customHeight="1" x14ac:dyDescent="0.2">
      <c r="A378" s="2">
        <v>124</v>
      </c>
      <c r="B378" s="2">
        <v>5</v>
      </c>
      <c r="C378" s="2" t="s">
        <v>249</v>
      </c>
      <c r="D378" s="2" t="s">
        <v>13</v>
      </c>
      <c r="E378" s="2">
        <v>20150214</v>
      </c>
      <c r="F378" s="2">
        <v>20150220</v>
      </c>
      <c r="G378" s="2">
        <v>3969.3</v>
      </c>
      <c r="H378" s="2">
        <v>2962.1</v>
      </c>
      <c r="I378" s="2">
        <v>30</v>
      </c>
      <c r="J378" s="2" t="s">
        <v>250</v>
      </c>
      <c r="K378" s="2" t="s">
        <v>251</v>
      </c>
      <c r="L378" s="2" t="s">
        <v>1607</v>
      </c>
      <c r="M378" s="7" t="s">
        <v>1608</v>
      </c>
      <c r="N378" s="7" t="s">
        <v>1609</v>
      </c>
      <c r="O378" s="2"/>
      <c r="P378" s="2"/>
      <c r="Q378" s="2" t="str">
        <f>IF(SUMPRODUCT(--ISNUMBER(SEARCH('National Domains'!$A$2:$A$48,L378)))&gt;0,"Yes","No")</f>
        <v>No</v>
      </c>
      <c r="R378" s="2" t="str">
        <f>IF(COUNTIFS(Calibration!$A:$A,A378,Calibration!$B:$B,B378)&gt;0,"Yes","No")</f>
        <v>No</v>
      </c>
      <c r="S378" s="6"/>
    </row>
    <row r="379" spans="1:19" ht="34.5" customHeight="1" x14ac:dyDescent="0.2">
      <c r="A379" s="2">
        <v>124</v>
      </c>
      <c r="B379" s="2">
        <v>6</v>
      </c>
      <c r="C379" s="2" t="s">
        <v>249</v>
      </c>
      <c r="D379" s="2" t="s">
        <v>13</v>
      </c>
      <c r="E379" s="2">
        <v>20150214</v>
      </c>
      <c r="F379" s="2">
        <v>20150220</v>
      </c>
      <c r="G379" s="2">
        <v>3969.3</v>
      </c>
      <c r="H379" s="2">
        <v>2962.1</v>
      </c>
      <c r="I379" s="2">
        <v>30</v>
      </c>
      <c r="J379" s="2" t="s">
        <v>250</v>
      </c>
      <c r="K379" s="2" t="s">
        <v>251</v>
      </c>
      <c r="L379" s="2" t="s">
        <v>1610</v>
      </c>
      <c r="M379" s="7" t="s">
        <v>1611</v>
      </c>
      <c r="N379" s="7" t="s">
        <v>1612</v>
      </c>
      <c r="O379" s="2"/>
      <c r="P379" s="2"/>
      <c r="Q379" s="2" t="str">
        <f>IF(SUMPRODUCT(--ISNUMBER(SEARCH('National Domains'!$A$2:$A$48,L379)))&gt;0,"Yes","No")</f>
        <v>No</v>
      </c>
      <c r="R379" s="2" t="str">
        <f>IF(COUNTIFS(Calibration!$A:$A,A379,Calibration!$B:$B,B379)&gt;0,"Yes","No")</f>
        <v>No</v>
      </c>
      <c r="S379" s="6"/>
    </row>
    <row r="380" spans="1:19" ht="34.5" customHeight="1" x14ac:dyDescent="0.2">
      <c r="A380" s="2">
        <v>124</v>
      </c>
      <c r="B380" s="2">
        <v>7</v>
      </c>
      <c r="C380" s="2" t="s">
        <v>249</v>
      </c>
      <c r="D380" s="2" t="s">
        <v>13</v>
      </c>
      <c r="E380" s="2">
        <v>20150214</v>
      </c>
      <c r="F380" s="2">
        <v>20150220</v>
      </c>
      <c r="G380" s="2">
        <v>3969.3</v>
      </c>
      <c r="H380" s="2">
        <v>2962.1</v>
      </c>
      <c r="I380" s="2">
        <v>30</v>
      </c>
      <c r="J380" s="2" t="s">
        <v>250</v>
      </c>
      <c r="K380" s="2" t="s">
        <v>251</v>
      </c>
      <c r="L380" s="2" t="s">
        <v>1613</v>
      </c>
      <c r="M380" s="7" t="s">
        <v>1614</v>
      </c>
      <c r="N380" s="7" t="s">
        <v>1615</v>
      </c>
      <c r="O380" s="2"/>
      <c r="P380" s="2"/>
      <c r="Q380" s="2" t="str">
        <f>IF(SUMPRODUCT(--ISNUMBER(SEARCH('National Domains'!$A$2:$A$48,L380)))&gt;0,"Yes","No")</f>
        <v>Yes</v>
      </c>
      <c r="R380" s="2" t="str">
        <f>IF(COUNTIFS(Calibration!$A:$A,A380,Calibration!$B:$B,B380)&gt;0,"Yes","No")</f>
        <v>No</v>
      </c>
      <c r="S380" s="6"/>
    </row>
    <row r="381" spans="1:19" ht="34.5" customHeight="1" x14ac:dyDescent="0.2">
      <c r="A381" s="2">
        <v>124</v>
      </c>
      <c r="B381" s="2">
        <v>8</v>
      </c>
      <c r="C381" s="2" t="s">
        <v>249</v>
      </c>
      <c r="D381" s="2" t="s">
        <v>13</v>
      </c>
      <c r="E381" s="2">
        <v>20150214</v>
      </c>
      <c r="F381" s="2">
        <v>20150220</v>
      </c>
      <c r="G381" s="2">
        <v>3969.3</v>
      </c>
      <c r="H381" s="2">
        <v>2962.1</v>
      </c>
      <c r="I381" s="2">
        <v>30</v>
      </c>
      <c r="J381" s="2" t="s">
        <v>250</v>
      </c>
      <c r="K381" s="2" t="s">
        <v>251</v>
      </c>
      <c r="L381" s="2" t="s">
        <v>1616</v>
      </c>
      <c r="M381" s="7" t="s">
        <v>1617</v>
      </c>
      <c r="N381" s="7" t="s">
        <v>1618</v>
      </c>
      <c r="O381" s="2"/>
      <c r="P381" s="2"/>
      <c r="Q381" s="2" t="str">
        <f>IF(SUMPRODUCT(--ISNUMBER(SEARCH('National Domains'!$A$2:$A$48,L381)))&gt;0,"Yes","No")</f>
        <v>Yes</v>
      </c>
      <c r="R381" s="2" t="str">
        <f>IF(COUNTIFS(Calibration!$A:$A,A381,Calibration!$B:$B,B381)&gt;0,"Yes","No")</f>
        <v>No</v>
      </c>
      <c r="S381" s="6"/>
    </row>
    <row r="382" spans="1:19" ht="34.5" customHeight="1" x14ac:dyDescent="0.2">
      <c r="A382" s="2">
        <v>124</v>
      </c>
      <c r="B382" s="2">
        <v>9</v>
      </c>
      <c r="C382" s="2" t="s">
        <v>249</v>
      </c>
      <c r="D382" s="2" t="s">
        <v>13</v>
      </c>
      <c r="E382" s="2">
        <v>20150214</v>
      </c>
      <c r="F382" s="2">
        <v>20150220</v>
      </c>
      <c r="G382" s="2">
        <v>3969.3</v>
      </c>
      <c r="H382" s="2">
        <v>2962.1</v>
      </c>
      <c r="I382" s="2">
        <v>30</v>
      </c>
      <c r="J382" s="2" t="s">
        <v>250</v>
      </c>
      <c r="K382" s="2" t="s">
        <v>251</v>
      </c>
      <c r="L382" s="2" t="s">
        <v>1619</v>
      </c>
      <c r="M382" s="7" t="s">
        <v>1600</v>
      </c>
      <c r="N382" s="7" t="s">
        <v>1601</v>
      </c>
      <c r="O382" s="2"/>
      <c r="P382" s="2"/>
      <c r="Q382" s="2" t="str">
        <f>IF(SUMPRODUCT(--ISNUMBER(SEARCH('National Domains'!$A$2:$A$48,L382)))&gt;0,"Yes","No")</f>
        <v>Yes</v>
      </c>
      <c r="R382" s="2" t="str">
        <f>IF(COUNTIFS(Calibration!$A:$A,A382,Calibration!$B:$B,B382)&gt;0,"Yes","No")</f>
        <v>No</v>
      </c>
      <c r="S382" s="6"/>
    </row>
    <row r="383" spans="1:19" ht="34.5" customHeight="1" x14ac:dyDescent="0.2">
      <c r="A383" s="2">
        <v>124</v>
      </c>
      <c r="B383" s="2">
        <v>10</v>
      </c>
      <c r="C383" s="2" t="s">
        <v>249</v>
      </c>
      <c r="D383" s="2" t="s">
        <v>13</v>
      </c>
      <c r="E383" s="2">
        <v>20150214</v>
      </c>
      <c r="F383" s="2">
        <v>20150220</v>
      </c>
      <c r="G383" s="2">
        <v>3969.3</v>
      </c>
      <c r="H383" s="2">
        <v>2962.1</v>
      </c>
      <c r="I383" s="2">
        <v>30</v>
      </c>
      <c r="J383" s="2" t="s">
        <v>250</v>
      </c>
      <c r="K383" s="2" t="s">
        <v>251</v>
      </c>
      <c r="L383" s="2" t="s">
        <v>1620</v>
      </c>
      <c r="M383" s="7" t="s">
        <v>1621</v>
      </c>
      <c r="N383" s="7" t="s">
        <v>1622</v>
      </c>
      <c r="O383" s="2"/>
      <c r="P383" s="2"/>
      <c r="Q383" s="2" t="str">
        <f>IF(SUMPRODUCT(--ISNUMBER(SEARCH('National Domains'!$A$2:$A$48,L383)))&gt;0,"Yes","No")</f>
        <v>Yes</v>
      </c>
      <c r="R383" s="2" t="str">
        <f>IF(COUNTIFS(Calibration!$A:$A,A383,Calibration!$B:$B,B383)&gt;0,"Yes","No")</f>
        <v>No</v>
      </c>
      <c r="S383" s="6"/>
    </row>
    <row r="384" spans="1:19" ht="34.5" customHeight="1" x14ac:dyDescent="0.2">
      <c r="A384" s="2">
        <v>125</v>
      </c>
      <c r="B384" s="2">
        <v>1</v>
      </c>
      <c r="C384" s="2" t="s">
        <v>252</v>
      </c>
      <c r="D384" s="2" t="s">
        <v>17</v>
      </c>
      <c r="E384" s="2">
        <v>20150407</v>
      </c>
      <c r="F384" s="2">
        <v>20150409</v>
      </c>
      <c r="G384" s="2">
        <v>2069</v>
      </c>
      <c r="H384" s="2">
        <v>1555.6</v>
      </c>
      <c r="I384" s="2">
        <v>2</v>
      </c>
      <c r="J384" s="2" t="s">
        <v>33</v>
      </c>
      <c r="K384" s="2" t="s">
        <v>34</v>
      </c>
      <c r="L384" s="2" t="s">
        <v>1623</v>
      </c>
      <c r="M384" s="7" t="s">
        <v>1624</v>
      </c>
      <c r="N384" s="7" t="s">
        <v>1625</v>
      </c>
      <c r="O384" s="2"/>
      <c r="P384" s="2"/>
      <c r="Q384" s="2" t="str">
        <f>IF(SUMPRODUCT(--ISNUMBER(SEARCH('National Domains'!$A$2:$A$48,L384)))&gt;0,"Yes","No")</f>
        <v>Yes</v>
      </c>
      <c r="R384" s="2" t="str">
        <f>IF(COUNTIFS(Calibration!$A:$A,A384,Calibration!$B:$B,B384)&gt;0,"Yes","No")</f>
        <v>No</v>
      </c>
      <c r="S384" s="6"/>
    </row>
    <row r="385" spans="1:19" ht="34.5" customHeight="1" x14ac:dyDescent="0.2">
      <c r="A385" s="2">
        <v>127</v>
      </c>
      <c r="B385" s="2">
        <v>1</v>
      </c>
      <c r="C385" s="2" t="s">
        <v>254</v>
      </c>
      <c r="D385" s="2" t="s">
        <v>17</v>
      </c>
      <c r="E385" s="2">
        <v>20150424</v>
      </c>
      <c r="F385" s="2">
        <v>20150425</v>
      </c>
      <c r="G385" s="2">
        <v>1255.8</v>
      </c>
      <c r="H385" s="2">
        <v>944</v>
      </c>
      <c r="I385" s="2">
        <v>3</v>
      </c>
      <c r="J385" s="2" t="s">
        <v>134</v>
      </c>
      <c r="K385" s="2" t="s">
        <v>19</v>
      </c>
      <c r="L385" s="2" t="s">
        <v>1626</v>
      </c>
      <c r="M385" s="7" t="s">
        <v>1627</v>
      </c>
      <c r="N385" s="7" t="s">
        <v>1628</v>
      </c>
      <c r="O385" s="2"/>
      <c r="P385" s="2"/>
      <c r="Q385" s="2" t="str">
        <f>IF(SUMPRODUCT(--ISNUMBER(SEARCH('National Domains'!$A$2:$A$48,L385)))&gt;0,"Yes","No")</f>
        <v>No</v>
      </c>
      <c r="R385" s="2" t="str">
        <f>IF(COUNTIFS(Calibration!$A:$A,A385,Calibration!$B:$B,B385)&gt;0,"Yes","No")</f>
        <v>No</v>
      </c>
      <c r="S385" s="6"/>
    </row>
    <row r="386" spans="1:19" ht="34.5" customHeight="1" x14ac:dyDescent="0.2">
      <c r="A386" s="2">
        <v>128</v>
      </c>
      <c r="B386" s="2">
        <v>1</v>
      </c>
      <c r="C386" s="2" t="s">
        <v>255</v>
      </c>
      <c r="D386" s="2" t="s">
        <v>17</v>
      </c>
      <c r="E386" s="2">
        <v>20150506</v>
      </c>
      <c r="F386" s="2">
        <v>20150510</v>
      </c>
      <c r="G386" s="2">
        <v>1691.9</v>
      </c>
      <c r="H386" s="2">
        <v>1272.0999999999999</v>
      </c>
      <c r="I386" s="2">
        <v>4</v>
      </c>
      <c r="J386" s="2" t="s">
        <v>256</v>
      </c>
      <c r="K386" s="2" t="s">
        <v>186</v>
      </c>
      <c r="L386" s="2" t="s">
        <v>1629</v>
      </c>
      <c r="M386" s="7" t="s">
        <v>1630</v>
      </c>
      <c r="N386" s="7" t="s">
        <v>1631</v>
      </c>
      <c r="O386" s="2"/>
      <c r="P386" s="2"/>
      <c r="Q386" s="2" t="str">
        <f>IF(SUMPRODUCT(--ISNUMBER(SEARCH('National Domains'!$A$2:$A$48,L386)))&gt;0,"Yes","No")</f>
        <v>Yes</v>
      </c>
      <c r="R386" s="2" t="str">
        <f>IF(COUNTIFS(Calibration!$A:$A,A386,Calibration!$B:$B,B386)&gt;0,"Yes","No")</f>
        <v>No</v>
      </c>
      <c r="S386" s="6"/>
    </row>
    <row r="387" spans="1:19" ht="34.5" customHeight="1" x14ac:dyDescent="0.2">
      <c r="A387" s="2">
        <v>128</v>
      </c>
      <c r="B387" s="2">
        <v>2</v>
      </c>
      <c r="C387" s="2" t="s">
        <v>255</v>
      </c>
      <c r="D387" s="2" t="s">
        <v>17</v>
      </c>
      <c r="E387" s="2">
        <v>20150506</v>
      </c>
      <c r="F387" s="2">
        <v>20150510</v>
      </c>
      <c r="G387" s="2">
        <v>1691.9</v>
      </c>
      <c r="H387" s="2">
        <v>1272.0999999999999</v>
      </c>
      <c r="I387" s="2">
        <v>4</v>
      </c>
      <c r="J387" s="2" t="s">
        <v>256</v>
      </c>
      <c r="K387" s="2" t="s">
        <v>186</v>
      </c>
      <c r="L387" s="2" t="s">
        <v>1632</v>
      </c>
      <c r="M387" s="7" t="s">
        <v>1633</v>
      </c>
      <c r="N387" s="7" t="s">
        <v>1634</v>
      </c>
      <c r="O387" s="2"/>
      <c r="P387" s="2"/>
      <c r="Q387" s="2" t="str">
        <f>IF(SUMPRODUCT(--ISNUMBER(SEARCH('National Domains'!$A$2:$A$48,L387)))&gt;0,"Yes","No")</f>
        <v>No</v>
      </c>
      <c r="R387" s="2" t="str">
        <f>IF(COUNTIFS(Calibration!$A:$A,A387,Calibration!$B:$B,B387)&gt;0,"Yes","No")</f>
        <v>No</v>
      </c>
      <c r="S387" s="6"/>
    </row>
    <row r="388" spans="1:19" ht="34.5" customHeight="1" x14ac:dyDescent="0.2">
      <c r="A388" s="2">
        <v>128</v>
      </c>
      <c r="B388" s="2">
        <v>3</v>
      </c>
      <c r="C388" s="2" t="s">
        <v>255</v>
      </c>
      <c r="D388" s="2" t="s">
        <v>17</v>
      </c>
      <c r="E388" s="2">
        <v>20150506</v>
      </c>
      <c r="F388" s="2">
        <v>20150510</v>
      </c>
      <c r="G388" s="2">
        <v>1691.9</v>
      </c>
      <c r="H388" s="2">
        <v>1272.0999999999999</v>
      </c>
      <c r="I388" s="2">
        <v>4</v>
      </c>
      <c r="J388" s="2" t="s">
        <v>256</v>
      </c>
      <c r="K388" s="2" t="s">
        <v>186</v>
      </c>
      <c r="L388" s="2" t="s">
        <v>1635</v>
      </c>
      <c r="M388" s="7" t="s">
        <v>1636</v>
      </c>
      <c r="N388" s="7" t="s">
        <v>1637</v>
      </c>
      <c r="O388" s="2"/>
      <c r="P388" s="2"/>
      <c r="Q388" s="2" t="str">
        <f>IF(SUMPRODUCT(--ISNUMBER(SEARCH('National Domains'!$A$2:$A$48,L388)))&gt;0,"Yes","No")</f>
        <v>No</v>
      </c>
      <c r="R388" s="2" t="str">
        <f>IF(COUNTIFS(Calibration!$A:$A,A388,Calibration!$B:$B,B388)&gt;0,"Yes","No")</f>
        <v>No</v>
      </c>
      <c r="S388" s="6"/>
    </row>
    <row r="389" spans="1:19" ht="34.5" customHeight="1" x14ac:dyDescent="0.2">
      <c r="A389" s="2">
        <v>128</v>
      </c>
      <c r="B389" s="2">
        <v>4</v>
      </c>
      <c r="C389" s="2" t="s">
        <v>255</v>
      </c>
      <c r="D389" s="2" t="s">
        <v>17</v>
      </c>
      <c r="E389" s="2">
        <v>20150506</v>
      </c>
      <c r="F389" s="2">
        <v>20150510</v>
      </c>
      <c r="G389" s="2">
        <v>1691.9</v>
      </c>
      <c r="H389" s="2">
        <v>1272.0999999999999</v>
      </c>
      <c r="I389" s="2">
        <v>4</v>
      </c>
      <c r="J389" s="2" t="s">
        <v>256</v>
      </c>
      <c r="K389" s="2" t="s">
        <v>186</v>
      </c>
      <c r="L389" s="2" t="s">
        <v>1638</v>
      </c>
      <c r="M389" s="7" t="s">
        <v>1639</v>
      </c>
      <c r="N389" s="7" t="s">
        <v>1640</v>
      </c>
      <c r="O389" s="2"/>
      <c r="P389" s="2"/>
      <c r="Q389" s="2" t="str">
        <f>IF(SUMPRODUCT(--ISNUMBER(SEARCH('National Domains'!$A$2:$A$48,L389)))&gt;0,"Yes","No")</f>
        <v>No</v>
      </c>
      <c r="R389" s="2" t="str">
        <f>IF(COUNTIFS(Calibration!$A:$A,A389,Calibration!$B:$B,B389)&gt;0,"Yes","No")</f>
        <v>No</v>
      </c>
      <c r="S389" s="6"/>
    </row>
    <row r="390" spans="1:19" ht="34.5" customHeight="1" x14ac:dyDescent="0.2">
      <c r="A390" s="2">
        <v>128</v>
      </c>
      <c r="B390" s="2">
        <v>5</v>
      </c>
      <c r="C390" s="2" t="s">
        <v>255</v>
      </c>
      <c r="D390" s="2" t="s">
        <v>17</v>
      </c>
      <c r="E390" s="2">
        <v>20150506</v>
      </c>
      <c r="F390" s="2">
        <v>20150510</v>
      </c>
      <c r="G390" s="2">
        <v>1691.9</v>
      </c>
      <c r="H390" s="2">
        <v>1272.0999999999999</v>
      </c>
      <c r="I390" s="2">
        <v>4</v>
      </c>
      <c r="J390" s="2" t="s">
        <v>256</v>
      </c>
      <c r="K390" s="2" t="s">
        <v>186</v>
      </c>
      <c r="L390" s="2" t="s">
        <v>1641</v>
      </c>
      <c r="M390" s="7" t="s">
        <v>1642</v>
      </c>
      <c r="N390" s="7" t="s">
        <v>1643</v>
      </c>
      <c r="O390" s="2"/>
      <c r="P390" s="2"/>
      <c r="Q390" s="2" t="str">
        <f>IF(SUMPRODUCT(--ISNUMBER(SEARCH('National Domains'!$A$2:$A$48,L390)))&gt;0,"Yes","No")</f>
        <v>No</v>
      </c>
      <c r="R390" s="2" t="str">
        <f>IF(COUNTIFS(Calibration!$A:$A,A390,Calibration!$B:$B,B390)&gt;0,"Yes","No")</f>
        <v>No</v>
      </c>
      <c r="S390" s="6"/>
    </row>
    <row r="391" spans="1:19" ht="34.5" customHeight="1" x14ac:dyDescent="0.2">
      <c r="A391" s="2">
        <v>128</v>
      </c>
      <c r="B391" s="2">
        <v>6</v>
      </c>
      <c r="C391" s="2" t="s">
        <v>255</v>
      </c>
      <c r="D391" s="2" t="s">
        <v>17</v>
      </c>
      <c r="E391" s="2">
        <v>20150506</v>
      </c>
      <c r="F391" s="2">
        <v>20150510</v>
      </c>
      <c r="G391" s="2">
        <v>1691.9</v>
      </c>
      <c r="H391" s="2">
        <v>1272.0999999999999</v>
      </c>
      <c r="I391" s="2">
        <v>4</v>
      </c>
      <c r="J391" s="2" t="s">
        <v>256</v>
      </c>
      <c r="K391" s="2" t="s">
        <v>186</v>
      </c>
      <c r="L391" s="2" t="s">
        <v>1644</v>
      </c>
      <c r="M391" s="7" t="s">
        <v>1645</v>
      </c>
      <c r="N391" s="7" t="s">
        <v>1646</v>
      </c>
      <c r="O391" s="2"/>
      <c r="P391" s="2"/>
      <c r="Q391" s="2" t="str">
        <f>IF(SUMPRODUCT(--ISNUMBER(SEARCH('National Domains'!$A$2:$A$48,L391)))&gt;0,"Yes","No")</f>
        <v>Yes</v>
      </c>
      <c r="R391" s="2" t="str">
        <f>IF(COUNTIFS(Calibration!$A:$A,A391,Calibration!$B:$B,B391)&gt;0,"Yes","No")</f>
        <v>No</v>
      </c>
      <c r="S391" s="6"/>
    </row>
    <row r="392" spans="1:19" ht="34.5" customHeight="1" x14ac:dyDescent="0.2">
      <c r="A392" s="2">
        <v>128</v>
      </c>
      <c r="B392" s="2">
        <v>7</v>
      </c>
      <c r="C392" s="2" t="s">
        <v>255</v>
      </c>
      <c r="D392" s="2" t="s">
        <v>17</v>
      </c>
      <c r="E392" s="2">
        <v>20150506</v>
      </c>
      <c r="F392" s="2">
        <v>20150510</v>
      </c>
      <c r="G392" s="2">
        <v>1691.9</v>
      </c>
      <c r="H392" s="2">
        <v>1272.0999999999999</v>
      </c>
      <c r="I392" s="2">
        <v>4</v>
      </c>
      <c r="J392" s="2" t="s">
        <v>256</v>
      </c>
      <c r="K392" s="2" t="s">
        <v>186</v>
      </c>
      <c r="L392" s="2" t="s">
        <v>1647</v>
      </c>
      <c r="M392" s="7" t="s">
        <v>1648</v>
      </c>
      <c r="N392" s="7" t="s">
        <v>1649</v>
      </c>
      <c r="O392" s="2"/>
      <c r="P392" s="2"/>
      <c r="Q392" s="2" t="str">
        <f>IF(SUMPRODUCT(--ISNUMBER(SEARCH('National Domains'!$A$2:$A$48,L392)))&gt;0,"Yes","No")</f>
        <v>Yes</v>
      </c>
      <c r="R392" s="2" t="str">
        <f>IF(COUNTIFS(Calibration!$A:$A,A392,Calibration!$B:$B,B392)&gt;0,"Yes","No")</f>
        <v>No</v>
      </c>
      <c r="S392" s="6"/>
    </row>
    <row r="393" spans="1:19" ht="34.5" customHeight="1" x14ac:dyDescent="0.2">
      <c r="A393" s="2">
        <v>128</v>
      </c>
      <c r="B393" s="2">
        <v>8</v>
      </c>
      <c r="C393" s="2" t="s">
        <v>255</v>
      </c>
      <c r="D393" s="2" t="s">
        <v>17</v>
      </c>
      <c r="E393" s="2">
        <v>20150506</v>
      </c>
      <c r="F393" s="2">
        <v>20150510</v>
      </c>
      <c r="G393" s="2">
        <v>1691.9</v>
      </c>
      <c r="H393" s="2">
        <v>1272.0999999999999</v>
      </c>
      <c r="I393" s="2">
        <v>4</v>
      </c>
      <c r="J393" s="2" t="s">
        <v>256</v>
      </c>
      <c r="K393" s="2" t="s">
        <v>186</v>
      </c>
      <c r="L393" s="2" t="s">
        <v>1650</v>
      </c>
      <c r="M393" s="7" t="s">
        <v>1651</v>
      </c>
      <c r="N393" s="7" t="s">
        <v>1652</v>
      </c>
      <c r="O393" s="2"/>
      <c r="P393" s="2"/>
      <c r="Q393" s="2" t="str">
        <f>IF(SUMPRODUCT(--ISNUMBER(SEARCH('National Domains'!$A$2:$A$48,L393)))&gt;0,"Yes","No")</f>
        <v>Yes</v>
      </c>
      <c r="R393" s="2" t="str">
        <f>IF(COUNTIFS(Calibration!$A:$A,A393,Calibration!$B:$B,B393)&gt;0,"Yes","No")</f>
        <v>No</v>
      </c>
      <c r="S393" s="6"/>
    </row>
    <row r="394" spans="1:19" ht="34.5" customHeight="1" x14ac:dyDescent="0.2">
      <c r="A394" s="2">
        <v>128</v>
      </c>
      <c r="B394" s="2">
        <v>9</v>
      </c>
      <c r="C394" s="2" t="s">
        <v>255</v>
      </c>
      <c r="D394" s="2" t="s">
        <v>17</v>
      </c>
      <c r="E394" s="2">
        <v>20150506</v>
      </c>
      <c r="F394" s="2">
        <v>20150510</v>
      </c>
      <c r="G394" s="2">
        <v>1691.9</v>
      </c>
      <c r="H394" s="2">
        <v>1272.0999999999999</v>
      </c>
      <c r="I394" s="2">
        <v>4</v>
      </c>
      <c r="J394" s="2" t="s">
        <v>256</v>
      </c>
      <c r="K394" s="2" t="s">
        <v>186</v>
      </c>
      <c r="L394" s="2" t="s">
        <v>1653</v>
      </c>
      <c r="M394" s="7" t="s">
        <v>1654</v>
      </c>
      <c r="N394" s="7" t="s">
        <v>1655</v>
      </c>
      <c r="O394" s="2"/>
      <c r="P394" s="2"/>
      <c r="Q394" s="2" t="str">
        <f>IF(SUMPRODUCT(--ISNUMBER(SEARCH('National Domains'!$A$2:$A$48,L394)))&gt;0,"Yes","No")</f>
        <v>Yes</v>
      </c>
      <c r="R394" s="2" t="str">
        <f>IF(COUNTIFS(Calibration!$A:$A,A394,Calibration!$B:$B,B394)&gt;0,"Yes","No")</f>
        <v>No</v>
      </c>
      <c r="S394" s="6"/>
    </row>
    <row r="395" spans="1:19" ht="34.5" customHeight="1" x14ac:dyDescent="0.2">
      <c r="A395" s="2">
        <v>128</v>
      </c>
      <c r="B395" s="2">
        <v>10</v>
      </c>
      <c r="C395" s="2" t="s">
        <v>255</v>
      </c>
      <c r="D395" s="2" t="s">
        <v>17</v>
      </c>
      <c r="E395" s="2">
        <v>20150506</v>
      </c>
      <c r="F395" s="2">
        <v>20150510</v>
      </c>
      <c r="G395" s="2">
        <v>1691.9</v>
      </c>
      <c r="H395" s="2">
        <v>1272.0999999999999</v>
      </c>
      <c r="I395" s="2">
        <v>4</v>
      </c>
      <c r="J395" s="2" t="s">
        <v>256</v>
      </c>
      <c r="K395" s="2" t="s">
        <v>186</v>
      </c>
      <c r="L395" s="2" t="s">
        <v>1656</v>
      </c>
      <c r="M395" s="7" t="s">
        <v>1657</v>
      </c>
      <c r="N395" s="7" t="s">
        <v>1658</v>
      </c>
      <c r="O395" s="2"/>
      <c r="P395" s="2"/>
      <c r="Q395" s="2" t="str">
        <f>IF(SUMPRODUCT(--ISNUMBER(SEARCH('National Domains'!$A$2:$A$48,L395)))&gt;0,"Yes","No")</f>
        <v>No</v>
      </c>
      <c r="R395" s="2" t="str">
        <f>IF(COUNTIFS(Calibration!$A:$A,A395,Calibration!$B:$B,B395)&gt;0,"Yes","No")</f>
        <v>No</v>
      </c>
      <c r="S395" s="6"/>
    </row>
    <row r="396" spans="1:19" ht="34.5" customHeight="1" x14ac:dyDescent="0.2">
      <c r="A396" s="2">
        <v>128</v>
      </c>
      <c r="B396" s="2">
        <v>11</v>
      </c>
      <c r="C396" s="2" t="s">
        <v>255</v>
      </c>
      <c r="D396" s="2" t="s">
        <v>17</v>
      </c>
      <c r="E396" s="2">
        <v>20150506</v>
      </c>
      <c r="F396" s="2">
        <v>20150510</v>
      </c>
      <c r="G396" s="2">
        <v>1691.9</v>
      </c>
      <c r="H396" s="2">
        <v>1272.0999999999999</v>
      </c>
      <c r="I396" s="2">
        <v>4</v>
      </c>
      <c r="J396" s="2" t="s">
        <v>256</v>
      </c>
      <c r="K396" s="2" t="s">
        <v>186</v>
      </c>
      <c r="L396" s="2" t="s">
        <v>1659</v>
      </c>
      <c r="M396" s="7" t="s">
        <v>1660</v>
      </c>
      <c r="N396" s="7" t="s">
        <v>1661</v>
      </c>
      <c r="O396" s="2"/>
      <c r="P396" s="2"/>
      <c r="Q396" s="2" t="str">
        <f>IF(SUMPRODUCT(--ISNUMBER(SEARCH('National Domains'!$A$2:$A$48,L396)))&gt;0,"Yes","No")</f>
        <v>Yes</v>
      </c>
      <c r="R396" s="2" t="str">
        <f>IF(COUNTIFS(Calibration!$A:$A,A396,Calibration!$B:$B,B396)&gt;0,"Yes","No")</f>
        <v>No</v>
      </c>
      <c r="S396" s="6"/>
    </row>
    <row r="397" spans="1:19" ht="34.5" customHeight="1" x14ac:dyDescent="0.2">
      <c r="A397" s="2">
        <v>128</v>
      </c>
      <c r="B397" s="2">
        <v>12</v>
      </c>
      <c r="C397" s="2" t="s">
        <v>255</v>
      </c>
      <c r="D397" s="2" t="s">
        <v>17</v>
      </c>
      <c r="E397" s="2">
        <v>20150506</v>
      </c>
      <c r="F397" s="2">
        <v>20150510</v>
      </c>
      <c r="G397" s="2">
        <v>1691.9</v>
      </c>
      <c r="H397" s="2">
        <v>1272.0999999999999</v>
      </c>
      <c r="I397" s="2">
        <v>4</v>
      </c>
      <c r="J397" s="2" t="s">
        <v>256</v>
      </c>
      <c r="K397" s="2" t="s">
        <v>186</v>
      </c>
      <c r="L397" s="2" t="s">
        <v>1662</v>
      </c>
      <c r="M397" s="7" t="s">
        <v>1663</v>
      </c>
      <c r="N397" s="7" t="s">
        <v>1664</v>
      </c>
      <c r="O397" s="2"/>
      <c r="P397" s="2"/>
      <c r="Q397" s="2" t="str">
        <f>IF(SUMPRODUCT(--ISNUMBER(SEARCH('National Domains'!$A$2:$A$48,L397)))&gt;0,"Yes","No")</f>
        <v>Yes</v>
      </c>
      <c r="R397" s="2" t="str">
        <f>IF(COUNTIFS(Calibration!$A:$A,A397,Calibration!$B:$B,B397)&gt;0,"Yes","No")</f>
        <v>No</v>
      </c>
      <c r="S397" s="6"/>
    </row>
    <row r="398" spans="1:19" ht="34.5" customHeight="1" x14ac:dyDescent="0.2">
      <c r="A398" s="2">
        <v>129</v>
      </c>
      <c r="B398" s="2">
        <v>1</v>
      </c>
      <c r="C398" s="2" t="s">
        <v>257</v>
      </c>
      <c r="D398" s="2" t="s">
        <v>25</v>
      </c>
      <c r="E398" s="2">
        <v>20150523</v>
      </c>
      <c r="F398" s="2">
        <v>20150526</v>
      </c>
      <c r="G398" s="2">
        <v>3375.6</v>
      </c>
      <c r="H398" s="2">
        <v>2500.4</v>
      </c>
      <c r="I398" s="2">
        <v>31</v>
      </c>
      <c r="J398" s="2" t="s">
        <v>258</v>
      </c>
      <c r="K398" s="2" t="s">
        <v>41</v>
      </c>
      <c r="L398" s="2" t="s">
        <v>1665</v>
      </c>
      <c r="M398" s="7" t="s">
        <v>1666</v>
      </c>
      <c r="N398" s="7" t="s">
        <v>1667</v>
      </c>
      <c r="O398" s="2"/>
      <c r="P398" s="2"/>
      <c r="Q398" s="2" t="str">
        <f>IF(SUMPRODUCT(--ISNUMBER(SEARCH('National Domains'!$A$2:$A$48,L398)))&gt;0,"Yes","No")</f>
        <v>No</v>
      </c>
      <c r="R398" s="2" t="str">
        <f>IF(COUNTIFS(Calibration!$A:$A,A398,Calibration!$B:$B,B398)&gt;0,"Yes","No")</f>
        <v>No</v>
      </c>
      <c r="S398" s="6"/>
    </row>
    <row r="399" spans="1:19" ht="15" customHeight="1" x14ac:dyDescent="0.2">
      <c r="A399" s="2">
        <v>129</v>
      </c>
      <c r="B399" s="2">
        <v>2</v>
      </c>
      <c r="C399" s="2" t="s">
        <v>257</v>
      </c>
      <c r="D399" s="2" t="s">
        <v>25</v>
      </c>
      <c r="E399" s="2">
        <v>20150523</v>
      </c>
      <c r="F399" s="2">
        <v>20150526</v>
      </c>
      <c r="G399" s="2">
        <v>3375.6</v>
      </c>
      <c r="H399" s="2">
        <v>2500.4</v>
      </c>
      <c r="I399" s="2">
        <v>31</v>
      </c>
      <c r="J399" s="2" t="s">
        <v>258</v>
      </c>
      <c r="K399" s="2" t="s">
        <v>41</v>
      </c>
      <c r="L399" s="2" t="s">
        <v>1668</v>
      </c>
      <c r="M399" s="7" t="s">
        <v>1669</v>
      </c>
      <c r="N399" s="7" t="s">
        <v>1670</v>
      </c>
      <c r="O399" s="2"/>
      <c r="P399" s="2"/>
      <c r="Q399" s="2" t="str">
        <f>IF(SUMPRODUCT(--ISNUMBER(SEARCH('National Domains'!$A$2:$A$48,L399)))&gt;0,"Yes","No")</f>
        <v>No</v>
      </c>
      <c r="R399" s="2" t="str">
        <f>IF(COUNTIFS(Calibration!$A:$A,A399,Calibration!$B:$B,B399)&gt;0,"Yes","No")</f>
        <v>No</v>
      </c>
      <c r="S399" s="6"/>
    </row>
    <row r="400" spans="1:19" ht="23.25" customHeight="1" x14ac:dyDescent="0.2">
      <c r="A400" s="2">
        <v>129</v>
      </c>
      <c r="B400" s="2">
        <v>3</v>
      </c>
      <c r="C400" s="2" t="s">
        <v>257</v>
      </c>
      <c r="D400" s="2" t="s">
        <v>25</v>
      </c>
      <c r="E400" s="2">
        <v>20150523</v>
      </c>
      <c r="F400" s="2">
        <v>20150526</v>
      </c>
      <c r="G400" s="2">
        <v>3375.6</v>
      </c>
      <c r="H400" s="2">
        <v>2500.4</v>
      </c>
      <c r="I400" s="2">
        <v>31</v>
      </c>
      <c r="J400" s="2" t="s">
        <v>258</v>
      </c>
      <c r="K400" s="2" t="s">
        <v>41</v>
      </c>
      <c r="L400" s="2" t="s">
        <v>1671</v>
      </c>
      <c r="M400" s="7" t="s">
        <v>1672</v>
      </c>
      <c r="N400" s="7" t="s">
        <v>1673</v>
      </c>
      <c r="O400" s="2"/>
      <c r="P400" s="2"/>
      <c r="Q400" s="2" t="str">
        <f>IF(SUMPRODUCT(--ISNUMBER(SEARCH('National Domains'!$A$2:$A$48,L400)))&gt;0,"Yes","No")</f>
        <v>No</v>
      </c>
      <c r="R400" s="2" t="str">
        <f>IF(COUNTIFS(Calibration!$A:$A,A400,Calibration!$B:$B,B400)&gt;0,"Yes","No")</f>
        <v>No</v>
      </c>
      <c r="S400" s="6"/>
    </row>
    <row r="401" spans="1:19" ht="34.5" customHeight="1" x14ac:dyDescent="0.2">
      <c r="A401" s="2">
        <v>129</v>
      </c>
      <c r="B401" s="2">
        <v>4</v>
      </c>
      <c r="C401" s="2" t="s">
        <v>257</v>
      </c>
      <c r="D401" s="2" t="s">
        <v>25</v>
      </c>
      <c r="E401" s="2">
        <v>20150523</v>
      </c>
      <c r="F401" s="2">
        <v>20150526</v>
      </c>
      <c r="G401" s="2">
        <v>3375.6</v>
      </c>
      <c r="H401" s="2">
        <v>2500.4</v>
      </c>
      <c r="I401" s="2">
        <v>31</v>
      </c>
      <c r="J401" s="2" t="s">
        <v>258</v>
      </c>
      <c r="K401" s="2" t="s">
        <v>41</v>
      </c>
      <c r="L401" s="2" t="s">
        <v>1674</v>
      </c>
      <c r="M401" s="7" t="s">
        <v>1675</v>
      </c>
      <c r="N401" s="7" t="s">
        <v>1676</v>
      </c>
      <c r="O401" s="2"/>
      <c r="P401" s="2"/>
      <c r="Q401" s="2" t="str">
        <f>IF(SUMPRODUCT(--ISNUMBER(SEARCH('National Domains'!$A$2:$A$48,L401)))&gt;0,"Yes","No")</f>
        <v>No</v>
      </c>
      <c r="R401" s="2" t="str">
        <f>IF(COUNTIFS(Calibration!$A:$A,A401,Calibration!$B:$B,B401)&gt;0,"Yes","No")</f>
        <v>No</v>
      </c>
      <c r="S401" s="6"/>
    </row>
    <row r="402" spans="1:19" ht="34.5" customHeight="1" x14ac:dyDescent="0.2">
      <c r="A402" s="2">
        <v>129</v>
      </c>
      <c r="B402" s="2">
        <v>5</v>
      </c>
      <c r="C402" s="2" t="s">
        <v>257</v>
      </c>
      <c r="D402" s="2" t="s">
        <v>25</v>
      </c>
      <c r="E402" s="2">
        <v>20150523</v>
      </c>
      <c r="F402" s="2">
        <v>20150526</v>
      </c>
      <c r="G402" s="2">
        <v>3375.6</v>
      </c>
      <c r="H402" s="2">
        <v>2500.4</v>
      </c>
      <c r="I402" s="2">
        <v>31</v>
      </c>
      <c r="J402" s="2" t="s">
        <v>258</v>
      </c>
      <c r="K402" s="2" t="s">
        <v>41</v>
      </c>
      <c r="L402" s="2" t="s">
        <v>1677</v>
      </c>
      <c r="M402" s="7" t="s">
        <v>1678</v>
      </c>
      <c r="N402" s="7" t="s">
        <v>1679</v>
      </c>
      <c r="O402" s="2"/>
      <c r="P402" s="2"/>
      <c r="Q402" s="2" t="str">
        <f>IF(SUMPRODUCT(--ISNUMBER(SEARCH('National Domains'!$A$2:$A$48,L402)))&gt;0,"Yes","No")</f>
        <v>No</v>
      </c>
      <c r="R402" s="2" t="str">
        <f>IF(COUNTIFS(Calibration!$A:$A,A402,Calibration!$B:$B,B402)&gt;0,"Yes","No")</f>
        <v>No</v>
      </c>
      <c r="S402" s="6"/>
    </row>
    <row r="403" spans="1:19" ht="34.5" customHeight="1" x14ac:dyDescent="0.2">
      <c r="A403" s="2">
        <v>129</v>
      </c>
      <c r="B403" s="2">
        <v>6</v>
      </c>
      <c r="C403" s="2" t="s">
        <v>257</v>
      </c>
      <c r="D403" s="2" t="s">
        <v>25</v>
      </c>
      <c r="E403" s="2">
        <v>20150523</v>
      </c>
      <c r="F403" s="2">
        <v>20150526</v>
      </c>
      <c r="G403" s="2">
        <v>3375.6</v>
      </c>
      <c r="H403" s="2">
        <v>2500.4</v>
      </c>
      <c r="I403" s="2">
        <v>31</v>
      </c>
      <c r="J403" s="2" t="s">
        <v>258</v>
      </c>
      <c r="K403" s="2" t="s">
        <v>41</v>
      </c>
      <c r="L403" s="2" t="s">
        <v>1680</v>
      </c>
      <c r="M403" s="7" t="s">
        <v>1681</v>
      </c>
      <c r="N403" s="7" t="s">
        <v>1682</v>
      </c>
      <c r="O403" s="2"/>
      <c r="P403" s="2"/>
      <c r="Q403" s="2" t="str">
        <f>IF(SUMPRODUCT(--ISNUMBER(SEARCH('National Domains'!$A$2:$A$48,L403)))&gt;0,"Yes","No")</f>
        <v>Yes</v>
      </c>
      <c r="R403" s="2" t="str">
        <f>IF(COUNTIFS(Calibration!$A:$A,A403,Calibration!$B:$B,B403)&gt;0,"Yes","No")</f>
        <v>No</v>
      </c>
      <c r="S403" s="6"/>
    </row>
    <row r="404" spans="1:19" ht="34.5" customHeight="1" x14ac:dyDescent="0.2">
      <c r="A404" s="2">
        <v>129</v>
      </c>
      <c r="B404" s="2">
        <v>7</v>
      </c>
      <c r="C404" s="2" t="s">
        <v>257</v>
      </c>
      <c r="D404" s="2" t="s">
        <v>25</v>
      </c>
      <c r="E404" s="2">
        <v>20150523</v>
      </c>
      <c r="F404" s="2">
        <v>20150526</v>
      </c>
      <c r="G404" s="2">
        <v>3375.6</v>
      </c>
      <c r="H404" s="2">
        <v>2500.4</v>
      </c>
      <c r="I404" s="2">
        <v>31</v>
      </c>
      <c r="J404" s="2" t="s">
        <v>258</v>
      </c>
      <c r="K404" s="2" t="s">
        <v>41</v>
      </c>
      <c r="L404" s="2" t="s">
        <v>1683</v>
      </c>
      <c r="M404" s="7" t="s">
        <v>1684</v>
      </c>
      <c r="N404" s="7" t="s">
        <v>1685</v>
      </c>
      <c r="O404" s="2"/>
      <c r="P404" s="2"/>
      <c r="Q404" s="2" t="str">
        <f>IF(SUMPRODUCT(--ISNUMBER(SEARCH('National Domains'!$A$2:$A$48,L404)))&gt;0,"Yes","No")</f>
        <v>Yes</v>
      </c>
      <c r="R404" s="2" t="str">
        <f>IF(COUNTIFS(Calibration!$A:$A,A404,Calibration!$B:$B,B404)&gt;0,"Yes","No")</f>
        <v>No</v>
      </c>
      <c r="S404" s="6"/>
    </row>
    <row r="405" spans="1:19" ht="34.5" customHeight="1" x14ac:dyDescent="0.2">
      <c r="A405" s="2">
        <v>129</v>
      </c>
      <c r="B405" s="2">
        <v>8</v>
      </c>
      <c r="C405" s="2" t="s">
        <v>257</v>
      </c>
      <c r="D405" s="2" t="s">
        <v>25</v>
      </c>
      <c r="E405" s="2">
        <v>20150523</v>
      </c>
      <c r="F405" s="2">
        <v>20150526</v>
      </c>
      <c r="G405" s="2">
        <v>3375.6</v>
      </c>
      <c r="H405" s="2">
        <v>2500.4</v>
      </c>
      <c r="I405" s="2">
        <v>31</v>
      </c>
      <c r="J405" s="2" t="s">
        <v>258</v>
      </c>
      <c r="K405" s="2" t="s">
        <v>41</v>
      </c>
      <c r="L405" s="2" t="s">
        <v>1686</v>
      </c>
      <c r="M405" s="7" t="s">
        <v>1687</v>
      </c>
      <c r="N405" s="7" t="s">
        <v>1688</v>
      </c>
      <c r="O405" s="2"/>
      <c r="P405" s="2"/>
      <c r="Q405" s="2" t="str">
        <f>IF(SUMPRODUCT(--ISNUMBER(SEARCH('National Domains'!$A$2:$A$48,L405)))&gt;0,"Yes","No")</f>
        <v>Yes</v>
      </c>
      <c r="R405" s="2" t="str">
        <f>IF(COUNTIFS(Calibration!$A:$A,A405,Calibration!$B:$B,B405)&gt;0,"Yes","No")</f>
        <v>No</v>
      </c>
      <c r="S405" s="6"/>
    </row>
    <row r="406" spans="1:19" ht="23.25" customHeight="1" x14ac:dyDescent="0.2">
      <c r="A406" s="2">
        <v>129</v>
      </c>
      <c r="B406" s="2">
        <v>9</v>
      </c>
      <c r="C406" s="2" t="s">
        <v>257</v>
      </c>
      <c r="D406" s="2" t="s">
        <v>25</v>
      </c>
      <c r="E406" s="2">
        <v>20150523</v>
      </c>
      <c r="F406" s="2">
        <v>20150526</v>
      </c>
      <c r="G406" s="2">
        <v>3375.6</v>
      </c>
      <c r="H406" s="2">
        <v>2500.4</v>
      </c>
      <c r="I406" s="2">
        <v>31</v>
      </c>
      <c r="J406" s="2" t="s">
        <v>258</v>
      </c>
      <c r="K406" s="2" t="s">
        <v>41</v>
      </c>
      <c r="L406" s="2" t="s">
        <v>1689</v>
      </c>
      <c r="M406" s="7" t="s">
        <v>1690</v>
      </c>
      <c r="N406" s="7" t="s">
        <v>1691</v>
      </c>
      <c r="O406" s="2"/>
      <c r="P406" s="2"/>
      <c r="Q406" s="2" t="str">
        <f>IF(SUMPRODUCT(--ISNUMBER(SEARCH('National Domains'!$A$2:$A$48,L406)))&gt;0,"Yes","No")</f>
        <v>Yes</v>
      </c>
      <c r="R406" s="2" t="str">
        <f>IF(COUNTIFS(Calibration!$A:$A,A406,Calibration!$B:$B,B406)&gt;0,"Yes","No")</f>
        <v>No</v>
      </c>
      <c r="S406" s="6"/>
    </row>
    <row r="407" spans="1:19" ht="34.5" customHeight="1" x14ac:dyDescent="0.2">
      <c r="A407" s="2">
        <v>129</v>
      </c>
      <c r="B407" s="2">
        <v>10</v>
      </c>
      <c r="C407" s="2" t="s">
        <v>257</v>
      </c>
      <c r="D407" s="2" t="s">
        <v>25</v>
      </c>
      <c r="E407" s="2">
        <v>20150523</v>
      </c>
      <c r="F407" s="2">
        <v>20150526</v>
      </c>
      <c r="G407" s="2">
        <v>3375.6</v>
      </c>
      <c r="H407" s="2">
        <v>2500.4</v>
      </c>
      <c r="I407" s="2">
        <v>31</v>
      </c>
      <c r="J407" s="2" t="s">
        <v>258</v>
      </c>
      <c r="K407" s="2" t="s">
        <v>41</v>
      </c>
      <c r="L407" s="2" t="s">
        <v>1692</v>
      </c>
      <c r="M407" s="7" t="s">
        <v>1687</v>
      </c>
      <c r="N407" s="7" t="s">
        <v>1693</v>
      </c>
      <c r="O407" s="2"/>
      <c r="P407" s="2"/>
      <c r="Q407" s="2" t="str">
        <f>IF(SUMPRODUCT(--ISNUMBER(SEARCH('National Domains'!$A$2:$A$48,L407)))&gt;0,"Yes","No")</f>
        <v>Yes</v>
      </c>
      <c r="R407" s="2" t="str">
        <f>IF(COUNTIFS(Calibration!$A:$A,A407,Calibration!$B:$B,B407)&gt;0,"Yes","No")</f>
        <v>No</v>
      </c>
      <c r="S407" s="6"/>
    </row>
    <row r="408" spans="1:19" ht="34.5" customHeight="1" x14ac:dyDescent="0.2">
      <c r="A408" s="2">
        <v>129</v>
      </c>
      <c r="B408" s="2">
        <v>11</v>
      </c>
      <c r="C408" s="2" t="s">
        <v>257</v>
      </c>
      <c r="D408" s="2" t="s">
        <v>25</v>
      </c>
      <c r="E408" s="2">
        <v>20150523</v>
      </c>
      <c r="F408" s="2">
        <v>20150526</v>
      </c>
      <c r="G408" s="2">
        <v>3375.6</v>
      </c>
      <c r="H408" s="2">
        <v>2500.4</v>
      </c>
      <c r="I408" s="2">
        <v>31</v>
      </c>
      <c r="J408" s="2" t="s">
        <v>258</v>
      </c>
      <c r="K408" s="2" t="s">
        <v>41</v>
      </c>
      <c r="L408" s="2" t="s">
        <v>1694</v>
      </c>
      <c r="M408" s="7" t="s">
        <v>1695</v>
      </c>
      <c r="N408" s="7" t="s">
        <v>1696</v>
      </c>
      <c r="O408" s="2"/>
      <c r="P408" s="2"/>
      <c r="Q408" s="2" t="str">
        <f>IF(SUMPRODUCT(--ISNUMBER(SEARCH('National Domains'!$A$2:$A$48,L408)))&gt;0,"Yes","No")</f>
        <v>Yes</v>
      </c>
      <c r="R408" s="2" t="str">
        <f>IF(COUNTIFS(Calibration!$A:$A,A408,Calibration!$B:$B,B408)&gt;0,"Yes","No")</f>
        <v>No</v>
      </c>
      <c r="S408" s="6"/>
    </row>
    <row r="409" spans="1:19" ht="34.5" customHeight="1" x14ac:dyDescent="0.2">
      <c r="A409" s="2">
        <v>129</v>
      </c>
      <c r="B409" s="2">
        <v>12</v>
      </c>
      <c r="C409" s="2" t="s">
        <v>257</v>
      </c>
      <c r="D409" s="2" t="s">
        <v>25</v>
      </c>
      <c r="E409" s="2">
        <v>20150523</v>
      </c>
      <c r="F409" s="2">
        <v>20150526</v>
      </c>
      <c r="G409" s="2">
        <v>3375.6</v>
      </c>
      <c r="H409" s="2">
        <v>2500.4</v>
      </c>
      <c r="I409" s="2">
        <v>31</v>
      </c>
      <c r="J409" s="2" t="s">
        <v>258</v>
      </c>
      <c r="K409" s="2" t="s">
        <v>41</v>
      </c>
      <c r="L409" s="2" t="s">
        <v>1697</v>
      </c>
      <c r="M409" s="7" t="s">
        <v>1698</v>
      </c>
      <c r="N409" s="7" t="s">
        <v>1699</v>
      </c>
      <c r="O409" s="2"/>
      <c r="P409" s="2"/>
      <c r="Q409" s="2" t="str">
        <f>IF(SUMPRODUCT(--ISNUMBER(SEARCH('National Domains'!$A$2:$A$48,L409)))&gt;0,"Yes","No")</f>
        <v>Yes</v>
      </c>
      <c r="R409" s="2" t="str">
        <f>IF(COUNTIFS(Calibration!$A:$A,A409,Calibration!$B:$B,B409)&gt;0,"Yes","No")</f>
        <v>No</v>
      </c>
      <c r="S409" s="6"/>
    </row>
    <row r="410" spans="1:19" ht="34.5" customHeight="1" x14ac:dyDescent="0.2">
      <c r="A410" s="2">
        <v>130</v>
      </c>
      <c r="B410" s="2">
        <v>1</v>
      </c>
      <c r="C410" s="2" t="s">
        <v>259</v>
      </c>
      <c r="D410" s="2" t="s">
        <v>17</v>
      </c>
      <c r="E410" s="2">
        <v>20150621</v>
      </c>
      <c r="F410" s="2">
        <v>20150625</v>
      </c>
      <c r="G410" s="2">
        <v>1547.1</v>
      </c>
      <c r="H410" s="2">
        <v>1172</v>
      </c>
      <c r="I410" s="2">
        <v>1</v>
      </c>
      <c r="J410" s="2" t="s">
        <v>260</v>
      </c>
      <c r="K410" s="2" t="s">
        <v>261</v>
      </c>
      <c r="L410" s="2" t="s">
        <v>1700</v>
      </c>
      <c r="M410" s="7" t="s">
        <v>1701</v>
      </c>
      <c r="N410" s="7" t="s">
        <v>1702</v>
      </c>
      <c r="O410" s="2"/>
      <c r="P410" s="2"/>
      <c r="Q410" s="2" t="str">
        <f>IF(SUMPRODUCT(--ISNUMBER(SEARCH('National Domains'!$A$2:$A$48,L410)))&gt;0,"Yes","No")</f>
        <v>Yes</v>
      </c>
      <c r="R410" s="2" t="str">
        <f>IF(COUNTIFS(Calibration!$A:$A,A410,Calibration!$B:$B,B410)&gt;0,"Yes","No")</f>
        <v>No</v>
      </c>
      <c r="S410" s="6"/>
    </row>
    <row r="411" spans="1:19" ht="34.5" customHeight="1" x14ac:dyDescent="0.2">
      <c r="A411" s="2">
        <v>131</v>
      </c>
      <c r="B411" s="2">
        <v>1</v>
      </c>
      <c r="C411" s="2" t="s">
        <v>262</v>
      </c>
      <c r="D411" s="2" t="s">
        <v>25</v>
      </c>
      <c r="E411" s="2">
        <v>20151001</v>
      </c>
      <c r="F411" s="2">
        <v>20151005</v>
      </c>
      <c r="G411" s="2">
        <v>2657.6</v>
      </c>
      <c r="H411" s="2">
        <v>1998.2</v>
      </c>
      <c r="I411" s="2">
        <v>25</v>
      </c>
      <c r="J411" s="2" t="s">
        <v>51</v>
      </c>
      <c r="K411" s="2" t="s">
        <v>52</v>
      </c>
      <c r="L411" s="2" t="s">
        <v>1703</v>
      </c>
      <c r="M411" s="7" t="s">
        <v>1704</v>
      </c>
      <c r="N411" s="7" t="s">
        <v>1705</v>
      </c>
      <c r="O411" s="2"/>
      <c r="P411" s="2"/>
      <c r="Q411" s="2" t="str">
        <f>IF(SUMPRODUCT(--ISNUMBER(SEARCH('National Domains'!$A$2:$A$48,L411)))&gt;0,"Yes","No")</f>
        <v>No</v>
      </c>
      <c r="R411" s="2" t="str">
        <f>IF(COUNTIFS(Calibration!$A:$A,A411,Calibration!$B:$B,B411)&gt;0,"Yes","No")</f>
        <v>No</v>
      </c>
      <c r="S411" s="6"/>
    </row>
    <row r="412" spans="1:19" ht="34.5" customHeight="1" x14ac:dyDescent="0.2">
      <c r="A412" s="2">
        <v>131</v>
      </c>
      <c r="B412" s="2">
        <v>2</v>
      </c>
      <c r="C412" s="2" t="s">
        <v>262</v>
      </c>
      <c r="D412" s="2" t="s">
        <v>25</v>
      </c>
      <c r="E412" s="2">
        <v>20151001</v>
      </c>
      <c r="F412" s="2">
        <v>20151005</v>
      </c>
      <c r="G412" s="2">
        <v>2657.6</v>
      </c>
      <c r="H412" s="2">
        <v>1998.2</v>
      </c>
      <c r="I412" s="2">
        <v>25</v>
      </c>
      <c r="J412" s="2" t="s">
        <v>51</v>
      </c>
      <c r="K412" s="2" t="s">
        <v>52</v>
      </c>
      <c r="L412" s="2" t="s">
        <v>1706</v>
      </c>
      <c r="M412" s="7" t="s">
        <v>1707</v>
      </c>
      <c r="N412" s="7" t="s">
        <v>1708</v>
      </c>
      <c r="O412" s="2"/>
      <c r="P412" s="2"/>
      <c r="Q412" s="2" t="str">
        <f>IF(SUMPRODUCT(--ISNUMBER(SEARCH('National Domains'!$A$2:$A$48,L412)))&gt;0,"Yes","No")</f>
        <v>Yes</v>
      </c>
      <c r="R412" s="2" t="str">
        <f>IF(COUNTIFS(Calibration!$A:$A,A412,Calibration!$B:$B,B412)&gt;0,"Yes","No")</f>
        <v>No</v>
      </c>
      <c r="S412" s="6"/>
    </row>
    <row r="413" spans="1:19" ht="34.5" customHeight="1" x14ac:dyDescent="0.2">
      <c r="A413" s="2">
        <v>131</v>
      </c>
      <c r="B413" s="2">
        <v>3</v>
      </c>
      <c r="C413" s="2" t="s">
        <v>262</v>
      </c>
      <c r="D413" s="2" t="s">
        <v>25</v>
      </c>
      <c r="E413" s="2">
        <v>20151001</v>
      </c>
      <c r="F413" s="2">
        <v>20151005</v>
      </c>
      <c r="G413" s="2">
        <v>2657.6</v>
      </c>
      <c r="H413" s="2">
        <v>1998.2</v>
      </c>
      <c r="I413" s="2">
        <v>25</v>
      </c>
      <c r="J413" s="2" t="s">
        <v>51</v>
      </c>
      <c r="K413" s="2" t="s">
        <v>52</v>
      </c>
      <c r="L413" s="2" t="s">
        <v>1709</v>
      </c>
      <c r="M413" s="7" t="s">
        <v>1710</v>
      </c>
      <c r="N413" s="7" t="s">
        <v>1711</v>
      </c>
      <c r="O413" s="2"/>
      <c r="P413" s="2"/>
      <c r="Q413" s="2" t="str">
        <f>IF(SUMPRODUCT(--ISNUMBER(SEARCH('National Domains'!$A$2:$A$48,L413)))&gt;0,"Yes","No")</f>
        <v>Yes</v>
      </c>
      <c r="R413" s="2" t="str">
        <f>IF(COUNTIFS(Calibration!$A:$A,A413,Calibration!$B:$B,B413)&gt;0,"Yes","No")</f>
        <v>No</v>
      </c>
      <c r="S413" s="6"/>
    </row>
    <row r="414" spans="1:19" ht="34.5" customHeight="1" x14ac:dyDescent="0.2">
      <c r="A414" s="2">
        <v>131</v>
      </c>
      <c r="B414" s="2">
        <v>4</v>
      </c>
      <c r="C414" s="2" t="s">
        <v>262</v>
      </c>
      <c r="D414" s="2" t="s">
        <v>25</v>
      </c>
      <c r="E414" s="2">
        <v>20151001</v>
      </c>
      <c r="F414" s="2">
        <v>20151005</v>
      </c>
      <c r="G414" s="2">
        <v>2657.6</v>
      </c>
      <c r="H414" s="2">
        <v>1998.2</v>
      </c>
      <c r="I414" s="2">
        <v>25</v>
      </c>
      <c r="J414" s="2" t="s">
        <v>51</v>
      </c>
      <c r="K414" s="2" t="s">
        <v>52</v>
      </c>
      <c r="L414" s="2" t="s">
        <v>1712</v>
      </c>
      <c r="M414" s="7" t="s">
        <v>1713</v>
      </c>
      <c r="N414" s="7" t="s">
        <v>1714</v>
      </c>
      <c r="O414" s="2"/>
      <c r="P414" s="2"/>
      <c r="Q414" s="2" t="str">
        <f>IF(SUMPRODUCT(--ISNUMBER(SEARCH('National Domains'!$A$2:$A$48,L414)))&gt;0,"Yes","No")</f>
        <v>Yes</v>
      </c>
      <c r="R414" s="2" t="str">
        <f>IF(COUNTIFS(Calibration!$A:$A,A414,Calibration!$B:$B,B414)&gt;0,"Yes","No")</f>
        <v>No</v>
      </c>
      <c r="S414" s="6"/>
    </row>
    <row r="415" spans="1:19" ht="34.5" customHeight="1" x14ac:dyDescent="0.2">
      <c r="A415" s="2">
        <v>131</v>
      </c>
      <c r="B415" s="2">
        <v>5</v>
      </c>
      <c r="C415" s="2" t="s">
        <v>262</v>
      </c>
      <c r="D415" s="2" t="s">
        <v>25</v>
      </c>
      <c r="E415" s="2">
        <v>20151001</v>
      </c>
      <c r="F415" s="2">
        <v>20151005</v>
      </c>
      <c r="G415" s="2">
        <v>2657.6</v>
      </c>
      <c r="H415" s="2">
        <v>1998.2</v>
      </c>
      <c r="I415" s="2">
        <v>25</v>
      </c>
      <c r="J415" s="2" t="s">
        <v>51</v>
      </c>
      <c r="K415" s="2" t="s">
        <v>52</v>
      </c>
      <c r="L415" s="2" t="s">
        <v>1715</v>
      </c>
      <c r="M415" s="7" t="s">
        <v>1716</v>
      </c>
      <c r="N415" s="7" t="s">
        <v>1717</v>
      </c>
      <c r="O415" s="2"/>
      <c r="P415" s="2"/>
      <c r="Q415" s="2" t="str">
        <f>IF(SUMPRODUCT(--ISNUMBER(SEARCH('National Domains'!$A$2:$A$48,L415)))&gt;0,"Yes","No")</f>
        <v>Yes</v>
      </c>
      <c r="R415" s="2" t="str">
        <f>IF(COUNTIFS(Calibration!$A:$A,A415,Calibration!$B:$B,B415)&gt;0,"Yes","No")</f>
        <v>No</v>
      </c>
      <c r="S415" s="6"/>
    </row>
    <row r="416" spans="1:19" ht="34.5" customHeight="1" x14ac:dyDescent="0.2">
      <c r="A416" s="2">
        <v>132</v>
      </c>
      <c r="B416" s="2">
        <v>1</v>
      </c>
      <c r="C416" s="2" t="s">
        <v>263</v>
      </c>
      <c r="D416" s="2" t="s">
        <v>21</v>
      </c>
      <c r="E416" s="2">
        <v>20150601</v>
      </c>
      <c r="F416" s="2">
        <v>20151130</v>
      </c>
      <c r="G416" s="2">
        <v>3996.9</v>
      </c>
      <c r="H416" s="2">
        <v>3028</v>
      </c>
      <c r="I416" s="2">
        <v>12</v>
      </c>
      <c r="J416" s="2" t="s">
        <v>22</v>
      </c>
      <c r="K416" s="2" t="s">
        <v>23</v>
      </c>
      <c r="L416" s="2" t="s">
        <v>1718</v>
      </c>
      <c r="M416" s="7" t="s">
        <v>1719</v>
      </c>
      <c r="N416" s="7" t="s">
        <v>1720</v>
      </c>
      <c r="O416" s="2"/>
      <c r="P416" s="2"/>
      <c r="Q416" s="2" t="str">
        <f>IF(SUMPRODUCT(--ISNUMBER(SEARCH('National Domains'!$A$2:$A$48,L416)))&gt;0,"Yes","No")</f>
        <v>No</v>
      </c>
      <c r="R416" s="2" t="str">
        <f>IF(COUNTIFS(Calibration!$A:$A,A416,Calibration!$B:$B,B416)&gt;0,"Yes","No")</f>
        <v>No</v>
      </c>
      <c r="S416" s="6"/>
    </row>
    <row r="417" spans="1:19" ht="34.5" customHeight="1" x14ac:dyDescent="0.2">
      <c r="A417" s="2">
        <v>132</v>
      </c>
      <c r="B417" s="2">
        <v>2</v>
      </c>
      <c r="C417" s="2" t="s">
        <v>263</v>
      </c>
      <c r="D417" s="2" t="s">
        <v>21</v>
      </c>
      <c r="E417" s="2">
        <v>20150601</v>
      </c>
      <c r="F417" s="2">
        <v>20151130</v>
      </c>
      <c r="G417" s="2">
        <v>3996.9</v>
      </c>
      <c r="H417" s="2">
        <v>3028</v>
      </c>
      <c r="I417" s="2">
        <v>12</v>
      </c>
      <c r="J417" s="2" t="s">
        <v>22</v>
      </c>
      <c r="K417" s="2" t="s">
        <v>23</v>
      </c>
      <c r="L417" s="2" t="s">
        <v>1721</v>
      </c>
      <c r="M417" s="7" t="s">
        <v>1722</v>
      </c>
      <c r="N417" s="7" t="s">
        <v>1723</v>
      </c>
      <c r="O417" s="2"/>
      <c r="P417" s="2"/>
      <c r="Q417" s="2" t="str">
        <f>IF(SUMPRODUCT(--ISNUMBER(SEARCH('National Domains'!$A$2:$A$48,L417)))&gt;0,"Yes","No")</f>
        <v>No</v>
      </c>
      <c r="R417" s="2" t="str">
        <f>IF(COUNTIFS(Calibration!$A:$A,A417,Calibration!$B:$B,B417)&gt;0,"Yes","No")</f>
        <v>No</v>
      </c>
      <c r="S417" s="6"/>
    </row>
    <row r="418" spans="1:19" ht="34.5" customHeight="1" x14ac:dyDescent="0.2">
      <c r="A418" s="4">
        <v>132</v>
      </c>
      <c r="B418" s="4">
        <v>3</v>
      </c>
      <c r="C418" s="4" t="s">
        <v>263</v>
      </c>
      <c r="D418" s="4" t="s">
        <v>21</v>
      </c>
      <c r="E418" s="4">
        <v>20150601</v>
      </c>
      <c r="F418" s="4">
        <v>20151130</v>
      </c>
      <c r="G418" s="4">
        <v>3996.9</v>
      </c>
      <c r="H418" s="4">
        <v>3028</v>
      </c>
      <c r="I418" s="4">
        <v>12</v>
      </c>
      <c r="J418" s="4" t="s">
        <v>22</v>
      </c>
      <c r="K418" s="4" t="s">
        <v>23</v>
      </c>
      <c r="L418" s="4" t="s">
        <v>1724</v>
      </c>
      <c r="M418" s="5" t="s">
        <v>1725</v>
      </c>
      <c r="N418" s="5" t="s">
        <v>1726</v>
      </c>
      <c r="O418" s="4"/>
      <c r="P418" s="4"/>
      <c r="Q418" s="4" t="str">
        <f>IF(SUMPRODUCT(--ISNUMBER(SEARCH('National Domains'!$A$2:$A$48,L418)))&gt;0,"Yes","No")</f>
        <v>No</v>
      </c>
      <c r="R418" s="4" t="str">
        <f>IF(COUNTIFS(Calibration!$A:$A,A418,Calibration!$B:$B,B418)&gt;0,"Yes","No")</f>
        <v>Yes</v>
      </c>
      <c r="S418" s="6"/>
    </row>
    <row r="419" spans="1:19" ht="34.5" customHeight="1" x14ac:dyDescent="0.2">
      <c r="A419" s="2">
        <v>132</v>
      </c>
      <c r="B419" s="2">
        <v>4</v>
      </c>
      <c r="C419" s="2" t="s">
        <v>263</v>
      </c>
      <c r="D419" s="2" t="s">
        <v>21</v>
      </c>
      <c r="E419" s="2">
        <v>20150601</v>
      </c>
      <c r="F419" s="2">
        <v>20151130</v>
      </c>
      <c r="G419" s="2">
        <v>3996.9</v>
      </c>
      <c r="H419" s="2">
        <v>3028</v>
      </c>
      <c r="I419" s="2">
        <v>12</v>
      </c>
      <c r="J419" s="2" t="s">
        <v>22</v>
      </c>
      <c r="K419" s="2" t="s">
        <v>23</v>
      </c>
      <c r="L419" s="2" t="s">
        <v>1727</v>
      </c>
      <c r="M419" s="7" t="s">
        <v>1728</v>
      </c>
      <c r="N419" s="7" t="s">
        <v>1729</v>
      </c>
      <c r="O419" s="2"/>
      <c r="P419" s="2"/>
      <c r="Q419" s="2" t="str">
        <f>IF(SUMPRODUCT(--ISNUMBER(SEARCH('National Domains'!$A$2:$A$48,L419)))&gt;0,"Yes","No")</f>
        <v>No</v>
      </c>
      <c r="R419" s="2" t="str">
        <f>IF(COUNTIFS(Calibration!$A:$A,A419,Calibration!$B:$B,B419)&gt;0,"Yes","No")</f>
        <v>No</v>
      </c>
      <c r="S419" s="6"/>
    </row>
    <row r="420" spans="1:19" ht="34.5" customHeight="1" x14ac:dyDescent="0.2">
      <c r="A420" s="2">
        <v>132</v>
      </c>
      <c r="B420" s="2">
        <v>5</v>
      </c>
      <c r="C420" s="2" t="s">
        <v>263</v>
      </c>
      <c r="D420" s="2" t="s">
        <v>21</v>
      </c>
      <c r="E420" s="2">
        <v>20150601</v>
      </c>
      <c r="F420" s="2">
        <v>20151130</v>
      </c>
      <c r="G420" s="2">
        <v>3996.9</v>
      </c>
      <c r="H420" s="2">
        <v>3028</v>
      </c>
      <c r="I420" s="2">
        <v>12</v>
      </c>
      <c r="J420" s="2" t="s">
        <v>22</v>
      </c>
      <c r="K420" s="2" t="s">
        <v>23</v>
      </c>
      <c r="L420" s="2" t="s">
        <v>1730</v>
      </c>
      <c r="M420" s="7" t="s">
        <v>1731</v>
      </c>
      <c r="N420" s="7" t="s">
        <v>1732</v>
      </c>
      <c r="O420" s="2"/>
      <c r="P420" s="2"/>
      <c r="Q420" s="2" t="str">
        <f>IF(SUMPRODUCT(--ISNUMBER(SEARCH('National Domains'!$A$2:$A$48,L420)))&gt;0,"Yes","No")</f>
        <v>No</v>
      </c>
      <c r="R420" s="2" t="str">
        <f>IF(COUNTIFS(Calibration!$A:$A,A420,Calibration!$B:$B,B420)&gt;0,"Yes","No")</f>
        <v>No</v>
      </c>
      <c r="S420" s="6"/>
    </row>
    <row r="421" spans="1:19" ht="34.5" customHeight="1" x14ac:dyDescent="0.2">
      <c r="A421" s="2">
        <v>132</v>
      </c>
      <c r="B421" s="2">
        <v>6</v>
      </c>
      <c r="C421" s="2" t="s">
        <v>263</v>
      </c>
      <c r="D421" s="2" t="s">
        <v>21</v>
      </c>
      <c r="E421" s="2">
        <v>20150601</v>
      </c>
      <c r="F421" s="2">
        <v>20151130</v>
      </c>
      <c r="G421" s="2">
        <v>3996.9</v>
      </c>
      <c r="H421" s="2">
        <v>3028</v>
      </c>
      <c r="I421" s="2">
        <v>12</v>
      </c>
      <c r="J421" s="2" t="s">
        <v>22</v>
      </c>
      <c r="K421" s="2" t="s">
        <v>23</v>
      </c>
      <c r="L421" s="2" t="s">
        <v>1733</v>
      </c>
      <c r="M421" s="7" t="s">
        <v>1734</v>
      </c>
      <c r="N421" s="7" t="s">
        <v>1735</v>
      </c>
      <c r="O421" s="2"/>
      <c r="P421" s="2"/>
      <c r="Q421" s="2" t="str">
        <f>IF(SUMPRODUCT(--ISNUMBER(SEARCH('National Domains'!$A$2:$A$48,L421)))&gt;0,"Yes","No")</f>
        <v>Yes</v>
      </c>
      <c r="R421" s="2" t="str">
        <f>IF(COUNTIFS(Calibration!$A:$A,A421,Calibration!$B:$B,B421)&gt;0,"Yes","No")</f>
        <v>No</v>
      </c>
      <c r="S421" s="6"/>
    </row>
    <row r="422" spans="1:19" ht="34.5" customHeight="1" x14ac:dyDescent="0.2">
      <c r="A422" s="2">
        <v>132</v>
      </c>
      <c r="B422" s="2">
        <v>7</v>
      </c>
      <c r="C422" s="2" t="s">
        <v>263</v>
      </c>
      <c r="D422" s="2" t="s">
        <v>21</v>
      </c>
      <c r="E422" s="2">
        <v>20150601</v>
      </c>
      <c r="F422" s="2">
        <v>20151130</v>
      </c>
      <c r="G422" s="2">
        <v>3996.9</v>
      </c>
      <c r="H422" s="2">
        <v>3028</v>
      </c>
      <c r="I422" s="2">
        <v>12</v>
      </c>
      <c r="J422" s="2" t="s">
        <v>22</v>
      </c>
      <c r="K422" s="2" t="s">
        <v>23</v>
      </c>
      <c r="L422" s="2" t="s">
        <v>1736</v>
      </c>
      <c r="M422" s="7" t="s">
        <v>1737</v>
      </c>
      <c r="N422" s="7" t="s">
        <v>1738</v>
      </c>
      <c r="O422" s="2"/>
      <c r="P422" s="2"/>
      <c r="Q422" s="2" t="str">
        <f>IF(SUMPRODUCT(--ISNUMBER(SEARCH('National Domains'!$A$2:$A$48,L422)))&gt;0,"Yes","No")</f>
        <v>Yes</v>
      </c>
      <c r="R422" s="2" t="str">
        <f>IF(COUNTIFS(Calibration!$A:$A,A422,Calibration!$B:$B,B422)&gt;0,"Yes","No")</f>
        <v>No</v>
      </c>
      <c r="S422" s="6"/>
    </row>
    <row r="423" spans="1:19" ht="34.5" customHeight="1" x14ac:dyDescent="0.2">
      <c r="A423" s="2">
        <v>132</v>
      </c>
      <c r="B423" s="2">
        <v>8</v>
      </c>
      <c r="C423" s="2" t="s">
        <v>263</v>
      </c>
      <c r="D423" s="2" t="s">
        <v>21</v>
      </c>
      <c r="E423" s="2">
        <v>20150601</v>
      </c>
      <c r="F423" s="2">
        <v>20151130</v>
      </c>
      <c r="G423" s="2">
        <v>3996.9</v>
      </c>
      <c r="H423" s="2">
        <v>3028</v>
      </c>
      <c r="I423" s="2">
        <v>12</v>
      </c>
      <c r="J423" s="2" t="s">
        <v>22</v>
      </c>
      <c r="K423" s="2" t="s">
        <v>23</v>
      </c>
      <c r="L423" s="2" t="s">
        <v>1739</v>
      </c>
      <c r="M423" s="7" t="s">
        <v>1740</v>
      </c>
      <c r="N423" s="7" t="s">
        <v>1741</v>
      </c>
      <c r="O423" s="2"/>
      <c r="P423" s="2"/>
      <c r="Q423" s="2" t="str">
        <f>IF(SUMPRODUCT(--ISNUMBER(SEARCH('National Domains'!$A$2:$A$48,L423)))&gt;0,"Yes","No")</f>
        <v>Yes</v>
      </c>
      <c r="R423" s="2" t="str">
        <f>IF(COUNTIFS(Calibration!$A:$A,A423,Calibration!$B:$B,B423)&gt;0,"Yes","No")</f>
        <v>No</v>
      </c>
      <c r="S423" s="6"/>
    </row>
    <row r="424" spans="1:19" ht="34.5" customHeight="1" x14ac:dyDescent="0.2">
      <c r="A424" s="2">
        <v>132</v>
      </c>
      <c r="B424" s="2">
        <v>9</v>
      </c>
      <c r="C424" s="2" t="s">
        <v>263</v>
      </c>
      <c r="D424" s="2" t="s">
        <v>21</v>
      </c>
      <c r="E424" s="2">
        <v>20150601</v>
      </c>
      <c r="F424" s="2">
        <v>20151130</v>
      </c>
      <c r="G424" s="2">
        <v>3996.9</v>
      </c>
      <c r="H424" s="2">
        <v>3028</v>
      </c>
      <c r="I424" s="2">
        <v>12</v>
      </c>
      <c r="J424" s="2" t="s">
        <v>22</v>
      </c>
      <c r="K424" s="2" t="s">
        <v>23</v>
      </c>
      <c r="L424" s="2" t="s">
        <v>1742</v>
      </c>
      <c r="M424" s="7" t="s">
        <v>1743</v>
      </c>
      <c r="N424" s="7" t="s">
        <v>1744</v>
      </c>
      <c r="O424" s="2"/>
      <c r="P424" s="2"/>
      <c r="Q424" s="2" t="str">
        <f>IF(SUMPRODUCT(--ISNUMBER(SEARCH('National Domains'!$A$2:$A$48,L424)))&gt;0,"Yes","No")</f>
        <v>Yes</v>
      </c>
      <c r="R424" s="2" t="str">
        <f>IF(COUNTIFS(Calibration!$A:$A,A424,Calibration!$B:$B,B424)&gt;0,"Yes","No")</f>
        <v>No</v>
      </c>
      <c r="S424" s="6"/>
    </row>
    <row r="425" spans="1:19" ht="34.5" customHeight="1" x14ac:dyDescent="0.2">
      <c r="A425" s="2">
        <v>132</v>
      </c>
      <c r="B425" s="2">
        <v>10</v>
      </c>
      <c r="C425" s="2" t="s">
        <v>263</v>
      </c>
      <c r="D425" s="2" t="s">
        <v>21</v>
      </c>
      <c r="E425" s="2">
        <v>20150601</v>
      </c>
      <c r="F425" s="2">
        <v>20151130</v>
      </c>
      <c r="G425" s="2">
        <v>3996.9</v>
      </c>
      <c r="H425" s="2">
        <v>3028</v>
      </c>
      <c r="I425" s="2">
        <v>12</v>
      </c>
      <c r="J425" s="2" t="s">
        <v>22</v>
      </c>
      <c r="K425" s="2" t="s">
        <v>23</v>
      </c>
      <c r="L425" s="2" t="s">
        <v>1745</v>
      </c>
      <c r="M425" s="7" t="s">
        <v>1746</v>
      </c>
      <c r="N425" s="7" t="s">
        <v>1747</v>
      </c>
      <c r="O425" s="2"/>
      <c r="P425" s="2"/>
      <c r="Q425" s="2" t="str">
        <f>IF(SUMPRODUCT(--ISNUMBER(SEARCH('National Domains'!$A$2:$A$48,L425)))&gt;0,"Yes","No")</f>
        <v>Yes</v>
      </c>
      <c r="R425" s="2" t="str">
        <f>IF(COUNTIFS(Calibration!$A:$A,A425,Calibration!$B:$B,B425)&gt;0,"Yes","No")</f>
        <v>No</v>
      </c>
      <c r="S425" s="6"/>
    </row>
    <row r="426" spans="1:19" ht="34.5" customHeight="1" x14ac:dyDescent="0.2">
      <c r="A426" s="2">
        <v>132</v>
      </c>
      <c r="B426" s="2">
        <v>11</v>
      </c>
      <c r="C426" s="2" t="s">
        <v>263</v>
      </c>
      <c r="D426" s="2" t="s">
        <v>21</v>
      </c>
      <c r="E426" s="2">
        <v>20150601</v>
      </c>
      <c r="F426" s="2">
        <v>20151130</v>
      </c>
      <c r="G426" s="2">
        <v>3996.9</v>
      </c>
      <c r="H426" s="2">
        <v>3028</v>
      </c>
      <c r="I426" s="2">
        <v>12</v>
      </c>
      <c r="J426" s="2" t="s">
        <v>22</v>
      </c>
      <c r="K426" s="2" t="s">
        <v>23</v>
      </c>
      <c r="L426" s="2" t="s">
        <v>1748</v>
      </c>
      <c r="M426" s="7" t="s">
        <v>1749</v>
      </c>
      <c r="N426" s="7" t="s">
        <v>1750</v>
      </c>
      <c r="O426" s="2"/>
      <c r="P426" s="2"/>
      <c r="Q426" s="2" t="str">
        <f>IF(SUMPRODUCT(--ISNUMBER(SEARCH('National Domains'!$A$2:$A$48,L426)))&gt;0,"Yes","No")</f>
        <v>No</v>
      </c>
      <c r="R426" s="2" t="str">
        <f>IF(COUNTIFS(Calibration!$A:$A,A426,Calibration!$B:$B,B426)&gt;0,"Yes","No")</f>
        <v>No</v>
      </c>
      <c r="S426" s="6"/>
    </row>
    <row r="427" spans="1:19" ht="34.5" customHeight="1" x14ac:dyDescent="0.2">
      <c r="A427" s="4">
        <v>132</v>
      </c>
      <c r="B427" s="4">
        <v>12</v>
      </c>
      <c r="C427" s="4" t="s">
        <v>263</v>
      </c>
      <c r="D427" s="4" t="s">
        <v>21</v>
      </c>
      <c r="E427" s="4">
        <v>20150601</v>
      </c>
      <c r="F427" s="4">
        <v>20151130</v>
      </c>
      <c r="G427" s="4">
        <v>3996.9</v>
      </c>
      <c r="H427" s="4">
        <v>3028</v>
      </c>
      <c r="I427" s="4">
        <v>12</v>
      </c>
      <c r="J427" s="4" t="s">
        <v>22</v>
      </c>
      <c r="K427" s="4" t="s">
        <v>23</v>
      </c>
      <c r="L427" s="4" t="s">
        <v>1751</v>
      </c>
      <c r="M427" s="5" t="s">
        <v>1752</v>
      </c>
      <c r="N427" s="5" t="s">
        <v>1753</v>
      </c>
      <c r="O427" s="4"/>
      <c r="P427" s="4"/>
      <c r="Q427" s="4" t="str">
        <f>IF(SUMPRODUCT(--ISNUMBER(SEARCH('National Domains'!$A$2:$A$48,L427)))&gt;0,"Yes","No")</f>
        <v>No</v>
      </c>
      <c r="R427" s="4" t="str">
        <f>IF(COUNTIFS(Calibration!$A:$A,A427,Calibration!$B:$B,B427)&gt;0,"Yes","No")</f>
        <v>Yes</v>
      </c>
      <c r="S427" s="6"/>
    </row>
    <row r="428" spans="1:19" ht="34.5" customHeight="1" x14ac:dyDescent="0.2">
      <c r="A428" s="2">
        <v>132</v>
      </c>
      <c r="B428" s="2">
        <v>13</v>
      </c>
      <c r="C428" s="2" t="s">
        <v>263</v>
      </c>
      <c r="D428" s="2" t="s">
        <v>21</v>
      </c>
      <c r="E428" s="2">
        <v>20150601</v>
      </c>
      <c r="F428" s="2">
        <v>20151130</v>
      </c>
      <c r="G428" s="2">
        <v>3996.9</v>
      </c>
      <c r="H428" s="2">
        <v>3028</v>
      </c>
      <c r="I428" s="2">
        <v>12</v>
      </c>
      <c r="J428" s="2" t="s">
        <v>22</v>
      </c>
      <c r="K428" s="2" t="s">
        <v>23</v>
      </c>
      <c r="L428" s="2" t="s">
        <v>1754</v>
      </c>
      <c r="M428" s="7" t="s">
        <v>1755</v>
      </c>
      <c r="N428" s="7" t="s">
        <v>1756</v>
      </c>
      <c r="O428" s="2"/>
      <c r="P428" s="2"/>
      <c r="Q428" s="2" t="str">
        <f>IF(SUMPRODUCT(--ISNUMBER(SEARCH('National Domains'!$A$2:$A$48,L428)))&gt;0,"Yes","No")</f>
        <v>No</v>
      </c>
      <c r="R428" s="2" t="str">
        <f>IF(COUNTIFS(Calibration!$A:$A,A428,Calibration!$B:$B,B428)&gt;0,"Yes","No")</f>
        <v>No</v>
      </c>
      <c r="S428" s="6"/>
    </row>
    <row r="429" spans="1:19" ht="34.5" customHeight="1" x14ac:dyDescent="0.2">
      <c r="A429" s="2">
        <v>133</v>
      </c>
      <c r="B429" s="2">
        <v>1</v>
      </c>
      <c r="C429" s="2" t="s">
        <v>264</v>
      </c>
      <c r="D429" s="2" t="s">
        <v>17</v>
      </c>
      <c r="E429" s="2">
        <v>20151226</v>
      </c>
      <c r="F429" s="2">
        <v>20151229</v>
      </c>
      <c r="G429" s="2">
        <v>2609.3000000000002</v>
      </c>
      <c r="H429" s="2">
        <v>1961.9</v>
      </c>
      <c r="I429" s="2">
        <v>50</v>
      </c>
      <c r="J429" s="2" t="s">
        <v>265</v>
      </c>
      <c r="K429" s="2" t="s">
        <v>103</v>
      </c>
      <c r="L429" s="2" t="s">
        <v>1757</v>
      </c>
      <c r="M429" s="7" t="s">
        <v>1758</v>
      </c>
      <c r="N429" s="7" t="s">
        <v>1759</v>
      </c>
      <c r="O429" s="2"/>
      <c r="P429" s="2"/>
      <c r="Q429" s="2" t="str">
        <f>IF(SUMPRODUCT(--ISNUMBER(SEARCH('National Domains'!$A$2:$A$48,L429)))&gt;0,"Yes","No")</f>
        <v>Yes</v>
      </c>
      <c r="R429" s="2" t="str">
        <f>IF(COUNTIFS(Calibration!$A:$A,A429,Calibration!$B:$B,B429)&gt;0,"Yes","No")</f>
        <v>No</v>
      </c>
      <c r="S429" s="6"/>
    </row>
    <row r="430" spans="1:19" ht="34.5" customHeight="1" x14ac:dyDescent="0.2">
      <c r="A430" s="2">
        <v>133</v>
      </c>
      <c r="B430" s="2">
        <v>2</v>
      </c>
      <c r="C430" s="2" t="s">
        <v>264</v>
      </c>
      <c r="D430" s="2" t="s">
        <v>17</v>
      </c>
      <c r="E430" s="2">
        <v>20151226</v>
      </c>
      <c r="F430" s="2">
        <v>20151229</v>
      </c>
      <c r="G430" s="2">
        <v>2609.3000000000002</v>
      </c>
      <c r="H430" s="2">
        <v>1961.9</v>
      </c>
      <c r="I430" s="2">
        <v>50</v>
      </c>
      <c r="J430" s="2" t="s">
        <v>265</v>
      </c>
      <c r="K430" s="2" t="s">
        <v>103</v>
      </c>
      <c r="L430" s="2" t="s">
        <v>1760</v>
      </c>
      <c r="M430" s="7" t="s">
        <v>1761</v>
      </c>
      <c r="N430" s="7" t="s">
        <v>1762</v>
      </c>
      <c r="O430" s="2"/>
      <c r="P430" s="2"/>
      <c r="Q430" s="2" t="str">
        <f>IF(SUMPRODUCT(--ISNUMBER(SEARCH('National Domains'!$A$2:$A$48,L430)))&gt;0,"Yes","No")</f>
        <v>Yes</v>
      </c>
      <c r="R430" s="2" t="str">
        <f>IF(COUNTIFS(Calibration!$A:$A,A430,Calibration!$B:$B,B430)&gt;0,"Yes","No")</f>
        <v>No</v>
      </c>
      <c r="S430" s="6"/>
    </row>
    <row r="431" spans="1:19" ht="34.5" customHeight="1" x14ac:dyDescent="0.2">
      <c r="A431" s="2">
        <v>133</v>
      </c>
      <c r="B431" s="2">
        <v>3</v>
      </c>
      <c r="C431" s="2" t="s">
        <v>264</v>
      </c>
      <c r="D431" s="2" t="s">
        <v>17</v>
      </c>
      <c r="E431" s="2">
        <v>20151226</v>
      </c>
      <c r="F431" s="2">
        <v>20151229</v>
      </c>
      <c r="G431" s="2">
        <v>2609.3000000000002</v>
      </c>
      <c r="H431" s="2">
        <v>1961.9</v>
      </c>
      <c r="I431" s="2">
        <v>50</v>
      </c>
      <c r="J431" s="2" t="s">
        <v>265</v>
      </c>
      <c r="K431" s="2" t="s">
        <v>103</v>
      </c>
      <c r="L431" s="2" t="s">
        <v>1763</v>
      </c>
      <c r="M431" s="7" t="s">
        <v>1764</v>
      </c>
      <c r="N431" s="7" t="s">
        <v>1765</v>
      </c>
      <c r="O431" s="2"/>
      <c r="P431" s="2"/>
      <c r="Q431" s="2" t="str">
        <f>IF(SUMPRODUCT(--ISNUMBER(SEARCH('National Domains'!$A$2:$A$48,L431)))&gt;0,"Yes","No")</f>
        <v>No</v>
      </c>
      <c r="R431" s="2" t="str">
        <f>IF(COUNTIFS(Calibration!$A:$A,A431,Calibration!$B:$B,B431)&gt;0,"Yes","No")</f>
        <v>No</v>
      </c>
      <c r="S431" s="6"/>
    </row>
    <row r="432" spans="1:19" ht="34.5" customHeight="1" x14ac:dyDescent="0.2">
      <c r="A432" s="2">
        <v>133</v>
      </c>
      <c r="B432" s="2">
        <v>4</v>
      </c>
      <c r="C432" s="2" t="s">
        <v>264</v>
      </c>
      <c r="D432" s="2" t="s">
        <v>17</v>
      </c>
      <c r="E432" s="2">
        <v>20151226</v>
      </c>
      <c r="F432" s="2">
        <v>20151229</v>
      </c>
      <c r="G432" s="2">
        <v>2609.3000000000002</v>
      </c>
      <c r="H432" s="2">
        <v>1961.9</v>
      </c>
      <c r="I432" s="2">
        <v>50</v>
      </c>
      <c r="J432" s="2" t="s">
        <v>265</v>
      </c>
      <c r="K432" s="2" t="s">
        <v>103</v>
      </c>
      <c r="L432" s="2" t="s">
        <v>1766</v>
      </c>
      <c r="M432" s="7" t="s">
        <v>1767</v>
      </c>
      <c r="N432" s="7" t="s">
        <v>1768</v>
      </c>
      <c r="O432" s="2"/>
      <c r="P432" s="2"/>
      <c r="Q432" s="2" t="str">
        <f>IF(SUMPRODUCT(--ISNUMBER(SEARCH('National Domains'!$A$2:$A$48,L432)))&gt;0,"Yes","No")</f>
        <v>No</v>
      </c>
      <c r="R432" s="2" t="str">
        <f>IF(COUNTIFS(Calibration!$A:$A,A432,Calibration!$B:$B,B432)&gt;0,"Yes","No")</f>
        <v>No</v>
      </c>
      <c r="S432" s="6"/>
    </row>
    <row r="433" spans="1:19" ht="34.5" customHeight="1" x14ac:dyDescent="0.2">
      <c r="A433" s="2">
        <v>133</v>
      </c>
      <c r="B433" s="2">
        <v>5</v>
      </c>
      <c r="C433" s="2" t="s">
        <v>264</v>
      </c>
      <c r="D433" s="2" t="s">
        <v>17</v>
      </c>
      <c r="E433" s="2">
        <v>20151226</v>
      </c>
      <c r="F433" s="2">
        <v>20151229</v>
      </c>
      <c r="G433" s="2">
        <v>2609.3000000000002</v>
      </c>
      <c r="H433" s="2">
        <v>1961.9</v>
      </c>
      <c r="I433" s="2">
        <v>50</v>
      </c>
      <c r="J433" s="2" t="s">
        <v>265</v>
      </c>
      <c r="K433" s="2" t="s">
        <v>103</v>
      </c>
      <c r="L433" s="2" t="s">
        <v>1769</v>
      </c>
      <c r="M433" s="7" t="s">
        <v>1770</v>
      </c>
      <c r="N433" s="7" t="s">
        <v>1771</v>
      </c>
      <c r="O433" s="2"/>
      <c r="P433" s="2"/>
      <c r="Q433" s="2" t="str">
        <f>IF(SUMPRODUCT(--ISNUMBER(SEARCH('National Domains'!$A$2:$A$48,L433)))&gt;0,"Yes","No")</f>
        <v>No</v>
      </c>
      <c r="R433" s="2" t="str">
        <f>IF(COUNTIFS(Calibration!$A:$A,A433,Calibration!$B:$B,B433)&gt;0,"Yes","No")</f>
        <v>No</v>
      </c>
      <c r="S433" s="6"/>
    </row>
    <row r="434" spans="1:19" ht="34.5" customHeight="1" x14ac:dyDescent="0.2">
      <c r="A434" s="2">
        <v>133</v>
      </c>
      <c r="B434" s="2">
        <v>6</v>
      </c>
      <c r="C434" s="2" t="s">
        <v>264</v>
      </c>
      <c r="D434" s="2" t="s">
        <v>17</v>
      </c>
      <c r="E434" s="2">
        <v>20151226</v>
      </c>
      <c r="F434" s="2">
        <v>20151229</v>
      </c>
      <c r="G434" s="2">
        <v>2609.3000000000002</v>
      </c>
      <c r="H434" s="2">
        <v>1961.9</v>
      </c>
      <c r="I434" s="2">
        <v>50</v>
      </c>
      <c r="J434" s="2" t="s">
        <v>265</v>
      </c>
      <c r="K434" s="2" t="s">
        <v>103</v>
      </c>
      <c r="L434" s="2" t="s">
        <v>1772</v>
      </c>
      <c r="M434" s="7" t="s">
        <v>1773</v>
      </c>
      <c r="N434" s="7" t="s">
        <v>1774</v>
      </c>
      <c r="O434" s="2"/>
      <c r="P434" s="2"/>
      <c r="Q434" s="2" t="str">
        <f>IF(SUMPRODUCT(--ISNUMBER(SEARCH('National Domains'!$A$2:$A$48,L434)))&gt;0,"Yes","No")</f>
        <v>No</v>
      </c>
      <c r="R434" s="2" t="str">
        <f>IF(COUNTIFS(Calibration!$A:$A,A434,Calibration!$B:$B,B434)&gt;0,"Yes","No")</f>
        <v>No</v>
      </c>
      <c r="S434" s="6"/>
    </row>
    <row r="435" spans="1:19" ht="34.5" customHeight="1" x14ac:dyDescent="0.2">
      <c r="A435" s="2">
        <v>133</v>
      </c>
      <c r="B435" s="2">
        <v>7</v>
      </c>
      <c r="C435" s="2" t="s">
        <v>264</v>
      </c>
      <c r="D435" s="2" t="s">
        <v>17</v>
      </c>
      <c r="E435" s="2">
        <v>20151226</v>
      </c>
      <c r="F435" s="2">
        <v>20151229</v>
      </c>
      <c r="G435" s="2">
        <v>2609.3000000000002</v>
      </c>
      <c r="H435" s="2">
        <v>1961.9</v>
      </c>
      <c r="I435" s="2">
        <v>50</v>
      </c>
      <c r="J435" s="2" t="s">
        <v>265</v>
      </c>
      <c r="K435" s="2" t="s">
        <v>103</v>
      </c>
      <c r="L435" s="2" t="s">
        <v>1775</v>
      </c>
      <c r="M435" s="7" t="s">
        <v>1776</v>
      </c>
      <c r="N435" s="7" t="s">
        <v>1777</v>
      </c>
      <c r="O435" s="2"/>
      <c r="P435" s="2"/>
      <c r="Q435" s="2" t="str">
        <f>IF(SUMPRODUCT(--ISNUMBER(SEARCH('National Domains'!$A$2:$A$48,L435)))&gt;0,"Yes","No")</f>
        <v>No</v>
      </c>
      <c r="R435" s="2" t="str">
        <f>IF(COUNTIFS(Calibration!$A:$A,A435,Calibration!$B:$B,B435)&gt;0,"Yes","No")</f>
        <v>No</v>
      </c>
      <c r="S435" s="6"/>
    </row>
    <row r="436" spans="1:19" ht="34.5" customHeight="1" x14ac:dyDescent="0.2">
      <c r="A436" s="2">
        <v>133</v>
      </c>
      <c r="B436" s="2">
        <v>8</v>
      </c>
      <c r="C436" s="2" t="s">
        <v>264</v>
      </c>
      <c r="D436" s="2" t="s">
        <v>17</v>
      </c>
      <c r="E436" s="2">
        <v>20151226</v>
      </c>
      <c r="F436" s="2">
        <v>20151229</v>
      </c>
      <c r="G436" s="2">
        <v>2609.3000000000002</v>
      </c>
      <c r="H436" s="2">
        <v>1961.9</v>
      </c>
      <c r="I436" s="2">
        <v>50</v>
      </c>
      <c r="J436" s="2" t="s">
        <v>265</v>
      </c>
      <c r="K436" s="2" t="s">
        <v>103</v>
      </c>
      <c r="L436" s="2" t="s">
        <v>1778</v>
      </c>
      <c r="M436" s="7" t="s">
        <v>1779</v>
      </c>
      <c r="N436" s="7" t="s">
        <v>1780</v>
      </c>
      <c r="O436" s="2"/>
      <c r="P436" s="2"/>
      <c r="Q436" s="2" t="str">
        <f>IF(SUMPRODUCT(--ISNUMBER(SEARCH('National Domains'!$A$2:$A$48,L436)))&gt;0,"Yes","No")</f>
        <v>Yes</v>
      </c>
      <c r="R436" s="2" t="str">
        <f>IF(COUNTIFS(Calibration!$A:$A,A436,Calibration!$B:$B,B436)&gt;0,"Yes","No")</f>
        <v>No</v>
      </c>
      <c r="S436" s="6"/>
    </row>
    <row r="437" spans="1:19" ht="34.5" customHeight="1" x14ac:dyDescent="0.2">
      <c r="A437" s="2">
        <v>133</v>
      </c>
      <c r="B437" s="2">
        <v>9</v>
      </c>
      <c r="C437" s="2" t="s">
        <v>264</v>
      </c>
      <c r="D437" s="2" t="s">
        <v>17</v>
      </c>
      <c r="E437" s="2">
        <v>20151226</v>
      </c>
      <c r="F437" s="2">
        <v>20151229</v>
      </c>
      <c r="G437" s="2">
        <v>2609.3000000000002</v>
      </c>
      <c r="H437" s="2">
        <v>1961.9</v>
      </c>
      <c r="I437" s="2">
        <v>50</v>
      </c>
      <c r="J437" s="2" t="s">
        <v>265</v>
      </c>
      <c r="K437" s="2" t="s">
        <v>103</v>
      </c>
      <c r="L437" s="2" t="s">
        <v>1781</v>
      </c>
      <c r="M437" s="7" t="s">
        <v>1782</v>
      </c>
      <c r="N437" s="7" t="s">
        <v>1783</v>
      </c>
      <c r="O437" s="2"/>
      <c r="P437" s="2"/>
      <c r="Q437" s="2" t="str">
        <f>IF(SUMPRODUCT(--ISNUMBER(SEARCH('National Domains'!$A$2:$A$48,L437)))&gt;0,"Yes","No")</f>
        <v>Yes</v>
      </c>
      <c r="R437" s="2" t="str">
        <f>IF(COUNTIFS(Calibration!$A:$A,A437,Calibration!$B:$B,B437)&gt;0,"Yes","No")</f>
        <v>No</v>
      </c>
      <c r="S437" s="6"/>
    </row>
    <row r="438" spans="1:19" ht="34.5" customHeight="1" x14ac:dyDescent="0.2">
      <c r="A438" s="2">
        <v>133</v>
      </c>
      <c r="B438" s="2">
        <v>10</v>
      </c>
      <c r="C438" s="2" t="s">
        <v>264</v>
      </c>
      <c r="D438" s="2" t="s">
        <v>17</v>
      </c>
      <c r="E438" s="2">
        <v>20151226</v>
      </c>
      <c r="F438" s="2">
        <v>20151229</v>
      </c>
      <c r="G438" s="2">
        <v>2609.3000000000002</v>
      </c>
      <c r="H438" s="2">
        <v>1961.9</v>
      </c>
      <c r="I438" s="2">
        <v>50</v>
      </c>
      <c r="J438" s="2" t="s">
        <v>265</v>
      </c>
      <c r="K438" s="2" t="s">
        <v>103</v>
      </c>
      <c r="L438" s="2" t="s">
        <v>1784</v>
      </c>
      <c r="M438" s="7" t="s">
        <v>1785</v>
      </c>
      <c r="N438" s="7" t="s">
        <v>1786</v>
      </c>
      <c r="O438" s="2"/>
      <c r="P438" s="2"/>
      <c r="Q438" s="2" t="str">
        <f>IF(SUMPRODUCT(--ISNUMBER(SEARCH('National Domains'!$A$2:$A$48,L438)))&gt;0,"Yes","No")</f>
        <v>No</v>
      </c>
      <c r="R438" s="2" t="str">
        <f>IF(COUNTIFS(Calibration!$A:$A,A438,Calibration!$B:$B,B438)&gt;0,"Yes","No")</f>
        <v>No</v>
      </c>
      <c r="S438" s="6"/>
    </row>
    <row r="439" spans="1:19" ht="34.5" customHeight="1" x14ac:dyDescent="0.2">
      <c r="A439" s="2">
        <v>133</v>
      </c>
      <c r="B439" s="2">
        <v>11</v>
      </c>
      <c r="C439" s="2" t="s">
        <v>264</v>
      </c>
      <c r="D439" s="2" t="s">
        <v>17</v>
      </c>
      <c r="E439" s="2">
        <v>20151226</v>
      </c>
      <c r="F439" s="2">
        <v>20151229</v>
      </c>
      <c r="G439" s="2">
        <v>2609.3000000000002</v>
      </c>
      <c r="H439" s="2">
        <v>1961.9</v>
      </c>
      <c r="I439" s="2">
        <v>50</v>
      </c>
      <c r="J439" s="2" t="s">
        <v>265</v>
      </c>
      <c r="K439" s="2" t="s">
        <v>103</v>
      </c>
      <c r="L439" s="2" t="s">
        <v>1787</v>
      </c>
      <c r="M439" s="7" t="s">
        <v>1773</v>
      </c>
      <c r="N439" s="7" t="s">
        <v>1788</v>
      </c>
      <c r="O439" s="2"/>
      <c r="P439" s="2"/>
      <c r="Q439" s="2" t="str">
        <f>IF(SUMPRODUCT(--ISNUMBER(SEARCH('National Domains'!$A$2:$A$48,L439)))&gt;0,"Yes","No")</f>
        <v>No</v>
      </c>
      <c r="R439" s="2" t="str">
        <f>IF(COUNTIFS(Calibration!$A:$A,A439,Calibration!$B:$B,B439)&gt;0,"Yes","No")</f>
        <v>No</v>
      </c>
      <c r="S439" s="6"/>
    </row>
    <row r="440" spans="1:19" ht="34.5" customHeight="1" x14ac:dyDescent="0.2">
      <c r="A440" s="2">
        <v>133</v>
      </c>
      <c r="B440" s="2">
        <v>12</v>
      </c>
      <c r="C440" s="2" t="s">
        <v>264</v>
      </c>
      <c r="D440" s="2" t="s">
        <v>17</v>
      </c>
      <c r="E440" s="2">
        <v>20151226</v>
      </c>
      <c r="F440" s="2">
        <v>20151229</v>
      </c>
      <c r="G440" s="2">
        <v>2609.3000000000002</v>
      </c>
      <c r="H440" s="2">
        <v>1961.9</v>
      </c>
      <c r="I440" s="2">
        <v>50</v>
      </c>
      <c r="J440" s="2" t="s">
        <v>265</v>
      </c>
      <c r="K440" s="2" t="s">
        <v>103</v>
      </c>
      <c r="L440" s="2" t="s">
        <v>1789</v>
      </c>
      <c r="M440" s="7" t="s">
        <v>1790</v>
      </c>
      <c r="N440" s="7" t="s">
        <v>1791</v>
      </c>
      <c r="O440" s="2"/>
      <c r="P440" s="2"/>
      <c r="Q440" s="2" t="str">
        <f>IF(SUMPRODUCT(--ISNUMBER(SEARCH('National Domains'!$A$2:$A$48,L440)))&gt;0,"Yes","No")</f>
        <v>Yes</v>
      </c>
      <c r="R440" s="2" t="str">
        <f>IF(COUNTIFS(Calibration!$A:$A,A440,Calibration!$B:$B,B440)&gt;0,"Yes","No")</f>
        <v>No</v>
      </c>
      <c r="S440" s="6"/>
    </row>
    <row r="441" spans="1:19" ht="34.5" customHeight="1" x14ac:dyDescent="0.2">
      <c r="A441" s="2">
        <v>133</v>
      </c>
      <c r="B441" s="2">
        <v>13</v>
      </c>
      <c r="C441" s="2" t="s">
        <v>264</v>
      </c>
      <c r="D441" s="2" t="s">
        <v>17</v>
      </c>
      <c r="E441" s="2">
        <v>20151226</v>
      </c>
      <c r="F441" s="2">
        <v>20151229</v>
      </c>
      <c r="G441" s="2">
        <v>2609.3000000000002</v>
      </c>
      <c r="H441" s="2">
        <v>1961.9</v>
      </c>
      <c r="I441" s="2">
        <v>50</v>
      </c>
      <c r="J441" s="2" t="s">
        <v>265</v>
      </c>
      <c r="K441" s="2" t="s">
        <v>103</v>
      </c>
      <c r="L441" s="2" t="s">
        <v>1792</v>
      </c>
      <c r="M441" s="7" t="s">
        <v>1793</v>
      </c>
      <c r="N441" s="7" t="s">
        <v>1794</v>
      </c>
      <c r="O441" s="2"/>
      <c r="P441" s="2"/>
      <c r="Q441" s="2" t="str">
        <f>IF(SUMPRODUCT(--ISNUMBER(SEARCH('National Domains'!$A$2:$A$48,L441)))&gt;0,"Yes","No")</f>
        <v>Yes</v>
      </c>
      <c r="R441" s="2" t="str">
        <f>IF(COUNTIFS(Calibration!$A:$A,A441,Calibration!$B:$B,B441)&gt;0,"Yes","No")</f>
        <v>No</v>
      </c>
      <c r="S441" s="6"/>
    </row>
    <row r="442" spans="1:19" ht="34.5" customHeight="1" x14ac:dyDescent="0.2">
      <c r="A442" s="2">
        <v>133</v>
      </c>
      <c r="B442" s="2">
        <v>14</v>
      </c>
      <c r="C442" s="2" t="s">
        <v>264</v>
      </c>
      <c r="D442" s="2" t="s">
        <v>17</v>
      </c>
      <c r="E442" s="2">
        <v>20151226</v>
      </c>
      <c r="F442" s="2">
        <v>20151229</v>
      </c>
      <c r="G442" s="2">
        <v>2609.3000000000002</v>
      </c>
      <c r="H442" s="2">
        <v>1961.9</v>
      </c>
      <c r="I442" s="2">
        <v>50</v>
      </c>
      <c r="J442" s="2" t="s">
        <v>265</v>
      </c>
      <c r="K442" s="2" t="s">
        <v>103</v>
      </c>
      <c r="L442" s="2" t="s">
        <v>1795</v>
      </c>
      <c r="M442" s="7" t="s">
        <v>1796</v>
      </c>
      <c r="N442" s="7" t="s">
        <v>1797</v>
      </c>
      <c r="O442" s="2"/>
      <c r="P442" s="2"/>
      <c r="Q442" s="2" t="str">
        <f>IF(SUMPRODUCT(--ISNUMBER(SEARCH('National Domains'!$A$2:$A$48,L442)))&gt;0,"Yes","No")</f>
        <v>Yes</v>
      </c>
      <c r="R442" s="2" t="str">
        <f>IF(COUNTIFS(Calibration!$A:$A,A442,Calibration!$B:$B,B442)&gt;0,"Yes","No")</f>
        <v>No</v>
      </c>
      <c r="S442" s="6"/>
    </row>
    <row r="443" spans="1:19" ht="34.5" customHeight="1" x14ac:dyDescent="0.2">
      <c r="A443" s="2">
        <v>133</v>
      </c>
      <c r="B443" s="2">
        <v>15</v>
      </c>
      <c r="C443" s="2" t="s">
        <v>264</v>
      </c>
      <c r="D443" s="2" t="s">
        <v>17</v>
      </c>
      <c r="E443" s="2">
        <v>20151226</v>
      </c>
      <c r="F443" s="2">
        <v>20151229</v>
      </c>
      <c r="G443" s="2">
        <v>2609.3000000000002</v>
      </c>
      <c r="H443" s="2">
        <v>1961.9</v>
      </c>
      <c r="I443" s="2">
        <v>50</v>
      </c>
      <c r="J443" s="2" t="s">
        <v>265</v>
      </c>
      <c r="K443" s="2" t="s">
        <v>103</v>
      </c>
      <c r="L443" s="2" t="s">
        <v>1798</v>
      </c>
      <c r="M443" s="7" t="s">
        <v>1799</v>
      </c>
      <c r="N443" s="7" t="s">
        <v>1800</v>
      </c>
      <c r="O443" s="2"/>
      <c r="P443" s="2"/>
      <c r="Q443" s="2" t="str">
        <f>IF(SUMPRODUCT(--ISNUMBER(SEARCH('National Domains'!$A$2:$A$48,L443)))&gt;0,"Yes","No")</f>
        <v>Yes</v>
      </c>
      <c r="R443" s="2" t="str">
        <f>IF(COUNTIFS(Calibration!$A:$A,A443,Calibration!$B:$B,B443)&gt;0,"Yes","No")</f>
        <v>No</v>
      </c>
      <c r="S443" s="6"/>
    </row>
    <row r="444" spans="1:19" ht="34.5" customHeight="1" x14ac:dyDescent="0.2">
      <c r="A444" s="2">
        <v>134</v>
      </c>
      <c r="B444" s="2">
        <v>1</v>
      </c>
      <c r="C444" s="2" t="s">
        <v>266</v>
      </c>
      <c r="D444" s="2" t="s">
        <v>29</v>
      </c>
      <c r="E444" s="2">
        <v>20150101</v>
      </c>
      <c r="F444" s="2">
        <v>20151231</v>
      </c>
      <c r="G444" s="2">
        <v>6029.3</v>
      </c>
      <c r="H444" s="2">
        <v>4466</v>
      </c>
      <c r="I444" s="2">
        <v>0</v>
      </c>
      <c r="J444" s="2" t="s">
        <v>22</v>
      </c>
      <c r="K444" s="2" t="s">
        <v>23</v>
      </c>
      <c r="L444" s="2" t="s">
        <v>1801</v>
      </c>
      <c r="M444" s="7" t="s">
        <v>1802</v>
      </c>
      <c r="N444" s="7" t="s">
        <v>1803</v>
      </c>
      <c r="O444" s="2"/>
      <c r="P444" s="2"/>
      <c r="Q444" s="2" t="str">
        <f>IF(SUMPRODUCT(--ISNUMBER(SEARCH('National Domains'!$A$2:$A$48,L444)))&gt;0,"Yes","No")</f>
        <v>No</v>
      </c>
      <c r="R444" s="2" t="str">
        <f>IF(COUNTIFS(Calibration!$A:$A,A444,Calibration!$B:$B,B444)&gt;0,"Yes","No")</f>
        <v>No</v>
      </c>
      <c r="S444" s="6"/>
    </row>
    <row r="445" spans="1:19" ht="34.5" customHeight="1" x14ac:dyDescent="0.2">
      <c r="A445" s="2">
        <v>134</v>
      </c>
      <c r="B445" s="2">
        <v>2</v>
      </c>
      <c r="C445" s="2" t="s">
        <v>266</v>
      </c>
      <c r="D445" s="2" t="s">
        <v>29</v>
      </c>
      <c r="E445" s="2">
        <v>20150101</v>
      </c>
      <c r="F445" s="2">
        <v>20151231</v>
      </c>
      <c r="G445" s="2">
        <v>6029.3</v>
      </c>
      <c r="H445" s="2">
        <v>4466</v>
      </c>
      <c r="I445" s="2">
        <v>0</v>
      </c>
      <c r="J445" s="2" t="s">
        <v>22</v>
      </c>
      <c r="K445" s="2" t="s">
        <v>23</v>
      </c>
      <c r="L445" s="2" t="s">
        <v>1804</v>
      </c>
      <c r="M445" s="7" t="s">
        <v>1805</v>
      </c>
      <c r="N445" s="7" t="s">
        <v>1806</v>
      </c>
      <c r="O445" s="2"/>
      <c r="P445" s="2"/>
      <c r="Q445" s="2" t="str">
        <f>IF(SUMPRODUCT(--ISNUMBER(SEARCH('National Domains'!$A$2:$A$48,L445)))&gt;0,"Yes","No")</f>
        <v>Yes</v>
      </c>
      <c r="R445" s="2" t="str">
        <f>IF(COUNTIFS(Calibration!$A:$A,A445,Calibration!$B:$B,B445)&gt;0,"Yes","No")</f>
        <v>No</v>
      </c>
      <c r="S445" s="6"/>
    </row>
    <row r="446" spans="1:19" ht="34.5" customHeight="1" x14ac:dyDescent="0.2">
      <c r="A446" s="2">
        <v>134</v>
      </c>
      <c r="B446" s="2">
        <v>3</v>
      </c>
      <c r="C446" s="2" t="s">
        <v>266</v>
      </c>
      <c r="D446" s="2" t="s">
        <v>29</v>
      </c>
      <c r="E446" s="2">
        <v>20150101</v>
      </c>
      <c r="F446" s="2">
        <v>20151231</v>
      </c>
      <c r="G446" s="2">
        <v>6029.3</v>
      </c>
      <c r="H446" s="2">
        <v>4466</v>
      </c>
      <c r="I446" s="2">
        <v>0</v>
      </c>
      <c r="J446" s="2" t="s">
        <v>22</v>
      </c>
      <c r="K446" s="2" t="s">
        <v>23</v>
      </c>
      <c r="L446" s="2" t="s">
        <v>1807</v>
      </c>
      <c r="M446" s="7" t="s">
        <v>1808</v>
      </c>
      <c r="N446" s="7" t="s">
        <v>1809</v>
      </c>
      <c r="O446" s="2"/>
      <c r="P446" s="2"/>
      <c r="Q446" s="2" t="str">
        <f>IF(SUMPRODUCT(--ISNUMBER(SEARCH('National Domains'!$A$2:$A$48,L446)))&gt;0,"Yes","No")</f>
        <v>Yes</v>
      </c>
      <c r="R446" s="2" t="str">
        <f>IF(COUNTIFS(Calibration!$A:$A,A446,Calibration!$B:$B,B446)&gt;0,"Yes","No")</f>
        <v>No</v>
      </c>
      <c r="S446" s="6"/>
    </row>
    <row r="447" spans="1:19" ht="34.5" customHeight="1" x14ac:dyDescent="0.2">
      <c r="A447" s="2">
        <v>134</v>
      </c>
      <c r="B447" s="2">
        <v>4</v>
      </c>
      <c r="C447" s="2" t="s">
        <v>266</v>
      </c>
      <c r="D447" s="2" t="s">
        <v>29</v>
      </c>
      <c r="E447" s="2">
        <v>20150101</v>
      </c>
      <c r="F447" s="2">
        <v>20151231</v>
      </c>
      <c r="G447" s="2">
        <v>6029.3</v>
      </c>
      <c r="H447" s="2">
        <v>4466</v>
      </c>
      <c r="I447" s="2">
        <v>0</v>
      </c>
      <c r="J447" s="2" t="s">
        <v>22</v>
      </c>
      <c r="K447" s="2" t="s">
        <v>23</v>
      </c>
      <c r="L447" s="2" t="s">
        <v>1810</v>
      </c>
      <c r="M447" s="7" t="s">
        <v>1811</v>
      </c>
      <c r="N447" s="7" t="s">
        <v>1812</v>
      </c>
      <c r="O447" s="2"/>
      <c r="P447" s="2"/>
      <c r="Q447" s="2" t="str">
        <f>IF(SUMPRODUCT(--ISNUMBER(SEARCH('National Domains'!$A$2:$A$48,L447)))&gt;0,"Yes","No")</f>
        <v>Yes</v>
      </c>
      <c r="R447" s="2" t="str">
        <f>IF(COUNTIFS(Calibration!$A:$A,A447,Calibration!$B:$B,B447)&gt;0,"Yes","No")</f>
        <v>No</v>
      </c>
      <c r="S447" s="6"/>
    </row>
    <row r="448" spans="1:19" ht="34.5" customHeight="1" x14ac:dyDescent="0.2">
      <c r="A448" s="2">
        <v>134</v>
      </c>
      <c r="B448" s="2">
        <v>5</v>
      </c>
      <c r="C448" s="2" t="s">
        <v>266</v>
      </c>
      <c r="D448" s="2" t="s">
        <v>29</v>
      </c>
      <c r="E448" s="2">
        <v>20150101</v>
      </c>
      <c r="F448" s="2">
        <v>20151231</v>
      </c>
      <c r="G448" s="2">
        <v>6029.3</v>
      </c>
      <c r="H448" s="2">
        <v>4466</v>
      </c>
      <c r="I448" s="2">
        <v>0</v>
      </c>
      <c r="J448" s="2" t="s">
        <v>22</v>
      </c>
      <c r="K448" s="2" t="s">
        <v>23</v>
      </c>
      <c r="L448" s="2" t="s">
        <v>1813</v>
      </c>
      <c r="M448" s="7" t="s">
        <v>1814</v>
      </c>
      <c r="N448" s="7" t="s">
        <v>1815</v>
      </c>
      <c r="O448" s="2"/>
      <c r="P448" s="2"/>
      <c r="Q448" s="2" t="str">
        <f>IF(SUMPRODUCT(--ISNUMBER(SEARCH('National Domains'!$A$2:$A$48,L448)))&gt;0,"Yes","No")</f>
        <v>No</v>
      </c>
      <c r="R448" s="2" t="str">
        <f>IF(COUNTIFS(Calibration!$A:$A,A448,Calibration!$B:$B,B448)&gt;0,"Yes","No")</f>
        <v>No</v>
      </c>
      <c r="S448" s="6"/>
    </row>
    <row r="449" spans="1:19" ht="34.5" customHeight="1" x14ac:dyDescent="0.2">
      <c r="A449" s="2">
        <v>134</v>
      </c>
      <c r="B449" s="2">
        <v>6</v>
      </c>
      <c r="C449" s="2" t="s">
        <v>266</v>
      </c>
      <c r="D449" s="2" t="s">
        <v>29</v>
      </c>
      <c r="E449" s="2">
        <v>20150101</v>
      </c>
      <c r="F449" s="2">
        <v>20151231</v>
      </c>
      <c r="G449" s="2">
        <v>6029.3</v>
      </c>
      <c r="H449" s="2">
        <v>4466</v>
      </c>
      <c r="I449" s="2">
        <v>0</v>
      </c>
      <c r="J449" s="2" t="s">
        <v>22</v>
      </c>
      <c r="K449" s="2" t="s">
        <v>23</v>
      </c>
      <c r="L449" s="2" t="s">
        <v>1816</v>
      </c>
      <c r="M449" s="7" t="s">
        <v>1817</v>
      </c>
      <c r="N449" s="7" t="s">
        <v>1818</v>
      </c>
      <c r="O449" s="2"/>
      <c r="P449" s="2"/>
      <c r="Q449" s="2" t="str">
        <f>IF(SUMPRODUCT(--ISNUMBER(SEARCH('National Domains'!$A$2:$A$48,L449)))&gt;0,"Yes","No")</f>
        <v>No</v>
      </c>
      <c r="R449" s="2" t="str">
        <f>IF(COUNTIFS(Calibration!$A:$A,A449,Calibration!$B:$B,B449)&gt;0,"Yes","No")</f>
        <v>No</v>
      </c>
      <c r="S449" s="6"/>
    </row>
    <row r="450" spans="1:19" ht="23.25" customHeight="1" x14ac:dyDescent="0.2">
      <c r="A450" s="2">
        <v>134</v>
      </c>
      <c r="B450" s="2">
        <v>7</v>
      </c>
      <c r="C450" s="2" t="s">
        <v>266</v>
      </c>
      <c r="D450" s="2" t="s">
        <v>29</v>
      </c>
      <c r="E450" s="2">
        <v>20150101</v>
      </c>
      <c r="F450" s="2">
        <v>20151231</v>
      </c>
      <c r="G450" s="2">
        <v>6029.3</v>
      </c>
      <c r="H450" s="2">
        <v>4466</v>
      </c>
      <c r="I450" s="2">
        <v>0</v>
      </c>
      <c r="J450" s="2" t="s">
        <v>22</v>
      </c>
      <c r="K450" s="2" t="s">
        <v>23</v>
      </c>
      <c r="L450" s="2" t="s">
        <v>1819</v>
      </c>
      <c r="M450" s="7" t="s">
        <v>1820</v>
      </c>
      <c r="N450" s="7" t="s">
        <v>1821</v>
      </c>
      <c r="O450" s="2"/>
      <c r="P450" s="2"/>
      <c r="Q450" s="2" t="str">
        <f>IF(SUMPRODUCT(--ISNUMBER(SEARCH('National Domains'!$A$2:$A$48,L450)))&gt;0,"Yes","No")</f>
        <v>No</v>
      </c>
      <c r="R450" s="2" t="str">
        <f>IF(COUNTIFS(Calibration!$A:$A,A450,Calibration!$B:$B,B450)&gt;0,"Yes","No")</f>
        <v>No</v>
      </c>
      <c r="S450" s="6"/>
    </row>
    <row r="451" spans="1:19" ht="34.5" customHeight="1" x14ac:dyDescent="0.2">
      <c r="A451" s="2">
        <v>134</v>
      </c>
      <c r="B451" s="2">
        <v>8</v>
      </c>
      <c r="C451" s="2" t="s">
        <v>266</v>
      </c>
      <c r="D451" s="2" t="s">
        <v>29</v>
      </c>
      <c r="E451" s="2">
        <v>20150101</v>
      </c>
      <c r="F451" s="2">
        <v>20151231</v>
      </c>
      <c r="G451" s="2">
        <v>6029.3</v>
      </c>
      <c r="H451" s="2">
        <v>4466</v>
      </c>
      <c r="I451" s="2">
        <v>0</v>
      </c>
      <c r="J451" s="2" t="s">
        <v>22</v>
      </c>
      <c r="K451" s="2" t="s">
        <v>23</v>
      </c>
      <c r="L451" s="2" t="s">
        <v>1822</v>
      </c>
      <c r="M451" s="7" t="s">
        <v>1823</v>
      </c>
      <c r="N451" s="7" t="s">
        <v>1824</v>
      </c>
      <c r="O451" s="2"/>
      <c r="P451" s="2"/>
      <c r="Q451" s="2" t="str">
        <f>IF(SUMPRODUCT(--ISNUMBER(SEARCH('National Domains'!$A$2:$A$48,L451)))&gt;0,"Yes","No")</f>
        <v>No</v>
      </c>
      <c r="R451" s="2" t="str">
        <f>IF(COUNTIFS(Calibration!$A:$A,A451,Calibration!$B:$B,B451)&gt;0,"Yes","No")</f>
        <v>No</v>
      </c>
      <c r="S451" s="6"/>
    </row>
    <row r="452" spans="1:19" ht="34.5" customHeight="1" x14ac:dyDescent="0.2">
      <c r="A452" s="2">
        <v>134</v>
      </c>
      <c r="B452" s="2">
        <v>9</v>
      </c>
      <c r="C452" s="2" t="s">
        <v>266</v>
      </c>
      <c r="D452" s="2" t="s">
        <v>29</v>
      </c>
      <c r="E452" s="2">
        <v>20150101</v>
      </c>
      <c r="F452" s="2">
        <v>20151231</v>
      </c>
      <c r="G452" s="2">
        <v>6029.3</v>
      </c>
      <c r="H452" s="2">
        <v>4466</v>
      </c>
      <c r="I452" s="2">
        <v>0</v>
      </c>
      <c r="J452" s="2" t="s">
        <v>22</v>
      </c>
      <c r="K452" s="2" t="s">
        <v>23</v>
      </c>
      <c r="L452" s="2" t="s">
        <v>1825</v>
      </c>
      <c r="M452" s="7" t="s">
        <v>1826</v>
      </c>
      <c r="N452" s="7" t="s">
        <v>1827</v>
      </c>
      <c r="O452" s="2"/>
      <c r="P452" s="2"/>
      <c r="Q452" s="2" t="str">
        <f>IF(SUMPRODUCT(--ISNUMBER(SEARCH('National Domains'!$A$2:$A$48,L452)))&gt;0,"Yes","No")</f>
        <v>No</v>
      </c>
      <c r="R452" s="2" t="str">
        <f>IF(COUNTIFS(Calibration!$A:$A,A452,Calibration!$B:$B,B452)&gt;0,"Yes","No")</f>
        <v>No</v>
      </c>
      <c r="S452" s="6"/>
    </row>
    <row r="453" spans="1:19" ht="34.5" customHeight="1" x14ac:dyDescent="0.2">
      <c r="A453" s="2">
        <v>134</v>
      </c>
      <c r="B453" s="2">
        <v>10</v>
      </c>
      <c r="C453" s="2" t="s">
        <v>266</v>
      </c>
      <c r="D453" s="2" t="s">
        <v>29</v>
      </c>
      <c r="E453" s="2">
        <v>20150101</v>
      </c>
      <c r="F453" s="2">
        <v>20151231</v>
      </c>
      <c r="G453" s="2">
        <v>6029.3</v>
      </c>
      <c r="H453" s="2">
        <v>4466</v>
      </c>
      <c r="I453" s="2">
        <v>0</v>
      </c>
      <c r="J453" s="2" t="s">
        <v>22</v>
      </c>
      <c r="K453" s="2" t="s">
        <v>23</v>
      </c>
      <c r="L453" s="2" t="s">
        <v>1828</v>
      </c>
      <c r="M453" s="7" t="s">
        <v>1829</v>
      </c>
      <c r="N453" s="7" t="s">
        <v>1830</v>
      </c>
      <c r="O453" s="2"/>
      <c r="P453" s="2"/>
      <c r="Q453" s="2" t="str">
        <f>IF(SUMPRODUCT(--ISNUMBER(SEARCH('National Domains'!$A$2:$A$48,L453)))&gt;0,"Yes","No")</f>
        <v>No</v>
      </c>
      <c r="R453" s="2" t="str">
        <f>IF(COUNTIFS(Calibration!$A:$A,A453,Calibration!$B:$B,B453)&gt;0,"Yes","No")</f>
        <v>No</v>
      </c>
      <c r="S453" s="6"/>
    </row>
    <row r="454" spans="1:19" ht="34.5" customHeight="1" x14ac:dyDescent="0.2">
      <c r="A454" s="2">
        <v>134</v>
      </c>
      <c r="B454" s="2">
        <v>11</v>
      </c>
      <c r="C454" s="2" t="s">
        <v>266</v>
      </c>
      <c r="D454" s="2" t="s">
        <v>29</v>
      </c>
      <c r="E454" s="2">
        <v>20150101</v>
      </c>
      <c r="F454" s="2">
        <v>20151231</v>
      </c>
      <c r="G454" s="2">
        <v>6029.3</v>
      </c>
      <c r="H454" s="2">
        <v>4466</v>
      </c>
      <c r="I454" s="2">
        <v>0</v>
      </c>
      <c r="J454" s="2" t="s">
        <v>22</v>
      </c>
      <c r="K454" s="2" t="s">
        <v>23</v>
      </c>
      <c r="L454" s="2" t="s">
        <v>1831</v>
      </c>
      <c r="M454" s="7" t="s">
        <v>1832</v>
      </c>
      <c r="N454" s="7" t="s">
        <v>1833</v>
      </c>
      <c r="O454" s="2"/>
      <c r="P454" s="2"/>
      <c r="Q454" s="2" t="str">
        <f>IF(SUMPRODUCT(--ISNUMBER(SEARCH('National Domains'!$A$2:$A$48,L454)))&gt;0,"Yes","No")</f>
        <v>No</v>
      </c>
      <c r="R454" s="2" t="str">
        <f>IF(COUNTIFS(Calibration!$A:$A,A454,Calibration!$B:$B,B454)&gt;0,"Yes","No")</f>
        <v>No</v>
      </c>
      <c r="S454" s="6"/>
    </row>
    <row r="455" spans="1:19" ht="34.5" customHeight="1" x14ac:dyDescent="0.2">
      <c r="A455" s="2">
        <v>134</v>
      </c>
      <c r="B455" s="2">
        <v>12</v>
      </c>
      <c r="C455" s="2" t="s">
        <v>266</v>
      </c>
      <c r="D455" s="2" t="s">
        <v>29</v>
      </c>
      <c r="E455" s="2">
        <v>20150101</v>
      </c>
      <c r="F455" s="2">
        <v>20151231</v>
      </c>
      <c r="G455" s="2">
        <v>6029.3</v>
      </c>
      <c r="H455" s="2">
        <v>4466</v>
      </c>
      <c r="I455" s="2">
        <v>0</v>
      </c>
      <c r="J455" s="2" t="s">
        <v>22</v>
      </c>
      <c r="K455" s="2" t="s">
        <v>23</v>
      </c>
      <c r="L455" s="2" t="s">
        <v>1834</v>
      </c>
      <c r="M455" s="7" t="s">
        <v>1835</v>
      </c>
      <c r="N455" s="7" t="s">
        <v>1836</v>
      </c>
      <c r="O455" s="2"/>
      <c r="P455" s="2"/>
      <c r="Q455" s="2" t="str">
        <f>IF(SUMPRODUCT(--ISNUMBER(SEARCH('National Domains'!$A$2:$A$48,L455)))&gt;0,"Yes","No")</f>
        <v>No</v>
      </c>
      <c r="R455" s="2" t="str">
        <f>IF(COUNTIFS(Calibration!$A:$A,A455,Calibration!$B:$B,B455)&gt;0,"Yes","No")</f>
        <v>No</v>
      </c>
      <c r="S455" s="6"/>
    </row>
    <row r="456" spans="1:19" ht="34.5" customHeight="1" x14ac:dyDescent="0.2">
      <c r="A456" s="2">
        <v>134</v>
      </c>
      <c r="B456" s="2">
        <v>13</v>
      </c>
      <c r="C456" s="2" t="s">
        <v>266</v>
      </c>
      <c r="D456" s="2" t="s">
        <v>29</v>
      </c>
      <c r="E456" s="2">
        <v>20150101</v>
      </c>
      <c r="F456" s="2">
        <v>20151231</v>
      </c>
      <c r="G456" s="2">
        <v>6029.3</v>
      </c>
      <c r="H456" s="2">
        <v>4466</v>
      </c>
      <c r="I456" s="2">
        <v>0</v>
      </c>
      <c r="J456" s="2" t="s">
        <v>22</v>
      </c>
      <c r="K456" s="2" t="s">
        <v>23</v>
      </c>
      <c r="L456" s="2" t="s">
        <v>1837</v>
      </c>
      <c r="M456" s="7" t="s">
        <v>1838</v>
      </c>
      <c r="N456" s="7" t="s">
        <v>1839</v>
      </c>
      <c r="O456" s="2"/>
      <c r="P456" s="2"/>
      <c r="Q456" s="2" t="str">
        <f>IF(SUMPRODUCT(--ISNUMBER(SEARCH('National Domains'!$A$2:$A$48,L456)))&gt;0,"Yes","No")</f>
        <v>No</v>
      </c>
      <c r="R456" s="2" t="str">
        <f>IF(COUNTIFS(Calibration!$A:$A,A456,Calibration!$B:$B,B456)&gt;0,"Yes","No")</f>
        <v>No</v>
      </c>
      <c r="S456" s="6"/>
    </row>
    <row r="457" spans="1:19" ht="34.5" customHeight="1" x14ac:dyDescent="0.2">
      <c r="A457" s="2">
        <v>134</v>
      </c>
      <c r="B457" s="2">
        <v>14</v>
      </c>
      <c r="C457" s="2" t="s">
        <v>266</v>
      </c>
      <c r="D457" s="2" t="s">
        <v>29</v>
      </c>
      <c r="E457" s="2">
        <v>20150101</v>
      </c>
      <c r="F457" s="2">
        <v>20151231</v>
      </c>
      <c r="G457" s="2">
        <v>6029.3</v>
      </c>
      <c r="H457" s="2">
        <v>4466</v>
      </c>
      <c r="I457" s="2">
        <v>0</v>
      </c>
      <c r="J457" s="2" t="s">
        <v>22</v>
      </c>
      <c r="K457" s="2" t="s">
        <v>23</v>
      </c>
      <c r="L457" s="2" t="s">
        <v>1840</v>
      </c>
      <c r="M457" s="7" t="s">
        <v>1841</v>
      </c>
      <c r="N457" s="7" t="s">
        <v>1842</v>
      </c>
      <c r="O457" s="2"/>
      <c r="P457" s="2"/>
      <c r="Q457" s="2" t="str">
        <f>IF(SUMPRODUCT(--ISNUMBER(SEARCH('National Domains'!$A$2:$A$48,L457)))&gt;0,"Yes","No")</f>
        <v>Yes</v>
      </c>
      <c r="R457" s="2" t="str">
        <f>IF(COUNTIFS(Calibration!$A:$A,A457,Calibration!$B:$B,B457)&gt;0,"Yes","No")</f>
        <v>No</v>
      </c>
      <c r="S457" s="6"/>
    </row>
    <row r="458" spans="1:19" ht="34.5" customHeight="1" x14ac:dyDescent="0.2">
      <c r="A458" s="2">
        <v>134</v>
      </c>
      <c r="B458" s="2">
        <v>15</v>
      </c>
      <c r="C458" s="2" t="s">
        <v>266</v>
      </c>
      <c r="D458" s="2" t="s">
        <v>29</v>
      </c>
      <c r="E458" s="2">
        <v>20150101</v>
      </c>
      <c r="F458" s="2">
        <v>20151231</v>
      </c>
      <c r="G458" s="2">
        <v>6029.3</v>
      </c>
      <c r="H458" s="2">
        <v>4466</v>
      </c>
      <c r="I458" s="2">
        <v>0</v>
      </c>
      <c r="J458" s="2" t="s">
        <v>22</v>
      </c>
      <c r="K458" s="2" t="s">
        <v>23</v>
      </c>
      <c r="L458" s="2" t="s">
        <v>1843</v>
      </c>
      <c r="M458" s="7" t="s">
        <v>1844</v>
      </c>
      <c r="N458" s="7" t="s">
        <v>1845</v>
      </c>
      <c r="O458" s="2"/>
      <c r="P458" s="2"/>
      <c r="Q458" s="2" t="str">
        <f>IF(SUMPRODUCT(--ISNUMBER(SEARCH('National Domains'!$A$2:$A$48,L458)))&gt;0,"Yes","No")</f>
        <v>Yes</v>
      </c>
      <c r="R458" s="2" t="str">
        <f>IF(COUNTIFS(Calibration!$A:$A,A458,Calibration!$B:$B,B458)&gt;0,"Yes","No")</f>
        <v>No</v>
      </c>
      <c r="S458" s="6"/>
    </row>
    <row r="459" spans="1:19" ht="34.5" customHeight="1" x14ac:dyDescent="0.2">
      <c r="A459" s="2">
        <v>134</v>
      </c>
      <c r="B459" s="2">
        <v>16</v>
      </c>
      <c r="C459" s="2" t="s">
        <v>266</v>
      </c>
      <c r="D459" s="2" t="s">
        <v>29</v>
      </c>
      <c r="E459" s="2">
        <v>20150101</v>
      </c>
      <c r="F459" s="2">
        <v>20151231</v>
      </c>
      <c r="G459" s="2">
        <v>6029.3</v>
      </c>
      <c r="H459" s="2">
        <v>4466</v>
      </c>
      <c r="I459" s="2">
        <v>0</v>
      </c>
      <c r="J459" s="2" t="s">
        <v>22</v>
      </c>
      <c r="K459" s="2" t="s">
        <v>23</v>
      </c>
      <c r="L459" s="2" t="s">
        <v>1739</v>
      </c>
      <c r="M459" s="7" t="s">
        <v>1740</v>
      </c>
      <c r="N459" s="7" t="s">
        <v>1741</v>
      </c>
      <c r="O459" s="2"/>
      <c r="P459" s="2"/>
      <c r="Q459" s="2" t="str">
        <f>IF(SUMPRODUCT(--ISNUMBER(SEARCH('National Domains'!$A$2:$A$48,L459)))&gt;0,"Yes","No")</f>
        <v>Yes</v>
      </c>
      <c r="R459" s="2" t="str">
        <f>IF(COUNTIFS(Calibration!$A:$A,A459,Calibration!$B:$B,B459)&gt;0,"Yes","No")</f>
        <v>No</v>
      </c>
      <c r="S459" s="6"/>
    </row>
    <row r="460" spans="1:19" ht="34.5" customHeight="1" x14ac:dyDescent="0.2">
      <c r="A460" s="2">
        <v>134</v>
      </c>
      <c r="B460" s="2">
        <v>17</v>
      </c>
      <c r="C460" s="2" t="s">
        <v>266</v>
      </c>
      <c r="D460" s="2" t="s">
        <v>29</v>
      </c>
      <c r="E460" s="2">
        <v>20150101</v>
      </c>
      <c r="F460" s="2">
        <v>20151231</v>
      </c>
      <c r="G460" s="2">
        <v>6029.3</v>
      </c>
      <c r="H460" s="2">
        <v>4466</v>
      </c>
      <c r="I460" s="2">
        <v>0</v>
      </c>
      <c r="J460" s="2" t="s">
        <v>22</v>
      </c>
      <c r="K460" s="2" t="s">
        <v>23</v>
      </c>
      <c r="L460" s="2" t="s">
        <v>1846</v>
      </c>
      <c r="M460" s="7" t="s">
        <v>1847</v>
      </c>
      <c r="N460" s="7" t="s">
        <v>1848</v>
      </c>
      <c r="O460" s="2"/>
      <c r="P460" s="2"/>
      <c r="Q460" s="2" t="str">
        <f>IF(SUMPRODUCT(--ISNUMBER(SEARCH('National Domains'!$A$2:$A$48,L460)))&gt;0,"Yes","No")</f>
        <v>Yes</v>
      </c>
      <c r="R460" s="2" t="str">
        <f>IF(COUNTIFS(Calibration!$A:$A,A460,Calibration!$B:$B,B460)&gt;0,"Yes","No")</f>
        <v>No</v>
      </c>
      <c r="S460" s="6"/>
    </row>
    <row r="461" spans="1:19" ht="34.5" customHeight="1" x14ac:dyDescent="0.2">
      <c r="A461" s="2">
        <v>134</v>
      </c>
      <c r="B461" s="2">
        <v>18</v>
      </c>
      <c r="C461" s="2" t="s">
        <v>266</v>
      </c>
      <c r="D461" s="2" t="s">
        <v>29</v>
      </c>
      <c r="E461" s="2">
        <v>20150101</v>
      </c>
      <c r="F461" s="2">
        <v>20151231</v>
      </c>
      <c r="G461" s="2">
        <v>6029.3</v>
      </c>
      <c r="H461" s="2">
        <v>4466</v>
      </c>
      <c r="I461" s="2">
        <v>0</v>
      </c>
      <c r="J461" s="2" t="s">
        <v>22</v>
      </c>
      <c r="K461" s="2" t="s">
        <v>23</v>
      </c>
      <c r="L461" s="2" t="s">
        <v>1849</v>
      </c>
      <c r="M461" s="7" t="s">
        <v>1850</v>
      </c>
      <c r="N461" s="7" t="s">
        <v>1851</v>
      </c>
      <c r="O461" s="2"/>
      <c r="P461" s="2"/>
      <c r="Q461" s="2" t="str">
        <f>IF(SUMPRODUCT(--ISNUMBER(SEARCH('National Domains'!$A$2:$A$48,L461)))&gt;0,"Yes","No")</f>
        <v>Yes</v>
      </c>
      <c r="R461" s="2" t="str">
        <f>IF(COUNTIFS(Calibration!$A:$A,A461,Calibration!$B:$B,B461)&gt;0,"Yes","No")</f>
        <v>No</v>
      </c>
      <c r="S461" s="6"/>
    </row>
    <row r="462" spans="1:19" ht="34.5" customHeight="1" x14ac:dyDescent="0.2">
      <c r="A462" s="2">
        <v>134</v>
      </c>
      <c r="B462" s="2">
        <v>19</v>
      </c>
      <c r="C462" s="2" t="s">
        <v>266</v>
      </c>
      <c r="D462" s="2" t="s">
        <v>29</v>
      </c>
      <c r="E462" s="2">
        <v>20150101</v>
      </c>
      <c r="F462" s="2">
        <v>20151231</v>
      </c>
      <c r="G462" s="2">
        <v>6029.3</v>
      </c>
      <c r="H462" s="2">
        <v>4466</v>
      </c>
      <c r="I462" s="2">
        <v>0</v>
      </c>
      <c r="J462" s="2" t="s">
        <v>22</v>
      </c>
      <c r="K462" s="2" t="s">
        <v>23</v>
      </c>
      <c r="L462" s="2" t="s">
        <v>1852</v>
      </c>
      <c r="M462" s="7" t="s">
        <v>1853</v>
      </c>
      <c r="N462" s="7" t="s">
        <v>1854</v>
      </c>
      <c r="O462" s="2"/>
      <c r="P462" s="2"/>
      <c r="Q462" s="2" t="str">
        <f>IF(SUMPRODUCT(--ISNUMBER(SEARCH('National Domains'!$A$2:$A$48,L462)))&gt;0,"Yes","No")</f>
        <v>No</v>
      </c>
      <c r="R462" s="2" t="str">
        <f>IF(COUNTIFS(Calibration!$A:$A,A462,Calibration!$B:$B,B462)&gt;0,"Yes","No")</f>
        <v>No</v>
      </c>
      <c r="S462" s="6"/>
    </row>
    <row r="463" spans="1:19" ht="34.5" customHeight="1" x14ac:dyDescent="0.2">
      <c r="A463" s="2">
        <v>134</v>
      </c>
      <c r="B463" s="2">
        <v>20</v>
      </c>
      <c r="C463" s="2" t="s">
        <v>266</v>
      </c>
      <c r="D463" s="2" t="s">
        <v>29</v>
      </c>
      <c r="E463" s="2">
        <v>20150101</v>
      </c>
      <c r="F463" s="2">
        <v>20151231</v>
      </c>
      <c r="G463" s="2">
        <v>6029.3</v>
      </c>
      <c r="H463" s="2">
        <v>4466</v>
      </c>
      <c r="I463" s="2">
        <v>0</v>
      </c>
      <c r="J463" s="2" t="s">
        <v>22</v>
      </c>
      <c r="K463" s="2" t="s">
        <v>23</v>
      </c>
      <c r="L463" s="2" t="s">
        <v>1855</v>
      </c>
      <c r="M463" s="7" t="s">
        <v>1856</v>
      </c>
      <c r="N463" s="7" t="s">
        <v>1857</v>
      </c>
      <c r="O463" s="2"/>
      <c r="P463" s="2"/>
      <c r="Q463" s="2" t="str">
        <f>IF(SUMPRODUCT(--ISNUMBER(SEARCH('National Domains'!$A$2:$A$48,L463)))&gt;0,"Yes","No")</f>
        <v>No</v>
      </c>
      <c r="R463" s="2" t="str">
        <f>IF(COUNTIFS(Calibration!$A:$A,A463,Calibration!$B:$B,B463)&gt;0,"Yes","No")</f>
        <v>No</v>
      </c>
      <c r="S463" s="6"/>
    </row>
    <row r="464" spans="1:19" ht="34.5" customHeight="1" x14ac:dyDescent="0.2">
      <c r="A464" s="2">
        <v>134</v>
      </c>
      <c r="B464" s="2">
        <v>21</v>
      </c>
      <c r="C464" s="2" t="s">
        <v>266</v>
      </c>
      <c r="D464" s="2" t="s">
        <v>29</v>
      </c>
      <c r="E464" s="2">
        <v>20150101</v>
      </c>
      <c r="F464" s="2">
        <v>20151231</v>
      </c>
      <c r="G464" s="2">
        <v>6029.3</v>
      </c>
      <c r="H464" s="2">
        <v>4466</v>
      </c>
      <c r="I464" s="2">
        <v>0</v>
      </c>
      <c r="J464" s="2" t="s">
        <v>22</v>
      </c>
      <c r="K464" s="2" t="s">
        <v>23</v>
      </c>
      <c r="L464" s="2" t="s">
        <v>1858</v>
      </c>
      <c r="M464" s="7" t="s">
        <v>1859</v>
      </c>
      <c r="N464" s="7" t="s">
        <v>1860</v>
      </c>
      <c r="O464" s="2"/>
      <c r="P464" s="2"/>
      <c r="Q464" s="2" t="str">
        <f>IF(SUMPRODUCT(--ISNUMBER(SEARCH('National Domains'!$A$2:$A$48,L464)))&gt;0,"Yes","No")</f>
        <v>No</v>
      </c>
      <c r="R464" s="2" t="str">
        <f>IF(COUNTIFS(Calibration!$A:$A,A464,Calibration!$B:$B,B464)&gt;0,"Yes","No")</f>
        <v>No</v>
      </c>
      <c r="S464" s="6"/>
    </row>
    <row r="465" spans="1:19" ht="23.25" customHeight="1" x14ac:dyDescent="0.2">
      <c r="A465" s="2">
        <v>134</v>
      </c>
      <c r="B465" s="2">
        <v>22</v>
      </c>
      <c r="C465" s="2" t="s">
        <v>266</v>
      </c>
      <c r="D465" s="2" t="s">
        <v>29</v>
      </c>
      <c r="E465" s="2">
        <v>20150101</v>
      </c>
      <c r="F465" s="2">
        <v>20151231</v>
      </c>
      <c r="G465" s="2">
        <v>6029.3</v>
      </c>
      <c r="H465" s="2">
        <v>4466</v>
      </c>
      <c r="I465" s="2">
        <v>0</v>
      </c>
      <c r="J465" s="2" t="s">
        <v>22</v>
      </c>
      <c r="K465" s="2" t="s">
        <v>23</v>
      </c>
      <c r="L465" s="2" t="s">
        <v>1861</v>
      </c>
      <c r="M465" s="7" t="s">
        <v>1862</v>
      </c>
      <c r="N465" s="7" t="s">
        <v>1863</v>
      </c>
      <c r="O465" s="2"/>
      <c r="P465" s="2"/>
      <c r="Q465" s="2" t="str">
        <f>IF(SUMPRODUCT(--ISNUMBER(SEARCH('National Domains'!$A$2:$A$48,L465)))&gt;0,"Yes","No")</f>
        <v>Yes</v>
      </c>
      <c r="R465" s="2" t="str">
        <f>IF(COUNTIFS(Calibration!$A:$A,A465,Calibration!$B:$B,B465)&gt;0,"Yes","No")</f>
        <v>No</v>
      </c>
      <c r="S465" s="6"/>
    </row>
    <row r="466" spans="1:19" ht="34.5" customHeight="1" x14ac:dyDescent="0.2">
      <c r="A466" s="2">
        <v>134</v>
      </c>
      <c r="B466" s="2">
        <v>23</v>
      </c>
      <c r="C466" s="2" t="s">
        <v>266</v>
      </c>
      <c r="D466" s="2" t="s">
        <v>29</v>
      </c>
      <c r="E466" s="2">
        <v>20150101</v>
      </c>
      <c r="F466" s="2">
        <v>20151231</v>
      </c>
      <c r="G466" s="2">
        <v>6029.3</v>
      </c>
      <c r="H466" s="2">
        <v>4466</v>
      </c>
      <c r="I466" s="2">
        <v>0</v>
      </c>
      <c r="J466" s="2" t="s">
        <v>22</v>
      </c>
      <c r="K466" s="2" t="s">
        <v>23</v>
      </c>
      <c r="L466" s="2" t="s">
        <v>1864</v>
      </c>
      <c r="M466" s="7" t="s">
        <v>1865</v>
      </c>
      <c r="N466" s="7" t="s">
        <v>1866</v>
      </c>
      <c r="O466" s="2"/>
      <c r="P466" s="2"/>
      <c r="Q466" s="2" t="str">
        <f>IF(SUMPRODUCT(--ISNUMBER(SEARCH('National Domains'!$A$2:$A$48,L466)))&gt;0,"Yes","No")</f>
        <v>Yes</v>
      </c>
      <c r="R466" s="2" t="str">
        <f>IF(COUNTIFS(Calibration!$A:$A,A466,Calibration!$B:$B,B466)&gt;0,"Yes","No")</f>
        <v>No</v>
      </c>
      <c r="S466" s="6"/>
    </row>
    <row r="467" spans="1:19" ht="34.5" customHeight="1" x14ac:dyDescent="0.2">
      <c r="A467" s="2">
        <v>135</v>
      </c>
      <c r="B467" s="2">
        <v>1</v>
      </c>
      <c r="C467" s="2" t="s">
        <v>267</v>
      </c>
      <c r="D467" s="2" t="s">
        <v>17</v>
      </c>
      <c r="E467" s="2">
        <v>20160222</v>
      </c>
      <c r="F467" s="2">
        <v>20160224</v>
      </c>
      <c r="G467" s="2">
        <v>1383.5</v>
      </c>
      <c r="H467" s="2">
        <v>1040</v>
      </c>
      <c r="I467" s="2">
        <v>10</v>
      </c>
      <c r="J467" s="2" t="s">
        <v>268</v>
      </c>
      <c r="K467" s="2" t="s">
        <v>269</v>
      </c>
      <c r="L467" s="2" t="s">
        <v>1867</v>
      </c>
      <c r="M467" s="7" t="s">
        <v>1868</v>
      </c>
      <c r="N467" s="7" t="s">
        <v>1869</v>
      </c>
      <c r="O467" s="2"/>
      <c r="P467" s="2"/>
      <c r="Q467" s="2" t="str">
        <f>IF(SUMPRODUCT(--ISNUMBER(SEARCH('National Domains'!$A$2:$A$48,L467)))&gt;0,"Yes","No")</f>
        <v>Yes</v>
      </c>
      <c r="R467" s="2" t="str">
        <f>IF(COUNTIFS(Calibration!$A:$A,A467,Calibration!$B:$B,B467)&gt;0,"Yes","No")</f>
        <v>No</v>
      </c>
      <c r="S467" s="6"/>
    </row>
    <row r="468" spans="1:19" ht="34.5" customHeight="1" x14ac:dyDescent="0.2">
      <c r="A468" s="2">
        <v>135</v>
      </c>
      <c r="B468" s="2">
        <v>2</v>
      </c>
      <c r="C468" s="2" t="s">
        <v>267</v>
      </c>
      <c r="D468" s="2" t="s">
        <v>17</v>
      </c>
      <c r="E468" s="2">
        <v>20160222</v>
      </c>
      <c r="F468" s="2">
        <v>20160224</v>
      </c>
      <c r="G468" s="2">
        <v>1383.5</v>
      </c>
      <c r="H468" s="2">
        <v>1040</v>
      </c>
      <c r="I468" s="2">
        <v>10</v>
      </c>
      <c r="J468" s="2" t="s">
        <v>268</v>
      </c>
      <c r="K468" s="2" t="s">
        <v>269</v>
      </c>
      <c r="L468" s="2" t="s">
        <v>1870</v>
      </c>
      <c r="M468" s="7" t="s">
        <v>1871</v>
      </c>
      <c r="N468" s="7" t="s">
        <v>1872</v>
      </c>
      <c r="O468" s="2"/>
      <c r="P468" s="2"/>
      <c r="Q468" s="2" t="str">
        <f>IF(SUMPRODUCT(--ISNUMBER(SEARCH('National Domains'!$A$2:$A$48,L468)))&gt;0,"Yes","No")</f>
        <v>Yes</v>
      </c>
      <c r="R468" s="2" t="str">
        <f>IF(COUNTIFS(Calibration!$A:$A,A468,Calibration!$B:$B,B468)&gt;0,"Yes","No")</f>
        <v>No</v>
      </c>
      <c r="S468" s="6"/>
    </row>
    <row r="469" spans="1:19" ht="34.5" customHeight="1" x14ac:dyDescent="0.2">
      <c r="A469" s="2">
        <v>135</v>
      </c>
      <c r="B469" s="2">
        <v>3</v>
      </c>
      <c r="C469" s="2" t="s">
        <v>267</v>
      </c>
      <c r="D469" s="2" t="s">
        <v>17</v>
      </c>
      <c r="E469" s="2">
        <v>20160222</v>
      </c>
      <c r="F469" s="2">
        <v>20160224</v>
      </c>
      <c r="G469" s="2">
        <v>1383.5</v>
      </c>
      <c r="H469" s="2">
        <v>1040</v>
      </c>
      <c r="I469" s="2">
        <v>10</v>
      </c>
      <c r="J469" s="2" t="s">
        <v>268</v>
      </c>
      <c r="K469" s="2" t="s">
        <v>269</v>
      </c>
      <c r="L469" s="2" t="s">
        <v>1873</v>
      </c>
      <c r="M469" s="7" t="s">
        <v>1874</v>
      </c>
      <c r="N469" s="7" t="s">
        <v>1875</v>
      </c>
      <c r="O469" s="2"/>
      <c r="P469" s="2"/>
      <c r="Q469" s="2" t="str">
        <f>IF(SUMPRODUCT(--ISNUMBER(SEARCH('National Domains'!$A$2:$A$48,L469)))&gt;0,"Yes","No")</f>
        <v>Yes</v>
      </c>
      <c r="R469" s="2" t="str">
        <f>IF(COUNTIFS(Calibration!$A:$A,A469,Calibration!$B:$B,B469)&gt;0,"Yes","No")</f>
        <v>No</v>
      </c>
      <c r="S469" s="6"/>
    </row>
    <row r="470" spans="1:19" ht="34.5" customHeight="1" x14ac:dyDescent="0.2">
      <c r="A470" s="2">
        <v>135</v>
      </c>
      <c r="B470" s="2">
        <v>4</v>
      </c>
      <c r="C470" s="2" t="s">
        <v>267</v>
      </c>
      <c r="D470" s="2" t="s">
        <v>17</v>
      </c>
      <c r="E470" s="2">
        <v>20160222</v>
      </c>
      <c r="F470" s="2">
        <v>20160224</v>
      </c>
      <c r="G470" s="2">
        <v>1383.5</v>
      </c>
      <c r="H470" s="2">
        <v>1040</v>
      </c>
      <c r="I470" s="2">
        <v>10</v>
      </c>
      <c r="J470" s="2" t="s">
        <v>268</v>
      </c>
      <c r="K470" s="2" t="s">
        <v>269</v>
      </c>
      <c r="L470" s="2" t="s">
        <v>1876</v>
      </c>
      <c r="M470" s="7" t="s">
        <v>1877</v>
      </c>
      <c r="N470" s="7" t="s">
        <v>1878</v>
      </c>
      <c r="O470" s="2"/>
      <c r="P470" s="2"/>
      <c r="Q470" s="2" t="str">
        <f>IF(SUMPRODUCT(--ISNUMBER(SEARCH('National Domains'!$A$2:$A$48,L470)))&gt;0,"Yes","No")</f>
        <v>Yes</v>
      </c>
      <c r="R470" s="2" t="str">
        <f>IF(COUNTIFS(Calibration!$A:$A,A470,Calibration!$B:$B,B470)&gt;0,"Yes","No")</f>
        <v>No</v>
      </c>
      <c r="S470" s="6"/>
    </row>
    <row r="471" spans="1:19" ht="34.5" customHeight="1" x14ac:dyDescent="0.2">
      <c r="A471" s="2">
        <v>135</v>
      </c>
      <c r="B471" s="2">
        <v>5</v>
      </c>
      <c r="C471" s="2" t="s">
        <v>267</v>
      </c>
      <c r="D471" s="2" t="s">
        <v>17</v>
      </c>
      <c r="E471" s="2">
        <v>20160222</v>
      </c>
      <c r="F471" s="2">
        <v>20160224</v>
      </c>
      <c r="G471" s="2">
        <v>1383.5</v>
      </c>
      <c r="H471" s="2">
        <v>1040</v>
      </c>
      <c r="I471" s="2">
        <v>10</v>
      </c>
      <c r="J471" s="2" t="s">
        <v>268</v>
      </c>
      <c r="K471" s="2" t="s">
        <v>269</v>
      </c>
      <c r="L471" s="2" t="s">
        <v>1879</v>
      </c>
      <c r="M471" s="7" t="s">
        <v>1880</v>
      </c>
      <c r="N471" s="7" t="s">
        <v>1881</v>
      </c>
      <c r="O471" s="2"/>
      <c r="P471" s="2"/>
      <c r="Q471" s="2" t="str">
        <f>IF(SUMPRODUCT(--ISNUMBER(SEARCH('National Domains'!$A$2:$A$48,L471)))&gt;0,"Yes","No")</f>
        <v>No</v>
      </c>
      <c r="R471" s="2" t="str">
        <f>IF(COUNTIFS(Calibration!$A:$A,A471,Calibration!$B:$B,B471)&gt;0,"Yes","No")</f>
        <v>No</v>
      </c>
      <c r="S471" s="6"/>
    </row>
    <row r="472" spans="1:19" ht="34.5" customHeight="1" x14ac:dyDescent="0.2">
      <c r="A472" s="2">
        <v>135</v>
      </c>
      <c r="B472" s="2">
        <v>6</v>
      </c>
      <c r="C472" s="2" t="s">
        <v>267</v>
      </c>
      <c r="D472" s="2" t="s">
        <v>17</v>
      </c>
      <c r="E472" s="2">
        <v>20160222</v>
      </c>
      <c r="F472" s="2">
        <v>20160224</v>
      </c>
      <c r="G472" s="2">
        <v>1383.5</v>
      </c>
      <c r="H472" s="2">
        <v>1040</v>
      </c>
      <c r="I472" s="2">
        <v>10</v>
      </c>
      <c r="J472" s="2" t="s">
        <v>268</v>
      </c>
      <c r="K472" s="2" t="s">
        <v>269</v>
      </c>
      <c r="L472" s="2" t="s">
        <v>1882</v>
      </c>
      <c r="M472" s="7" t="s">
        <v>1883</v>
      </c>
      <c r="N472" s="7" t="s">
        <v>1884</v>
      </c>
      <c r="O472" s="2"/>
      <c r="P472" s="2"/>
      <c r="Q472" s="2" t="str">
        <f>IF(SUMPRODUCT(--ISNUMBER(SEARCH('National Domains'!$A$2:$A$48,L472)))&gt;0,"Yes","No")</f>
        <v>No</v>
      </c>
      <c r="R472" s="2" t="str">
        <f>IF(COUNTIFS(Calibration!$A:$A,A472,Calibration!$B:$B,B472)&gt;0,"Yes","No")</f>
        <v>No</v>
      </c>
      <c r="S472" s="6"/>
    </row>
    <row r="473" spans="1:19" ht="34.5" customHeight="1" x14ac:dyDescent="0.2">
      <c r="A473" s="2">
        <v>136</v>
      </c>
      <c r="B473" s="2">
        <v>1</v>
      </c>
      <c r="C473" s="2" t="s">
        <v>270</v>
      </c>
      <c r="D473" s="2" t="s">
        <v>25</v>
      </c>
      <c r="E473" s="2">
        <v>20160308</v>
      </c>
      <c r="F473" s="2">
        <v>20160312</v>
      </c>
      <c r="G473" s="2">
        <v>3052.1</v>
      </c>
      <c r="H473" s="2">
        <v>2294.8000000000002</v>
      </c>
      <c r="I473" s="2">
        <v>5</v>
      </c>
      <c r="J473" s="2" t="s">
        <v>40</v>
      </c>
      <c r="K473" s="2" t="s">
        <v>41</v>
      </c>
      <c r="L473" s="2" t="s">
        <v>1885</v>
      </c>
      <c r="M473" s="7" t="s">
        <v>1886</v>
      </c>
      <c r="N473" s="7" t="s">
        <v>1887</v>
      </c>
      <c r="O473" s="2"/>
      <c r="P473" s="2"/>
      <c r="Q473" s="2" t="str">
        <f>IF(SUMPRODUCT(--ISNUMBER(SEARCH('National Domains'!$A$2:$A$48,L473)))&gt;0,"Yes","No")</f>
        <v>No</v>
      </c>
      <c r="R473" s="2" t="str">
        <f>IF(COUNTIFS(Calibration!$A:$A,A473,Calibration!$B:$B,B473)&gt;0,"Yes","No")</f>
        <v>No</v>
      </c>
      <c r="S473" s="6"/>
    </row>
    <row r="474" spans="1:19" ht="34.5" customHeight="1" x14ac:dyDescent="0.2">
      <c r="A474" s="2">
        <v>136</v>
      </c>
      <c r="B474" s="2">
        <v>2</v>
      </c>
      <c r="C474" s="2" t="s">
        <v>270</v>
      </c>
      <c r="D474" s="2" t="s">
        <v>25</v>
      </c>
      <c r="E474" s="2">
        <v>20160308</v>
      </c>
      <c r="F474" s="2">
        <v>20160312</v>
      </c>
      <c r="G474" s="2">
        <v>3052.1</v>
      </c>
      <c r="H474" s="2">
        <v>2294.8000000000002</v>
      </c>
      <c r="I474" s="2">
        <v>5</v>
      </c>
      <c r="J474" s="2" t="s">
        <v>40</v>
      </c>
      <c r="K474" s="2" t="s">
        <v>41</v>
      </c>
      <c r="L474" s="2" t="s">
        <v>1888</v>
      </c>
      <c r="M474" s="7" t="s">
        <v>1889</v>
      </c>
      <c r="N474" s="7" t="s">
        <v>1890</v>
      </c>
      <c r="O474" s="2"/>
      <c r="P474" s="2"/>
      <c r="Q474" s="2" t="str">
        <f>IF(SUMPRODUCT(--ISNUMBER(SEARCH('National Domains'!$A$2:$A$48,L474)))&gt;0,"Yes","No")</f>
        <v>No</v>
      </c>
      <c r="R474" s="2" t="str">
        <f>IF(COUNTIFS(Calibration!$A:$A,A474,Calibration!$B:$B,B474)&gt;0,"Yes","No")</f>
        <v>No</v>
      </c>
      <c r="S474" s="6"/>
    </row>
    <row r="475" spans="1:19" ht="34.5" customHeight="1" x14ac:dyDescent="0.2">
      <c r="A475" s="2">
        <v>136</v>
      </c>
      <c r="B475" s="2">
        <v>3</v>
      </c>
      <c r="C475" s="2" t="s">
        <v>270</v>
      </c>
      <c r="D475" s="2" t="s">
        <v>25</v>
      </c>
      <c r="E475" s="2">
        <v>20160308</v>
      </c>
      <c r="F475" s="2">
        <v>20160312</v>
      </c>
      <c r="G475" s="2">
        <v>3052.1</v>
      </c>
      <c r="H475" s="2">
        <v>2294.8000000000002</v>
      </c>
      <c r="I475" s="2">
        <v>5</v>
      </c>
      <c r="J475" s="2" t="s">
        <v>40</v>
      </c>
      <c r="K475" s="2" t="s">
        <v>41</v>
      </c>
      <c r="L475" s="2" t="s">
        <v>1891</v>
      </c>
      <c r="M475" s="7" t="s">
        <v>1892</v>
      </c>
      <c r="N475" s="7" t="s">
        <v>1893</v>
      </c>
      <c r="O475" s="2"/>
      <c r="P475" s="2"/>
      <c r="Q475" s="2" t="str">
        <f>IF(SUMPRODUCT(--ISNUMBER(SEARCH('National Domains'!$A$2:$A$48,L475)))&gt;0,"Yes","No")</f>
        <v>Yes</v>
      </c>
      <c r="R475" s="2" t="str">
        <f>IF(COUNTIFS(Calibration!$A:$A,A475,Calibration!$B:$B,B475)&gt;0,"Yes","No")</f>
        <v>No</v>
      </c>
      <c r="S475" s="6"/>
    </row>
    <row r="476" spans="1:19" ht="34.5" customHeight="1" x14ac:dyDescent="0.2">
      <c r="A476" s="2">
        <v>136</v>
      </c>
      <c r="B476" s="2">
        <v>4</v>
      </c>
      <c r="C476" s="2" t="s">
        <v>270</v>
      </c>
      <c r="D476" s="2" t="s">
        <v>25</v>
      </c>
      <c r="E476" s="2">
        <v>20160308</v>
      </c>
      <c r="F476" s="2">
        <v>20160312</v>
      </c>
      <c r="G476" s="2">
        <v>3052.1</v>
      </c>
      <c r="H476" s="2">
        <v>2294.8000000000002</v>
      </c>
      <c r="I476" s="2">
        <v>5</v>
      </c>
      <c r="J476" s="2" t="s">
        <v>40</v>
      </c>
      <c r="K476" s="2" t="s">
        <v>41</v>
      </c>
      <c r="L476" s="2" t="s">
        <v>1894</v>
      </c>
      <c r="M476" s="7" t="s">
        <v>1895</v>
      </c>
      <c r="N476" s="7" t="s">
        <v>1896</v>
      </c>
      <c r="O476" s="2"/>
      <c r="P476" s="2"/>
      <c r="Q476" s="2" t="str">
        <f>IF(SUMPRODUCT(--ISNUMBER(SEARCH('National Domains'!$A$2:$A$48,L476)))&gt;0,"Yes","No")</f>
        <v>Yes</v>
      </c>
      <c r="R476" s="2" t="str">
        <f>IF(COUNTIFS(Calibration!$A:$A,A476,Calibration!$B:$B,B476)&gt;0,"Yes","No")</f>
        <v>No</v>
      </c>
      <c r="S476" s="6"/>
    </row>
    <row r="477" spans="1:19" ht="34.5" customHeight="1" x14ac:dyDescent="0.2">
      <c r="A477" s="4">
        <v>137</v>
      </c>
      <c r="B477" s="4">
        <v>1</v>
      </c>
      <c r="C477" s="4" t="s">
        <v>271</v>
      </c>
      <c r="D477" s="4" t="s">
        <v>17</v>
      </c>
      <c r="E477" s="4">
        <v>20160317</v>
      </c>
      <c r="F477" s="4">
        <v>20160318</v>
      </c>
      <c r="G477" s="4">
        <v>1597.6</v>
      </c>
      <c r="H477" s="4">
        <v>1210.3</v>
      </c>
      <c r="I477" s="4">
        <v>1</v>
      </c>
      <c r="J477" s="4" t="s">
        <v>18</v>
      </c>
      <c r="K477" s="4" t="s">
        <v>19</v>
      </c>
      <c r="L477" s="4" t="s">
        <v>1897</v>
      </c>
      <c r="M477" s="5" t="s">
        <v>1898</v>
      </c>
      <c r="N477" s="5" t="s">
        <v>1899</v>
      </c>
      <c r="O477" s="4"/>
      <c r="P477" s="4"/>
      <c r="Q477" s="4" t="str">
        <f>IF(SUMPRODUCT(--ISNUMBER(SEARCH('National Domains'!$A$2:$A$48,L477)))&gt;0,"Yes","No")</f>
        <v>Yes</v>
      </c>
      <c r="R477" s="4" t="str">
        <f>IF(COUNTIFS(Calibration!$A:$A,A477,Calibration!$B:$B,B477)&gt;0,"Yes","No")</f>
        <v>Yes</v>
      </c>
      <c r="S477" s="6"/>
    </row>
    <row r="478" spans="1:19" ht="34.5" customHeight="1" x14ac:dyDescent="0.2">
      <c r="A478" s="2">
        <v>139</v>
      </c>
      <c r="B478" s="2">
        <v>1</v>
      </c>
      <c r="C478" s="2" t="s">
        <v>273</v>
      </c>
      <c r="D478" s="2" t="s">
        <v>17</v>
      </c>
      <c r="E478" s="2">
        <v>20160410</v>
      </c>
      <c r="F478" s="2">
        <v>20160412</v>
      </c>
      <c r="G478" s="2">
        <v>4618.1000000000004</v>
      </c>
      <c r="H478" s="2">
        <v>3498.6</v>
      </c>
      <c r="I478" s="2">
        <v>0</v>
      </c>
      <c r="J478" s="2" t="s">
        <v>265</v>
      </c>
      <c r="K478" s="2" t="s">
        <v>103</v>
      </c>
      <c r="L478" s="2" t="s">
        <v>1900</v>
      </c>
      <c r="M478" s="7" t="s">
        <v>1901</v>
      </c>
      <c r="N478" s="7" t="s">
        <v>1902</v>
      </c>
      <c r="O478" s="2"/>
      <c r="P478" s="2"/>
      <c r="Q478" s="2" t="str">
        <f>IF(SUMPRODUCT(--ISNUMBER(SEARCH('National Domains'!$A$2:$A$48,L478)))&gt;0,"Yes","No")</f>
        <v>No</v>
      </c>
      <c r="R478" s="2" t="str">
        <f>IF(COUNTIFS(Calibration!$A:$A,A478,Calibration!$B:$B,B478)&gt;0,"Yes","No")</f>
        <v>No</v>
      </c>
      <c r="S478" s="6"/>
    </row>
    <row r="479" spans="1:19" ht="34.5" customHeight="1" x14ac:dyDescent="0.2">
      <c r="A479" s="2">
        <v>139</v>
      </c>
      <c r="B479" s="2">
        <v>2</v>
      </c>
      <c r="C479" s="2" t="s">
        <v>273</v>
      </c>
      <c r="D479" s="2" t="s">
        <v>17</v>
      </c>
      <c r="E479" s="2">
        <v>20160410</v>
      </c>
      <c r="F479" s="2">
        <v>20160412</v>
      </c>
      <c r="G479" s="2">
        <v>4618.1000000000004</v>
      </c>
      <c r="H479" s="2">
        <v>3498.6</v>
      </c>
      <c r="I479" s="2">
        <v>0</v>
      </c>
      <c r="J479" s="2" t="s">
        <v>265</v>
      </c>
      <c r="K479" s="2" t="s">
        <v>103</v>
      </c>
      <c r="L479" s="2" t="s">
        <v>1903</v>
      </c>
      <c r="M479" s="7" t="s">
        <v>1904</v>
      </c>
      <c r="N479" s="7" t="s">
        <v>1905</v>
      </c>
      <c r="O479" s="2"/>
      <c r="P479" s="2"/>
      <c r="Q479" s="2" t="str">
        <f>IF(SUMPRODUCT(--ISNUMBER(SEARCH('National Domains'!$A$2:$A$48,L479)))&gt;0,"Yes","No")</f>
        <v>No</v>
      </c>
      <c r="R479" s="2" t="str">
        <f>IF(COUNTIFS(Calibration!$A:$A,A479,Calibration!$B:$B,B479)&gt;0,"Yes","No")</f>
        <v>No</v>
      </c>
      <c r="S479" s="6"/>
    </row>
    <row r="480" spans="1:19" ht="34.5" customHeight="1" x14ac:dyDescent="0.2">
      <c r="A480" s="2">
        <v>139</v>
      </c>
      <c r="B480" s="2">
        <v>3</v>
      </c>
      <c r="C480" s="2" t="s">
        <v>273</v>
      </c>
      <c r="D480" s="2" t="s">
        <v>17</v>
      </c>
      <c r="E480" s="2">
        <v>20160410</v>
      </c>
      <c r="F480" s="2">
        <v>20160412</v>
      </c>
      <c r="G480" s="2">
        <v>4618.1000000000004</v>
      </c>
      <c r="H480" s="2">
        <v>3498.6</v>
      </c>
      <c r="I480" s="2">
        <v>0</v>
      </c>
      <c r="J480" s="2" t="s">
        <v>265</v>
      </c>
      <c r="K480" s="2" t="s">
        <v>103</v>
      </c>
      <c r="L480" s="2" t="s">
        <v>1906</v>
      </c>
      <c r="M480" s="7" t="s">
        <v>1907</v>
      </c>
      <c r="N480" s="7" t="s">
        <v>1908</v>
      </c>
      <c r="O480" s="2"/>
      <c r="P480" s="2"/>
      <c r="Q480" s="2" t="str">
        <f>IF(SUMPRODUCT(--ISNUMBER(SEARCH('National Domains'!$A$2:$A$48,L480)))&gt;0,"Yes","No")</f>
        <v>No</v>
      </c>
      <c r="R480" s="2" t="str">
        <f>IF(COUNTIFS(Calibration!$A:$A,A480,Calibration!$B:$B,B480)&gt;0,"Yes","No")</f>
        <v>No</v>
      </c>
      <c r="S480" s="6"/>
    </row>
    <row r="481" spans="1:19" ht="34.5" customHeight="1" x14ac:dyDescent="0.2">
      <c r="A481" s="2">
        <v>140</v>
      </c>
      <c r="B481" s="2">
        <v>1</v>
      </c>
      <c r="C481" s="2" t="s">
        <v>274</v>
      </c>
      <c r="D481" s="2" t="s">
        <v>25</v>
      </c>
      <c r="E481" s="2">
        <v>20160417</v>
      </c>
      <c r="F481" s="2">
        <v>20160418</v>
      </c>
      <c r="G481" s="2">
        <v>3559.1</v>
      </c>
      <c r="H481" s="2">
        <v>2676</v>
      </c>
      <c r="I481" s="2">
        <v>8</v>
      </c>
      <c r="J481" s="2" t="s">
        <v>125</v>
      </c>
      <c r="K481" s="2" t="s">
        <v>41</v>
      </c>
      <c r="L481" s="2" t="s">
        <v>1909</v>
      </c>
      <c r="M481" s="7" t="s">
        <v>1910</v>
      </c>
      <c r="N481" s="7" t="s">
        <v>1911</v>
      </c>
      <c r="O481" s="2"/>
      <c r="P481" s="2"/>
      <c r="Q481" s="2" t="str">
        <f>IF(SUMPRODUCT(--ISNUMBER(SEARCH('National Domains'!$A$2:$A$48,L481)))&gt;0,"Yes","No")</f>
        <v>No</v>
      </c>
      <c r="R481" s="2" t="str">
        <f>IF(COUNTIFS(Calibration!$A:$A,A481,Calibration!$B:$B,B481)&gt;0,"Yes","No")</f>
        <v>No</v>
      </c>
      <c r="S481" s="6"/>
    </row>
    <row r="482" spans="1:19" ht="34.5" customHeight="1" x14ac:dyDescent="0.2">
      <c r="A482" s="2">
        <v>141</v>
      </c>
      <c r="B482" s="2">
        <v>1</v>
      </c>
      <c r="C482" s="2" t="s">
        <v>275</v>
      </c>
      <c r="D482" s="2" t="s">
        <v>17</v>
      </c>
      <c r="E482" s="2">
        <v>20160426</v>
      </c>
      <c r="F482" s="2">
        <v>20160502</v>
      </c>
      <c r="G482" s="2">
        <v>3160.8</v>
      </c>
      <c r="H482" s="2">
        <v>2394.5</v>
      </c>
      <c r="I482" s="2">
        <v>6</v>
      </c>
      <c r="J482" s="2" t="s">
        <v>134</v>
      </c>
      <c r="K482" s="2" t="s">
        <v>19</v>
      </c>
      <c r="L482" s="2" t="s">
        <v>1912</v>
      </c>
      <c r="M482" s="7" t="s">
        <v>1913</v>
      </c>
      <c r="N482" s="7" t="s">
        <v>1914</v>
      </c>
      <c r="O482" s="2"/>
      <c r="P482" s="2"/>
      <c r="Q482" s="2" t="str">
        <f>IF(SUMPRODUCT(--ISNUMBER(SEARCH('National Domains'!$A$2:$A$48,L482)))&gt;0,"Yes","No")</f>
        <v>No</v>
      </c>
      <c r="R482" s="2" t="str">
        <f>IF(COUNTIFS(Calibration!$A:$A,A482,Calibration!$B:$B,B482)&gt;0,"Yes","No")</f>
        <v>No</v>
      </c>
      <c r="S482" s="6"/>
    </row>
    <row r="483" spans="1:19" ht="34.5" customHeight="1" x14ac:dyDescent="0.2">
      <c r="A483" s="2">
        <v>142</v>
      </c>
      <c r="B483" s="2">
        <v>1</v>
      </c>
      <c r="C483" s="2" t="s">
        <v>276</v>
      </c>
      <c r="D483" s="2" t="s">
        <v>17</v>
      </c>
      <c r="E483" s="2">
        <v>20160508</v>
      </c>
      <c r="F483" s="2">
        <v>20160511</v>
      </c>
      <c r="G483" s="2">
        <v>2252.9</v>
      </c>
      <c r="H483" s="2">
        <v>1719.6</v>
      </c>
      <c r="I483" s="2">
        <v>2</v>
      </c>
      <c r="J483" s="2" t="s">
        <v>58</v>
      </c>
      <c r="K483" s="2" t="s">
        <v>59</v>
      </c>
      <c r="L483" s="2" t="s">
        <v>1915</v>
      </c>
      <c r="M483" s="7" t="s">
        <v>1916</v>
      </c>
      <c r="N483" s="7" t="s">
        <v>1917</v>
      </c>
      <c r="O483" s="2"/>
      <c r="P483" s="2"/>
      <c r="Q483" s="2" t="str">
        <f>IF(SUMPRODUCT(--ISNUMBER(SEARCH('National Domains'!$A$2:$A$48,L483)))&gt;0,"Yes","No")</f>
        <v>Yes</v>
      </c>
      <c r="R483" s="2" t="str">
        <f>IF(COUNTIFS(Calibration!$A:$A,A483,Calibration!$B:$B,B483)&gt;0,"Yes","No")</f>
        <v>No</v>
      </c>
      <c r="S483" s="6"/>
    </row>
    <row r="484" spans="1:19" ht="34.5" customHeight="1" x14ac:dyDescent="0.2">
      <c r="A484" s="2">
        <v>142</v>
      </c>
      <c r="B484" s="2">
        <v>2</v>
      </c>
      <c r="C484" s="2" t="s">
        <v>276</v>
      </c>
      <c r="D484" s="2" t="s">
        <v>17</v>
      </c>
      <c r="E484" s="2">
        <v>20160508</v>
      </c>
      <c r="F484" s="2">
        <v>20160511</v>
      </c>
      <c r="G484" s="2">
        <v>2252.9</v>
      </c>
      <c r="H484" s="2">
        <v>1719.6</v>
      </c>
      <c r="I484" s="2">
        <v>2</v>
      </c>
      <c r="J484" s="2" t="s">
        <v>58</v>
      </c>
      <c r="K484" s="2" t="s">
        <v>59</v>
      </c>
      <c r="L484" s="2" t="s">
        <v>1918</v>
      </c>
      <c r="M484" s="7" t="s">
        <v>1919</v>
      </c>
      <c r="N484" s="7" t="s">
        <v>1920</v>
      </c>
      <c r="O484" s="2"/>
      <c r="P484" s="2"/>
      <c r="Q484" s="2" t="str">
        <f>IF(SUMPRODUCT(--ISNUMBER(SEARCH('National Domains'!$A$2:$A$48,L484)))&gt;0,"Yes","No")</f>
        <v>Yes</v>
      </c>
      <c r="R484" s="2" t="str">
        <f>IF(COUNTIFS(Calibration!$A:$A,A484,Calibration!$B:$B,B484)&gt;0,"Yes","No")</f>
        <v>No</v>
      </c>
      <c r="S484" s="6"/>
    </row>
    <row r="485" spans="1:19" ht="34.5" customHeight="1" x14ac:dyDescent="0.2">
      <c r="A485" s="2">
        <v>142</v>
      </c>
      <c r="B485" s="2">
        <v>3</v>
      </c>
      <c r="C485" s="2" t="s">
        <v>276</v>
      </c>
      <c r="D485" s="2" t="s">
        <v>17</v>
      </c>
      <c r="E485" s="2">
        <v>20160508</v>
      </c>
      <c r="F485" s="2">
        <v>20160511</v>
      </c>
      <c r="G485" s="2">
        <v>2252.9</v>
      </c>
      <c r="H485" s="2">
        <v>1719.6</v>
      </c>
      <c r="I485" s="2">
        <v>2</v>
      </c>
      <c r="J485" s="2" t="s">
        <v>58</v>
      </c>
      <c r="K485" s="2" t="s">
        <v>59</v>
      </c>
      <c r="L485" s="2" t="s">
        <v>1921</v>
      </c>
      <c r="M485" s="7" t="s">
        <v>1922</v>
      </c>
      <c r="N485" s="7" t="s">
        <v>1923</v>
      </c>
      <c r="O485" s="2"/>
      <c r="P485" s="2"/>
      <c r="Q485" s="2" t="str">
        <f>IF(SUMPRODUCT(--ISNUMBER(SEARCH('National Domains'!$A$2:$A$48,L485)))&gt;0,"Yes","No")</f>
        <v>Yes</v>
      </c>
      <c r="R485" s="2" t="str">
        <f>IF(COUNTIFS(Calibration!$A:$A,A485,Calibration!$B:$B,B485)&gt;0,"Yes","No")</f>
        <v>No</v>
      </c>
      <c r="S485" s="6"/>
    </row>
    <row r="486" spans="1:19" ht="34.5" customHeight="1" x14ac:dyDescent="0.2">
      <c r="A486" s="2">
        <v>143</v>
      </c>
      <c r="B486" s="2">
        <v>1</v>
      </c>
      <c r="C486" s="2" t="s">
        <v>277</v>
      </c>
      <c r="D486" s="2" t="s">
        <v>17</v>
      </c>
      <c r="E486" s="2">
        <v>20160521</v>
      </c>
      <c r="F486" s="2">
        <v>20160526</v>
      </c>
      <c r="G486" s="2">
        <v>1501.5</v>
      </c>
      <c r="H486" s="2">
        <v>1146.3</v>
      </c>
      <c r="I486" s="2">
        <v>0</v>
      </c>
      <c r="J486" s="2" t="s">
        <v>243</v>
      </c>
      <c r="K486" s="2" t="s">
        <v>59</v>
      </c>
      <c r="L486" s="2" t="s">
        <v>1924</v>
      </c>
      <c r="M486" s="7" t="s">
        <v>1925</v>
      </c>
      <c r="N486" s="7" t="s">
        <v>1926</v>
      </c>
      <c r="O486" s="2"/>
      <c r="P486" s="2"/>
      <c r="Q486" s="2" t="str">
        <f>IF(SUMPRODUCT(--ISNUMBER(SEARCH('National Domains'!$A$2:$A$48,L486)))&gt;0,"Yes","No")</f>
        <v>No</v>
      </c>
      <c r="R486" s="2" t="str">
        <f>IF(COUNTIFS(Calibration!$A:$A,A486,Calibration!$B:$B,B486)&gt;0,"Yes","No")</f>
        <v>No</v>
      </c>
      <c r="S486" s="6"/>
    </row>
    <row r="487" spans="1:19" ht="34.5" customHeight="1" x14ac:dyDescent="0.2">
      <c r="A487" s="2">
        <v>143</v>
      </c>
      <c r="B487" s="2">
        <v>2</v>
      </c>
      <c r="C487" s="2" t="s">
        <v>277</v>
      </c>
      <c r="D487" s="2" t="s">
        <v>17</v>
      </c>
      <c r="E487" s="2">
        <v>20160521</v>
      </c>
      <c r="F487" s="2">
        <v>20160526</v>
      </c>
      <c r="G487" s="2">
        <v>1501.5</v>
      </c>
      <c r="H487" s="2">
        <v>1146.3</v>
      </c>
      <c r="I487" s="2">
        <v>0</v>
      </c>
      <c r="J487" s="2" t="s">
        <v>243</v>
      </c>
      <c r="K487" s="2" t="s">
        <v>59</v>
      </c>
      <c r="L487" s="2" t="s">
        <v>1927</v>
      </c>
      <c r="M487" s="7" t="s">
        <v>1928</v>
      </c>
      <c r="N487" s="7" t="s">
        <v>1929</v>
      </c>
      <c r="O487" s="2"/>
      <c r="P487" s="2"/>
      <c r="Q487" s="2" t="str">
        <f>IF(SUMPRODUCT(--ISNUMBER(SEARCH('National Domains'!$A$2:$A$48,L487)))&gt;0,"Yes","No")</f>
        <v>No</v>
      </c>
      <c r="R487" s="2" t="str">
        <f>IF(COUNTIFS(Calibration!$A:$A,A487,Calibration!$B:$B,B487)&gt;0,"Yes","No")</f>
        <v>No</v>
      </c>
      <c r="S487" s="6"/>
    </row>
    <row r="488" spans="1:19" ht="34.5" customHeight="1" x14ac:dyDescent="0.2">
      <c r="A488" s="2">
        <v>144</v>
      </c>
      <c r="B488" s="2">
        <v>1</v>
      </c>
      <c r="C488" s="2" t="s">
        <v>278</v>
      </c>
      <c r="D488" s="2" t="s">
        <v>25</v>
      </c>
      <c r="E488" s="2">
        <v>20160622</v>
      </c>
      <c r="F488" s="2">
        <v>20160624</v>
      </c>
      <c r="G488" s="2">
        <v>1288.5</v>
      </c>
      <c r="H488" s="2">
        <v>968.8</v>
      </c>
      <c r="I488" s="2">
        <v>23</v>
      </c>
      <c r="J488" s="2" t="s">
        <v>279</v>
      </c>
      <c r="K488" s="2" t="s">
        <v>280</v>
      </c>
      <c r="L488" s="2" t="s">
        <v>1930</v>
      </c>
      <c r="M488" s="7" t="s">
        <v>1931</v>
      </c>
      <c r="N488" s="7" t="s">
        <v>1932</v>
      </c>
      <c r="O488" s="2"/>
      <c r="P488" s="2"/>
      <c r="Q488" s="2" t="str">
        <f>IF(SUMPRODUCT(--ISNUMBER(SEARCH('National Domains'!$A$2:$A$48,L488)))&gt;0,"Yes","No")</f>
        <v>Yes</v>
      </c>
      <c r="R488" s="2" t="str">
        <f>IF(COUNTIFS(Calibration!$A:$A,A488,Calibration!$B:$B,B488)&gt;0,"Yes","No")</f>
        <v>No</v>
      </c>
      <c r="S488" s="6"/>
    </row>
    <row r="489" spans="1:19" ht="34.5" customHeight="1" x14ac:dyDescent="0.2">
      <c r="A489" s="2">
        <v>144</v>
      </c>
      <c r="B489" s="2">
        <v>2</v>
      </c>
      <c r="C489" s="2" t="s">
        <v>278</v>
      </c>
      <c r="D489" s="2" t="s">
        <v>25</v>
      </c>
      <c r="E489" s="2">
        <v>20160622</v>
      </c>
      <c r="F489" s="2">
        <v>20160624</v>
      </c>
      <c r="G489" s="2">
        <v>1288.5</v>
      </c>
      <c r="H489" s="2">
        <v>968.8</v>
      </c>
      <c r="I489" s="2">
        <v>23</v>
      </c>
      <c r="J489" s="2" t="s">
        <v>279</v>
      </c>
      <c r="K489" s="2" t="s">
        <v>280</v>
      </c>
      <c r="L489" s="2" t="s">
        <v>1933</v>
      </c>
      <c r="M489" s="7" t="s">
        <v>1934</v>
      </c>
      <c r="N489" s="7" t="s">
        <v>1935</v>
      </c>
      <c r="O489" s="2"/>
      <c r="P489" s="2"/>
      <c r="Q489" s="2" t="str">
        <f>IF(SUMPRODUCT(--ISNUMBER(SEARCH('National Domains'!$A$2:$A$48,L489)))&gt;0,"Yes","No")</f>
        <v>Yes</v>
      </c>
      <c r="R489" s="2" t="str">
        <f>IF(COUNTIFS(Calibration!$A:$A,A489,Calibration!$B:$B,B489)&gt;0,"Yes","No")</f>
        <v>No</v>
      </c>
      <c r="S489" s="6"/>
    </row>
    <row r="490" spans="1:19" ht="23.25" customHeight="1" x14ac:dyDescent="0.2">
      <c r="A490" s="2">
        <v>144</v>
      </c>
      <c r="B490" s="2">
        <v>3</v>
      </c>
      <c r="C490" s="2" t="s">
        <v>278</v>
      </c>
      <c r="D490" s="2" t="s">
        <v>25</v>
      </c>
      <c r="E490" s="2">
        <v>20160622</v>
      </c>
      <c r="F490" s="2">
        <v>20160624</v>
      </c>
      <c r="G490" s="2">
        <v>1288.5</v>
      </c>
      <c r="H490" s="2">
        <v>968.8</v>
      </c>
      <c r="I490" s="2">
        <v>23</v>
      </c>
      <c r="J490" s="2" t="s">
        <v>279</v>
      </c>
      <c r="K490" s="2" t="s">
        <v>280</v>
      </c>
      <c r="L490" s="2" t="s">
        <v>1936</v>
      </c>
      <c r="M490" s="7" t="s">
        <v>1937</v>
      </c>
      <c r="N490" s="7" t="s">
        <v>1938</v>
      </c>
      <c r="O490" s="2"/>
      <c r="P490" s="2"/>
      <c r="Q490" s="2" t="str">
        <f>IF(SUMPRODUCT(--ISNUMBER(SEARCH('National Domains'!$A$2:$A$48,L490)))&gt;0,"Yes","No")</f>
        <v>Yes</v>
      </c>
      <c r="R490" s="2" t="str">
        <f>IF(COUNTIFS(Calibration!$A:$A,A490,Calibration!$B:$B,B490)&gt;0,"Yes","No")</f>
        <v>No</v>
      </c>
      <c r="S490" s="6"/>
    </row>
    <row r="491" spans="1:19" ht="34.5" customHeight="1" x14ac:dyDescent="0.2">
      <c r="A491" s="2">
        <v>146</v>
      </c>
      <c r="B491" s="2">
        <v>1</v>
      </c>
      <c r="C491" s="2" t="s">
        <v>284</v>
      </c>
      <c r="D491" s="2" t="s">
        <v>25</v>
      </c>
      <c r="E491" s="2">
        <v>20160812</v>
      </c>
      <c r="F491" s="2">
        <v>20160815</v>
      </c>
      <c r="G491" s="2">
        <v>13300</v>
      </c>
      <c r="H491" s="2">
        <v>10000</v>
      </c>
      <c r="I491" s="2">
        <v>13</v>
      </c>
      <c r="J491" s="2" t="s">
        <v>46</v>
      </c>
      <c r="K491" s="2" t="s">
        <v>41</v>
      </c>
      <c r="L491" s="2" t="s">
        <v>1939</v>
      </c>
      <c r="M491" s="7" t="s">
        <v>1940</v>
      </c>
      <c r="N491" s="7" t="s">
        <v>1941</v>
      </c>
      <c r="O491" s="2"/>
      <c r="P491" s="2"/>
      <c r="Q491" s="2" t="str">
        <f>IF(SUMPRODUCT(--ISNUMBER(SEARCH('National Domains'!$A$2:$A$48,L491)))&gt;0,"Yes","No")</f>
        <v>No</v>
      </c>
      <c r="R491" s="2" t="str">
        <f>IF(COUNTIFS(Calibration!$A:$A,A491,Calibration!$B:$B,B491)&gt;0,"Yes","No")</f>
        <v>No</v>
      </c>
      <c r="S491" s="6"/>
    </row>
    <row r="492" spans="1:19" ht="34.5" customHeight="1" x14ac:dyDescent="0.2">
      <c r="A492" s="2">
        <v>146</v>
      </c>
      <c r="B492" s="2">
        <v>2</v>
      </c>
      <c r="C492" s="2" t="s">
        <v>284</v>
      </c>
      <c r="D492" s="2" t="s">
        <v>25</v>
      </c>
      <c r="E492" s="2">
        <v>20160812</v>
      </c>
      <c r="F492" s="2">
        <v>20160815</v>
      </c>
      <c r="G492" s="2">
        <v>13300</v>
      </c>
      <c r="H492" s="2">
        <v>10000</v>
      </c>
      <c r="I492" s="2">
        <v>13</v>
      </c>
      <c r="J492" s="2" t="s">
        <v>46</v>
      </c>
      <c r="K492" s="2" t="s">
        <v>41</v>
      </c>
      <c r="L492" s="2" t="s">
        <v>1942</v>
      </c>
      <c r="M492" s="7" t="s">
        <v>1943</v>
      </c>
      <c r="N492" s="7" t="s">
        <v>1944</v>
      </c>
      <c r="O492" s="2"/>
      <c r="P492" s="2"/>
      <c r="Q492" s="2" t="str">
        <f>IF(SUMPRODUCT(--ISNUMBER(SEARCH('National Domains'!$A$2:$A$48,L492)))&gt;0,"Yes","No")</f>
        <v>No</v>
      </c>
      <c r="R492" s="2" t="str">
        <f>IF(COUNTIFS(Calibration!$A:$A,A492,Calibration!$B:$B,B492)&gt;0,"Yes","No")</f>
        <v>No</v>
      </c>
      <c r="S492" s="6"/>
    </row>
    <row r="493" spans="1:19" ht="23.25" customHeight="1" x14ac:dyDescent="0.2">
      <c r="A493" s="2">
        <v>146</v>
      </c>
      <c r="B493" s="2">
        <v>3</v>
      </c>
      <c r="C493" s="2" t="s">
        <v>284</v>
      </c>
      <c r="D493" s="2" t="s">
        <v>25</v>
      </c>
      <c r="E493" s="2">
        <v>20160812</v>
      </c>
      <c r="F493" s="2">
        <v>20160815</v>
      </c>
      <c r="G493" s="2">
        <v>13300</v>
      </c>
      <c r="H493" s="2">
        <v>10000</v>
      </c>
      <c r="I493" s="2">
        <v>13</v>
      </c>
      <c r="J493" s="2" t="s">
        <v>46</v>
      </c>
      <c r="K493" s="2" t="s">
        <v>41</v>
      </c>
      <c r="L493" s="2" t="s">
        <v>1945</v>
      </c>
      <c r="M493" s="7" t="s">
        <v>1946</v>
      </c>
      <c r="N493" s="7" t="s">
        <v>1947</v>
      </c>
      <c r="O493" s="2"/>
      <c r="P493" s="2"/>
      <c r="Q493" s="2" t="str">
        <f>IF(SUMPRODUCT(--ISNUMBER(SEARCH('National Domains'!$A$2:$A$48,L493)))&gt;0,"Yes","No")</f>
        <v>No</v>
      </c>
      <c r="R493" s="2" t="str">
        <f>IF(COUNTIFS(Calibration!$A:$A,A493,Calibration!$B:$B,B493)&gt;0,"Yes","No")</f>
        <v>No</v>
      </c>
      <c r="S493" s="6"/>
    </row>
    <row r="494" spans="1:19" ht="23.25" customHeight="1" x14ac:dyDescent="0.2">
      <c r="A494" s="2">
        <v>146</v>
      </c>
      <c r="B494" s="2">
        <v>4</v>
      </c>
      <c r="C494" s="2" t="s">
        <v>284</v>
      </c>
      <c r="D494" s="2" t="s">
        <v>25</v>
      </c>
      <c r="E494" s="2">
        <v>20160812</v>
      </c>
      <c r="F494" s="2">
        <v>20160815</v>
      </c>
      <c r="G494" s="2">
        <v>13300</v>
      </c>
      <c r="H494" s="2">
        <v>10000</v>
      </c>
      <c r="I494" s="2">
        <v>13</v>
      </c>
      <c r="J494" s="2" t="s">
        <v>46</v>
      </c>
      <c r="K494" s="2" t="s">
        <v>41</v>
      </c>
      <c r="L494" s="2" t="s">
        <v>1948</v>
      </c>
      <c r="M494" s="7" t="s">
        <v>1949</v>
      </c>
      <c r="N494" s="7" t="s">
        <v>1950</v>
      </c>
      <c r="O494" s="2"/>
      <c r="P494" s="2"/>
      <c r="Q494" s="2" t="str">
        <f>IF(SUMPRODUCT(--ISNUMBER(SEARCH('National Domains'!$A$2:$A$48,L494)))&gt;0,"Yes","No")</f>
        <v>No</v>
      </c>
      <c r="R494" s="2" t="str">
        <f>IF(COUNTIFS(Calibration!$A:$A,A494,Calibration!$B:$B,B494)&gt;0,"Yes","No")</f>
        <v>No</v>
      </c>
      <c r="S494" s="6"/>
    </row>
    <row r="495" spans="1:19" ht="34.5" customHeight="1" x14ac:dyDescent="0.2">
      <c r="A495" s="2">
        <v>146</v>
      </c>
      <c r="B495" s="2">
        <v>5</v>
      </c>
      <c r="C495" s="2" t="s">
        <v>284</v>
      </c>
      <c r="D495" s="2" t="s">
        <v>25</v>
      </c>
      <c r="E495" s="2">
        <v>20160812</v>
      </c>
      <c r="F495" s="2">
        <v>20160815</v>
      </c>
      <c r="G495" s="2">
        <v>13300</v>
      </c>
      <c r="H495" s="2">
        <v>10000</v>
      </c>
      <c r="I495" s="2">
        <v>13</v>
      </c>
      <c r="J495" s="2" t="s">
        <v>46</v>
      </c>
      <c r="K495" s="2" t="s">
        <v>41</v>
      </c>
      <c r="L495" s="2" t="s">
        <v>1951</v>
      </c>
      <c r="M495" s="7" t="s">
        <v>1952</v>
      </c>
      <c r="N495" s="7" t="s">
        <v>1953</v>
      </c>
      <c r="O495" s="2"/>
      <c r="P495" s="2"/>
      <c r="Q495" s="2" t="str">
        <f>IF(SUMPRODUCT(--ISNUMBER(SEARCH('National Domains'!$A$2:$A$48,L495)))&gt;0,"Yes","No")</f>
        <v>No</v>
      </c>
      <c r="R495" s="2" t="str">
        <f>IF(COUNTIFS(Calibration!$A:$A,A495,Calibration!$B:$B,B495)&gt;0,"Yes","No")</f>
        <v>No</v>
      </c>
      <c r="S495" s="6"/>
    </row>
    <row r="496" spans="1:19" ht="34.5" customHeight="1" x14ac:dyDescent="0.2">
      <c r="A496" s="2">
        <v>146</v>
      </c>
      <c r="B496" s="2">
        <v>6</v>
      </c>
      <c r="C496" s="2" t="s">
        <v>284</v>
      </c>
      <c r="D496" s="2" t="s">
        <v>25</v>
      </c>
      <c r="E496" s="2">
        <v>20160812</v>
      </c>
      <c r="F496" s="2">
        <v>20160815</v>
      </c>
      <c r="G496" s="2">
        <v>13300</v>
      </c>
      <c r="H496" s="2">
        <v>10000</v>
      </c>
      <c r="I496" s="2">
        <v>13</v>
      </c>
      <c r="J496" s="2" t="s">
        <v>46</v>
      </c>
      <c r="K496" s="2" t="s">
        <v>41</v>
      </c>
      <c r="L496" s="2" t="s">
        <v>1954</v>
      </c>
      <c r="M496" s="7" t="s">
        <v>1955</v>
      </c>
      <c r="N496" s="7" t="s">
        <v>1956</v>
      </c>
      <c r="O496" s="2"/>
      <c r="P496" s="2"/>
      <c r="Q496" s="2" t="str">
        <f>IF(SUMPRODUCT(--ISNUMBER(SEARCH('National Domains'!$A$2:$A$48,L496)))&gt;0,"Yes","No")</f>
        <v>No</v>
      </c>
      <c r="R496" s="2" t="str">
        <f>IF(COUNTIFS(Calibration!$A:$A,A496,Calibration!$B:$B,B496)&gt;0,"Yes","No")</f>
        <v>No</v>
      </c>
      <c r="S496" s="6"/>
    </row>
    <row r="497" spans="1:19" ht="34.5" customHeight="1" x14ac:dyDescent="0.2">
      <c r="A497" s="2">
        <v>146</v>
      </c>
      <c r="B497" s="2">
        <v>7</v>
      </c>
      <c r="C497" s="2" t="s">
        <v>284</v>
      </c>
      <c r="D497" s="2" t="s">
        <v>25</v>
      </c>
      <c r="E497" s="2">
        <v>20160812</v>
      </c>
      <c r="F497" s="2">
        <v>20160815</v>
      </c>
      <c r="G497" s="2">
        <v>13300</v>
      </c>
      <c r="H497" s="2">
        <v>10000</v>
      </c>
      <c r="I497" s="2">
        <v>13</v>
      </c>
      <c r="J497" s="2" t="s">
        <v>46</v>
      </c>
      <c r="K497" s="2" t="s">
        <v>41</v>
      </c>
      <c r="L497" s="2" t="s">
        <v>1957</v>
      </c>
      <c r="M497" s="7" t="s">
        <v>1958</v>
      </c>
      <c r="N497" s="7" t="s">
        <v>1959</v>
      </c>
      <c r="O497" s="2"/>
      <c r="P497" s="2"/>
      <c r="Q497" s="2" t="str">
        <f>IF(SUMPRODUCT(--ISNUMBER(SEARCH('National Domains'!$A$2:$A$48,L497)))&gt;0,"Yes","No")</f>
        <v>No</v>
      </c>
      <c r="R497" s="2" t="str">
        <f>IF(COUNTIFS(Calibration!$A:$A,A497,Calibration!$B:$B,B497)&gt;0,"Yes","No")</f>
        <v>No</v>
      </c>
      <c r="S497" s="6"/>
    </row>
    <row r="498" spans="1:19" ht="34.5" customHeight="1" x14ac:dyDescent="0.2">
      <c r="A498" s="2">
        <v>146</v>
      </c>
      <c r="B498" s="2">
        <v>8</v>
      </c>
      <c r="C498" s="2" t="s">
        <v>284</v>
      </c>
      <c r="D498" s="2" t="s">
        <v>25</v>
      </c>
      <c r="E498" s="2">
        <v>20160812</v>
      </c>
      <c r="F498" s="2">
        <v>20160815</v>
      </c>
      <c r="G498" s="2">
        <v>13300</v>
      </c>
      <c r="H498" s="2">
        <v>10000</v>
      </c>
      <c r="I498" s="2">
        <v>13</v>
      </c>
      <c r="J498" s="2" t="s">
        <v>46</v>
      </c>
      <c r="K498" s="2" t="s">
        <v>41</v>
      </c>
      <c r="L498" s="2" t="s">
        <v>1960</v>
      </c>
      <c r="M498" s="7" t="s">
        <v>1961</v>
      </c>
      <c r="N498" s="7" t="s">
        <v>1962</v>
      </c>
      <c r="O498" s="2"/>
      <c r="P498" s="2"/>
      <c r="Q498" s="2" t="str">
        <f>IF(SUMPRODUCT(--ISNUMBER(SEARCH('National Domains'!$A$2:$A$48,L498)))&gt;0,"Yes","No")</f>
        <v>No</v>
      </c>
      <c r="R498" s="2" t="str">
        <f>IF(COUNTIFS(Calibration!$A:$A,A498,Calibration!$B:$B,B498)&gt;0,"Yes","No")</f>
        <v>No</v>
      </c>
      <c r="S498" s="6"/>
    </row>
    <row r="499" spans="1:19" ht="34.5" customHeight="1" x14ac:dyDescent="0.2">
      <c r="A499" s="2">
        <v>146</v>
      </c>
      <c r="B499" s="2">
        <v>9</v>
      </c>
      <c r="C499" s="2" t="s">
        <v>284</v>
      </c>
      <c r="D499" s="2" t="s">
        <v>25</v>
      </c>
      <c r="E499" s="2">
        <v>20160812</v>
      </c>
      <c r="F499" s="2">
        <v>20160815</v>
      </c>
      <c r="G499" s="2">
        <v>13300</v>
      </c>
      <c r="H499" s="2">
        <v>10000</v>
      </c>
      <c r="I499" s="2">
        <v>13</v>
      </c>
      <c r="J499" s="2" t="s">
        <v>46</v>
      </c>
      <c r="K499" s="2" t="s">
        <v>41</v>
      </c>
      <c r="L499" s="2" t="s">
        <v>1963</v>
      </c>
      <c r="M499" s="7" t="s">
        <v>1964</v>
      </c>
      <c r="N499" s="7" t="s">
        <v>1965</v>
      </c>
      <c r="O499" s="2"/>
      <c r="P499" s="2"/>
      <c r="Q499" s="2" t="str">
        <f>IF(SUMPRODUCT(--ISNUMBER(SEARCH('National Domains'!$A$2:$A$48,L499)))&gt;0,"Yes","No")</f>
        <v>No</v>
      </c>
      <c r="R499" s="2" t="str">
        <f>IF(COUNTIFS(Calibration!$A:$A,A499,Calibration!$B:$B,B499)&gt;0,"Yes","No")</f>
        <v>No</v>
      </c>
      <c r="S499" s="6"/>
    </row>
    <row r="500" spans="1:19" ht="34.5" customHeight="1" x14ac:dyDescent="0.2">
      <c r="A500" s="2">
        <v>146</v>
      </c>
      <c r="B500" s="2">
        <v>10</v>
      </c>
      <c r="C500" s="2" t="s">
        <v>284</v>
      </c>
      <c r="D500" s="2" t="s">
        <v>25</v>
      </c>
      <c r="E500" s="2">
        <v>20160812</v>
      </c>
      <c r="F500" s="2">
        <v>20160815</v>
      </c>
      <c r="G500" s="2">
        <v>13300</v>
      </c>
      <c r="H500" s="2">
        <v>10000</v>
      </c>
      <c r="I500" s="2">
        <v>13</v>
      </c>
      <c r="J500" s="2" t="s">
        <v>46</v>
      </c>
      <c r="K500" s="2" t="s">
        <v>41</v>
      </c>
      <c r="L500" s="2" t="s">
        <v>1966</v>
      </c>
      <c r="M500" s="7" t="s">
        <v>1967</v>
      </c>
      <c r="N500" s="7" t="s">
        <v>1968</v>
      </c>
      <c r="O500" s="2"/>
      <c r="P500" s="2"/>
      <c r="Q500" s="2" t="str">
        <f>IF(SUMPRODUCT(--ISNUMBER(SEARCH('National Domains'!$A$2:$A$48,L500)))&gt;0,"Yes","No")</f>
        <v>No</v>
      </c>
      <c r="R500" s="2" t="str">
        <f>IF(COUNTIFS(Calibration!$A:$A,A500,Calibration!$B:$B,B500)&gt;0,"Yes","No")</f>
        <v>No</v>
      </c>
      <c r="S500" s="6"/>
    </row>
    <row r="501" spans="1:19" ht="34.5" customHeight="1" x14ac:dyDescent="0.2">
      <c r="A501" s="2">
        <v>146</v>
      </c>
      <c r="B501" s="2">
        <v>11</v>
      </c>
      <c r="C501" s="2" t="s">
        <v>284</v>
      </c>
      <c r="D501" s="2" t="s">
        <v>25</v>
      </c>
      <c r="E501" s="2">
        <v>20160812</v>
      </c>
      <c r="F501" s="2">
        <v>20160815</v>
      </c>
      <c r="G501" s="2">
        <v>13300</v>
      </c>
      <c r="H501" s="2">
        <v>10000</v>
      </c>
      <c r="I501" s="2">
        <v>13</v>
      </c>
      <c r="J501" s="2" t="s">
        <v>46</v>
      </c>
      <c r="K501" s="2" t="s">
        <v>41</v>
      </c>
      <c r="L501" s="2" t="s">
        <v>1969</v>
      </c>
      <c r="M501" s="7" t="s">
        <v>1970</v>
      </c>
      <c r="N501" s="7" t="s">
        <v>1971</v>
      </c>
      <c r="O501" s="2"/>
      <c r="P501" s="2"/>
      <c r="Q501" s="2" t="str">
        <f>IF(SUMPRODUCT(--ISNUMBER(SEARCH('National Domains'!$A$2:$A$48,L501)))&gt;0,"Yes","No")</f>
        <v>No</v>
      </c>
      <c r="R501" s="2" t="str">
        <f>IF(COUNTIFS(Calibration!$A:$A,A501,Calibration!$B:$B,B501)&gt;0,"Yes","No")</f>
        <v>No</v>
      </c>
      <c r="S501" s="6"/>
    </row>
    <row r="502" spans="1:19" ht="34.5" customHeight="1" x14ac:dyDescent="0.2">
      <c r="A502" s="2">
        <v>146</v>
      </c>
      <c r="B502" s="2">
        <v>12</v>
      </c>
      <c r="C502" s="2" t="s">
        <v>284</v>
      </c>
      <c r="D502" s="2" t="s">
        <v>25</v>
      </c>
      <c r="E502" s="2">
        <v>20160812</v>
      </c>
      <c r="F502" s="2">
        <v>20160815</v>
      </c>
      <c r="G502" s="2">
        <v>13300</v>
      </c>
      <c r="H502" s="2">
        <v>10000</v>
      </c>
      <c r="I502" s="2">
        <v>13</v>
      </c>
      <c r="J502" s="2" t="s">
        <v>46</v>
      </c>
      <c r="K502" s="2" t="s">
        <v>41</v>
      </c>
      <c r="L502" s="2" t="s">
        <v>1972</v>
      </c>
      <c r="M502" s="7" t="s">
        <v>1973</v>
      </c>
      <c r="N502" s="7" t="s">
        <v>1974</v>
      </c>
      <c r="O502" s="2"/>
      <c r="P502" s="2"/>
      <c r="Q502" s="2" t="str">
        <f>IF(SUMPRODUCT(--ISNUMBER(SEARCH('National Domains'!$A$2:$A$48,L502)))&gt;0,"Yes","No")</f>
        <v>No</v>
      </c>
      <c r="R502" s="2" t="str">
        <f>IF(COUNTIFS(Calibration!$A:$A,A502,Calibration!$B:$B,B502)&gt;0,"Yes","No")</f>
        <v>No</v>
      </c>
      <c r="S502" s="6"/>
    </row>
    <row r="503" spans="1:19" ht="34.5" customHeight="1" x14ac:dyDescent="0.2">
      <c r="A503" s="2">
        <v>146</v>
      </c>
      <c r="B503" s="2">
        <v>13</v>
      </c>
      <c r="C503" s="2" t="s">
        <v>284</v>
      </c>
      <c r="D503" s="2" t="s">
        <v>25</v>
      </c>
      <c r="E503" s="2">
        <v>20160812</v>
      </c>
      <c r="F503" s="2">
        <v>20160815</v>
      </c>
      <c r="G503" s="2">
        <v>13300</v>
      </c>
      <c r="H503" s="2">
        <v>10000</v>
      </c>
      <c r="I503" s="2">
        <v>13</v>
      </c>
      <c r="J503" s="2" t="s">
        <v>46</v>
      </c>
      <c r="K503" s="2" t="s">
        <v>41</v>
      </c>
      <c r="L503" s="2" t="s">
        <v>1975</v>
      </c>
      <c r="M503" s="7" t="s">
        <v>1976</v>
      </c>
      <c r="N503" s="7" t="s">
        <v>1977</v>
      </c>
      <c r="O503" s="2"/>
      <c r="P503" s="2"/>
      <c r="Q503" s="2" t="str">
        <f>IF(SUMPRODUCT(--ISNUMBER(SEARCH('National Domains'!$A$2:$A$48,L503)))&gt;0,"Yes","No")</f>
        <v>No</v>
      </c>
      <c r="R503" s="2" t="str">
        <f>IF(COUNTIFS(Calibration!$A:$A,A503,Calibration!$B:$B,B503)&gt;0,"Yes","No")</f>
        <v>No</v>
      </c>
      <c r="S503" s="6"/>
    </row>
    <row r="504" spans="1:19" ht="34.5" customHeight="1" x14ac:dyDescent="0.2">
      <c r="A504" s="2">
        <v>146</v>
      </c>
      <c r="B504" s="2">
        <v>14</v>
      </c>
      <c r="C504" s="2" t="s">
        <v>284</v>
      </c>
      <c r="D504" s="2" t="s">
        <v>25</v>
      </c>
      <c r="E504" s="2">
        <v>20160812</v>
      </c>
      <c r="F504" s="2">
        <v>20160815</v>
      </c>
      <c r="G504" s="2">
        <v>13300</v>
      </c>
      <c r="H504" s="2">
        <v>10000</v>
      </c>
      <c r="I504" s="2">
        <v>13</v>
      </c>
      <c r="J504" s="2" t="s">
        <v>46</v>
      </c>
      <c r="K504" s="2" t="s">
        <v>41</v>
      </c>
      <c r="L504" s="2" t="s">
        <v>1978</v>
      </c>
      <c r="M504" s="7" t="s">
        <v>1979</v>
      </c>
      <c r="N504" s="7" t="s">
        <v>1980</v>
      </c>
      <c r="O504" s="2"/>
      <c r="P504" s="2"/>
      <c r="Q504" s="2" t="str">
        <f>IF(SUMPRODUCT(--ISNUMBER(SEARCH('National Domains'!$A$2:$A$48,L504)))&gt;0,"Yes","No")</f>
        <v>Yes</v>
      </c>
      <c r="R504" s="2" t="str">
        <f>IF(COUNTIFS(Calibration!$A:$A,A504,Calibration!$B:$B,B504)&gt;0,"Yes","No")</f>
        <v>No</v>
      </c>
      <c r="S504" s="6"/>
    </row>
    <row r="505" spans="1:19" ht="23.25" customHeight="1" x14ac:dyDescent="0.2">
      <c r="A505" s="2">
        <v>146</v>
      </c>
      <c r="B505" s="2">
        <v>15</v>
      </c>
      <c r="C505" s="2" t="s">
        <v>284</v>
      </c>
      <c r="D505" s="2" t="s">
        <v>25</v>
      </c>
      <c r="E505" s="2">
        <v>20160812</v>
      </c>
      <c r="F505" s="2">
        <v>20160815</v>
      </c>
      <c r="G505" s="2">
        <v>13300</v>
      </c>
      <c r="H505" s="2">
        <v>10000</v>
      </c>
      <c r="I505" s="2">
        <v>13</v>
      </c>
      <c r="J505" s="2" t="s">
        <v>46</v>
      </c>
      <c r="K505" s="2" t="s">
        <v>41</v>
      </c>
      <c r="L505" s="2" t="s">
        <v>1981</v>
      </c>
      <c r="M505" s="7" t="s">
        <v>1982</v>
      </c>
      <c r="N505" s="7" t="s">
        <v>1983</v>
      </c>
      <c r="O505" s="2"/>
      <c r="P505" s="2"/>
      <c r="Q505" s="2" t="str">
        <f>IF(SUMPRODUCT(--ISNUMBER(SEARCH('National Domains'!$A$2:$A$48,L505)))&gt;0,"Yes","No")</f>
        <v>Yes</v>
      </c>
      <c r="R505" s="2" t="str">
        <f>IF(COUNTIFS(Calibration!$A:$A,A505,Calibration!$B:$B,B505)&gt;0,"Yes","No")</f>
        <v>No</v>
      </c>
      <c r="S505" s="6"/>
    </row>
    <row r="506" spans="1:19" ht="34.5" customHeight="1" x14ac:dyDescent="0.2">
      <c r="A506" s="2">
        <v>146</v>
      </c>
      <c r="B506" s="2">
        <v>16</v>
      </c>
      <c r="C506" s="2" t="s">
        <v>284</v>
      </c>
      <c r="D506" s="2" t="s">
        <v>25</v>
      </c>
      <c r="E506" s="2">
        <v>20160812</v>
      </c>
      <c r="F506" s="2">
        <v>20160815</v>
      </c>
      <c r="G506" s="2">
        <v>13300</v>
      </c>
      <c r="H506" s="2">
        <v>10000</v>
      </c>
      <c r="I506" s="2">
        <v>13</v>
      </c>
      <c r="J506" s="2" t="s">
        <v>46</v>
      </c>
      <c r="K506" s="2" t="s">
        <v>41</v>
      </c>
      <c r="L506" s="2" t="s">
        <v>1984</v>
      </c>
      <c r="M506" s="7" t="s">
        <v>1985</v>
      </c>
      <c r="N506" s="7" t="s">
        <v>1986</v>
      </c>
      <c r="O506" s="2"/>
      <c r="P506" s="2"/>
      <c r="Q506" s="2" t="str">
        <f>IF(SUMPRODUCT(--ISNUMBER(SEARCH('National Domains'!$A$2:$A$48,L506)))&gt;0,"Yes","No")</f>
        <v>Yes</v>
      </c>
      <c r="R506" s="2" t="str">
        <f>IF(COUNTIFS(Calibration!$A:$A,A506,Calibration!$B:$B,B506)&gt;0,"Yes","No")</f>
        <v>No</v>
      </c>
      <c r="S506" s="6"/>
    </row>
    <row r="507" spans="1:19" ht="34.5" customHeight="1" x14ac:dyDescent="0.2">
      <c r="A507" s="2">
        <v>146</v>
      </c>
      <c r="B507" s="2">
        <v>17</v>
      </c>
      <c r="C507" s="2" t="s">
        <v>284</v>
      </c>
      <c r="D507" s="2" t="s">
        <v>25</v>
      </c>
      <c r="E507" s="2">
        <v>20160812</v>
      </c>
      <c r="F507" s="2">
        <v>20160815</v>
      </c>
      <c r="G507" s="2">
        <v>13300</v>
      </c>
      <c r="H507" s="2">
        <v>10000</v>
      </c>
      <c r="I507" s="2">
        <v>13</v>
      </c>
      <c r="J507" s="2" t="s">
        <v>46</v>
      </c>
      <c r="K507" s="2" t="s">
        <v>41</v>
      </c>
      <c r="L507" s="2" t="s">
        <v>1987</v>
      </c>
      <c r="M507" s="7" t="s">
        <v>1988</v>
      </c>
      <c r="N507" s="7" t="s">
        <v>1989</v>
      </c>
      <c r="O507" s="2"/>
      <c r="P507" s="2"/>
      <c r="Q507" s="2" t="str">
        <f>IF(SUMPRODUCT(--ISNUMBER(SEARCH('National Domains'!$A$2:$A$48,L507)))&gt;0,"Yes","No")</f>
        <v>Yes</v>
      </c>
      <c r="R507" s="2" t="str">
        <f>IF(COUNTIFS(Calibration!$A:$A,A507,Calibration!$B:$B,B507)&gt;0,"Yes","No")</f>
        <v>No</v>
      </c>
      <c r="S507" s="6"/>
    </row>
    <row r="508" spans="1:19" ht="34.5" customHeight="1" x14ac:dyDescent="0.2">
      <c r="A508" s="2">
        <v>146</v>
      </c>
      <c r="B508" s="2">
        <v>18</v>
      </c>
      <c r="C508" s="2" t="s">
        <v>284</v>
      </c>
      <c r="D508" s="2" t="s">
        <v>25</v>
      </c>
      <c r="E508" s="2">
        <v>20160812</v>
      </c>
      <c r="F508" s="2">
        <v>20160815</v>
      </c>
      <c r="G508" s="2">
        <v>13300</v>
      </c>
      <c r="H508" s="2">
        <v>10000</v>
      </c>
      <c r="I508" s="2">
        <v>13</v>
      </c>
      <c r="J508" s="2" t="s">
        <v>46</v>
      </c>
      <c r="K508" s="2" t="s">
        <v>41</v>
      </c>
      <c r="L508" s="2" t="s">
        <v>1990</v>
      </c>
      <c r="M508" s="7" t="s">
        <v>1991</v>
      </c>
      <c r="N508" s="7" t="s">
        <v>1992</v>
      </c>
      <c r="O508" s="2"/>
      <c r="P508" s="2"/>
      <c r="Q508" s="2" t="str">
        <f>IF(SUMPRODUCT(--ISNUMBER(SEARCH('National Domains'!$A$2:$A$48,L508)))&gt;0,"Yes","No")</f>
        <v>Yes</v>
      </c>
      <c r="R508" s="2" t="str">
        <f>IF(COUNTIFS(Calibration!$A:$A,A508,Calibration!$B:$B,B508)&gt;0,"Yes","No")</f>
        <v>No</v>
      </c>
      <c r="S508" s="6"/>
    </row>
    <row r="509" spans="1:19" ht="34.5" customHeight="1" x14ac:dyDescent="0.2">
      <c r="A509" s="2">
        <v>146</v>
      </c>
      <c r="B509" s="2">
        <v>19</v>
      </c>
      <c r="C509" s="2" t="s">
        <v>284</v>
      </c>
      <c r="D509" s="2" t="s">
        <v>25</v>
      </c>
      <c r="E509" s="2">
        <v>20160812</v>
      </c>
      <c r="F509" s="2">
        <v>20160815</v>
      </c>
      <c r="G509" s="2">
        <v>13300</v>
      </c>
      <c r="H509" s="2">
        <v>10000</v>
      </c>
      <c r="I509" s="2">
        <v>13</v>
      </c>
      <c r="J509" s="2" t="s">
        <v>46</v>
      </c>
      <c r="K509" s="2" t="s">
        <v>41</v>
      </c>
      <c r="L509" s="2" t="s">
        <v>1993</v>
      </c>
      <c r="M509" s="7" t="s">
        <v>1994</v>
      </c>
      <c r="N509" s="7" t="s">
        <v>1995</v>
      </c>
      <c r="O509" s="2"/>
      <c r="P509" s="2"/>
      <c r="Q509" s="2" t="str">
        <f>IF(SUMPRODUCT(--ISNUMBER(SEARCH('National Domains'!$A$2:$A$48,L509)))&gt;0,"Yes","No")</f>
        <v>No</v>
      </c>
      <c r="R509" s="2" t="str">
        <f>IF(COUNTIFS(Calibration!$A:$A,A509,Calibration!$B:$B,B509)&gt;0,"Yes","No")</f>
        <v>No</v>
      </c>
      <c r="S509" s="6"/>
    </row>
    <row r="510" spans="1:19" ht="34.5" customHeight="1" x14ac:dyDescent="0.2">
      <c r="A510" s="2">
        <v>146</v>
      </c>
      <c r="B510" s="2">
        <v>20</v>
      </c>
      <c r="C510" s="2" t="s">
        <v>284</v>
      </c>
      <c r="D510" s="2" t="s">
        <v>25</v>
      </c>
      <c r="E510" s="2">
        <v>20160812</v>
      </c>
      <c r="F510" s="2">
        <v>20160815</v>
      </c>
      <c r="G510" s="2">
        <v>13300</v>
      </c>
      <c r="H510" s="2">
        <v>10000</v>
      </c>
      <c r="I510" s="2">
        <v>13</v>
      </c>
      <c r="J510" s="2" t="s">
        <v>46</v>
      </c>
      <c r="K510" s="2" t="s">
        <v>41</v>
      </c>
      <c r="L510" s="2" t="s">
        <v>1996</v>
      </c>
      <c r="M510" s="7" t="s">
        <v>1997</v>
      </c>
      <c r="N510" s="7" t="s">
        <v>1998</v>
      </c>
      <c r="O510" s="2"/>
      <c r="P510" s="2"/>
      <c r="Q510" s="2" t="str">
        <f>IF(SUMPRODUCT(--ISNUMBER(SEARCH('National Domains'!$A$2:$A$48,L510)))&gt;0,"Yes","No")</f>
        <v>Yes</v>
      </c>
      <c r="R510" s="2" t="str">
        <f>IF(COUNTIFS(Calibration!$A:$A,A510,Calibration!$B:$B,B510)&gt;0,"Yes","No")</f>
        <v>No</v>
      </c>
      <c r="S510" s="6"/>
    </row>
    <row r="511" spans="1:19" ht="34.5" customHeight="1" x14ac:dyDescent="0.2">
      <c r="A511" s="2">
        <v>146</v>
      </c>
      <c r="B511" s="2">
        <v>21</v>
      </c>
      <c r="C511" s="2" t="s">
        <v>284</v>
      </c>
      <c r="D511" s="2" t="s">
        <v>25</v>
      </c>
      <c r="E511" s="2">
        <v>20160812</v>
      </c>
      <c r="F511" s="2">
        <v>20160815</v>
      </c>
      <c r="G511" s="2">
        <v>13300</v>
      </c>
      <c r="H511" s="2">
        <v>10000</v>
      </c>
      <c r="I511" s="2">
        <v>13</v>
      </c>
      <c r="J511" s="2" t="s">
        <v>46</v>
      </c>
      <c r="K511" s="2" t="s">
        <v>41</v>
      </c>
      <c r="L511" s="2" t="s">
        <v>1999</v>
      </c>
      <c r="M511" s="7" t="s">
        <v>2000</v>
      </c>
      <c r="N511" s="7" t="s">
        <v>2001</v>
      </c>
      <c r="O511" s="2"/>
      <c r="P511" s="2"/>
      <c r="Q511" s="2" t="str">
        <f>IF(SUMPRODUCT(--ISNUMBER(SEARCH('National Domains'!$A$2:$A$48,L511)))&gt;0,"Yes","No")</f>
        <v>Yes</v>
      </c>
      <c r="R511" s="2" t="str">
        <f>IF(COUNTIFS(Calibration!$A:$A,A511,Calibration!$B:$B,B511)&gt;0,"Yes","No")</f>
        <v>No</v>
      </c>
      <c r="S511" s="6"/>
    </row>
    <row r="512" spans="1:19" ht="34.5" customHeight="1" x14ac:dyDescent="0.2">
      <c r="A512" s="2">
        <v>146</v>
      </c>
      <c r="B512" s="2">
        <v>22</v>
      </c>
      <c r="C512" s="2" t="s">
        <v>284</v>
      </c>
      <c r="D512" s="2" t="s">
        <v>25</v>
      </c>
      <c r="E512" s="2">
        <v>20160812</v>
      </c>
      <c r="F512" s="2">
        <v>20160815</v>
      </c>
      <c r="G512" s="2">
        <v>13300</v>
      </c>
      <c r="H512" s="2">
        <v>10000</v>
      </c>
      <c r="I512" s="2">
        <v>13</v>
      </c>
      <c r="J512" s="2" t="s">
        <v>46</v>
      </c>
      <c r="K512" s="2" t="s">
        <v>41</v>
      </c>
      <c r="L512" s="2" t="s">
        <v>2002</v>
      </c>
      <c r="M512" s="7" t="s">
        <v>2003</v>
      </c>
      <c r="N512" s="7" t="s">
        <v>2004</v>
      </c>
      <c r="O512" s="2"/>
      <c r="P512" s="2"/>
      <c r="Q512" s="2" t="str">
        <f>IF(SUMPRODUCT(--ISNUMBER(SEARCH('National Domains'!$A$2:$A$48,L512)))&gt;0,"Yes","No")</f>
        <v>Yes</v>
      </c>
      <c r="R512" s="2" t="str">
        <f>IF(COUNTIFS(Calibration!$A:$A,A512,Calibration!$B:$B,B512)&gt;0,"Yes","No")</f>
        <v>No</v>
      </c>
      <c r="S512" s="6"/>
    </row>
    <row r="513" spans="1:19" ht="34.5" customHeight="1" x14ac:dyDescent="0.2">
      <c r="A513" s="4">
        <v>146</v>
      </c>
      <c r="B513" s="4">
        <v>23</v>
      </c>
      <c r="C513" s="4" t="s">
        <v>284</v>
      </c>
      <c r="D513" s="4" t="s">
        <v>25</v>
      </c>
      <c r="E513" s="4">
        <v>20160812</v>
      </c>
      <c r="F513" s="4">
        <v>20160815</v>
      </c>
      <c r="G513" s="4">
        <v>13300</v>
      </c>
      <c r="H513" s="4">
        <v>10000</v>
      </c>
      <c r="I513" s="4">
        <v>13</v>
      </c>
      <c r="J513" s="4" t="s">
        <v>46</v>
      </c>
      <c r="K513" s="4" t="s">
        <v>41</v>
      </c>
      <c r="L513" s="4" t="s">
        <v>2005</v>
      </c>
      <c r="M513" s="5" t="s">
        <v>2006</v>
      </c>
      <c r="N513" s="5" t="s">
        <v>2007</v>
      </c>
      <c r="O513" s="4"/>
      <c r="P513" s="4"/>
      <c r="Q513" s="4" t="str">
        <f>IF(SUMPRODUCT(--ISNUMBER(SEARCH('National Domains'!$A$2:$A$48,L513)))&gt;0,"Yes","No")</f>
        <v>Yes</v>
      </c>
      <c r="R513" s="4" t="str">
        <f>IF(COUNTIFS(Calibration!$A:$A,A513,Calibration!$B:$B,B513)&gt;0,"Yes","No")</f>
        <v>Yes</v>
      </c>
      <c r="S513" s="6"/>
    </row>
    <row r="514" spans="1:19" ht="34.5" customHeight="1" x14ac:dyDescent="0.2">
      <c r="A514" s="2">
        <v>147</v>
      </c>
      <c r="B514" s="2">
        <v>1</v>
      </c>
      <c r="C514" s="2" t="s">
        <v>285</v>
      </c>
      <c r="D514" s="2" t="s">
        <v>39</v>
      </c>
      <c r="E514" s="2">
        <v>20161008</v>
      </c>
      <c r="F514" s="2">
        <v>20161012</v>
      </c>
      <c r="G514" s="2">
        <v>13100</v>
      </c>
      <c r="H514" s="2">
        <v>10000</v>
      </c>
      <c r="I514" s="2">
        <v>49</v>
      </c>
      <c r="J514" s="2" t="s">
        <v>78</v>
      </c>
      <c r="K514" s="2" t="s">
        <v>27</v>
      </c>
      <c r="L514" s="2" t="s">
        <v>2008</v>
      </c>
      <c r="M514" s="7" t="s">
        <v>2009</v>
      </c>
      <c r="N514" s="7" t="s">
        <v>2010</v>
      </c>
      <c r="O514" s="2"/>
      <c r="P514" s="2"/>
      <c r="Q514" s="2" t="str">
        <f>IF(SUMPRODUCT(--ISNUMBER(SEARCH('National Domains'!$A$2:$A$48,L514)))&gt;0,"Yes","No")</f>
        <v>No</v>
      </c>
      <c r="R514" s="2" t="str">
        <f>IF(COUNTIFS(Calibration!$A:$A,A514,Calibration!$B:$B,B514)&gt;0,"Yes","No")</f>
        <v>No</v>
      </c>
      <c r="S514" s="6"/>
    </row>
    <row r="515" spans="1:19" ht="34.5" customHeight="1" x14ac:dyDescent="0.2">
      <c r="A515" s="2">
        <v>147</v>
      </c>
      <c r="B515" s="2">
        <v>2</v>
      </c>
      <c r="C515" s="2" t="s">
        <v>285</v>
      </c>
      <c r="D515" s="2" t="s">
        <v>39</v>
      </c>
      <c r="E515" s="2">
        <v>20161008</v>
      </c>
      <c r="F515" s="2">
        <v>20161012</v>
      </c>
      <c r="G515" s="2">
        <v>13100</v>
      </c>
      <c r="H515" s="2">
        <v>10000</v>
      </c>
      <c r="I515" s="2">
        <v>49</v>
      </c>
      <c r="J515" s="2" t="s">
        <v>78</v>
      </c>
      <c r="K515" s="2" t="s">
        <v>27</v>
      </c>
      <c r="L515" s="2" t="s">
        <v>2011</v>
      </c>
      <c r="M515" s="7" t="s">
        <v>2012</v>
      </c>
      <c r="N515" s="7" t="s">
        <v>2013</v>
      </c>
      <c r="O515" s="2"/>
      <c r="P515" s="2"/>
      <c r="Q515" s="2" t="str">
        <f>IF(SUMPRODUCT(--ISNUMBER(SEARCH('National Domains'!$A$2:$A$48,L515)))&gt;0,"Yes","No")</f>
        <v>No</v>
      </c>
      <c r="R515" s="2" t="str">
        <f>IF(COUNTIFS(Calibration!$A:$A,A515,Calibration!$B:$B,B515)&gt;0,"Yes","No")</f>
        <v>No</v>
      </c>
      <c r="S515" s="6"/>
    </row>
    <row r="516" spans="1:19" ht="34.5" customHeight="1" x14ac:dyDescent="0.2">
      <c r="A516" s="2">
        <v>147</v>
      </c>
      <c r="B516" s="2">
        <v>3</v>
      </c>
      <c r="C516" s="2" t="s">
        <v>285</v>
      </c>
      <c r="D516" s="2" t="s">
        <v>39</v>
      </c>
      <c r="E516" s="2">
        <v>20161008</v>
      </c>
      <c r="F516" s="2">
        <v>20161012</v>
      </c>
      <c r="G516" s="2">
        <v>13100</v>
      </c>
      <c r="H516" s="2">
        <v>10000</v>
      </c>
      <c r="I516" s="2">
        <v>49</v>
      </c>
      <c r="J516" s="2" t="s">
        <v>78</v>
      </c>
      <c r="K516" s="2" t="s">
        <v>27</v>
      </c>
      <c r="L516" s="2" t="s">
        <v>2014</v>
      </c>
      <c r="M516" s="7" t="s">
        <v>2015</v>
      </c>
      <c r="N516" s="7" t="s">
        <v>2016</v>
      </c>
      <c r="O516" s="2"/>
      <c r="P516" s="2"/>
      <c r="Q516" s="2" t="str">
        <f>IF(SUMPRODUCT(--ISNUMBER(SEARCH('National Domains'!$A$2:$A$48,L516)))&gt;0,"Yes","No")</f>
        <v>No</v>
      </c>
      <c r="R516" s="2" t="str">
        <f>IF(COUNTIFS(Calibration!$A:$A,A516,Calibration!$B:$B,B516)&gt;0,"Yes","No")</f>
        <v>No</v>
      </c>
      <c r="S516" s="6"/>
    </row>
    <row r="517" spans="1:19" ht="34.5" customHeight="1" x14ac:dyDescent="0.2">
      <c r="A517" s="2">
        <v>147</v>
      </c>
      <c r="B517" s="2">
        <v>4</v>
      </c>
      <c r="C517" s="2" t="s">
        <v>285</v>
      </c>
      <c r="D517" s="2" t="s">
        <v>39</v>
      </c>
      <c r="E517" s="2">
        <v>20161008</v>
      </c>
      <c r="F517" s="2">
        <v>20161012</v>
      </c>
      <c r="G517" s="2">
        <v>13100</v>
      </c>
      <c r="H517" s="2">
        <v>10000</v>
      </c>
      <c r="I517" s="2">
        <v>49</v>
      </c>
      <c r="J517" s="2" t="s">
        <v>78</v>
      </c>
      <c r="K517" s="2" t="s">
        <v>27</v>
      </c>
      <c r="L517" s="2" t="s">
        <v>2017</v>
      </c>
      <c r="M517" s="7" t="s">
        <v>2018</v>
      </c>
      <c r="N517" s="7" t="s">
        <v>2019</v>
      </c>
      <c r="O517" s="2"/>
      <c r="P517" s="2"/>
      <c r="Q517" s="2" t="str">
        <f>IF(SUMPRODUCT(--ISNUMBER(SEARCH('National Domains'!$A$2:$A$48,L517)))&gt;0,"Yes","No")</f>
        <v>No</v>
      </c>
      <c r="R517" s="2" t="str">
        <f>IF(COUNTIFS(Calibration!$A:$A,A517,Calibration!$B:$B,B517)&gt;0,"Yes","No")</f>
        <v>No</v>
      </c>
      <c r="S517" s="6"/>
    </row>
    <row r="518" spans="1:19" ht="34.5" customHeight="1" x14ac:dyDescent="0.2">
      <c r="A518" s="2">
        <v>147</v>
      </c>
      <c r="B518" s="2">
        <v>5</v>
      </c>
      <c r="C518" s="2" t="s">
        <v>285</v>
      </c>
      <c r="D518" s="2" t="s">
        <v>39</v>
      </c>
      <c r="E518" s="2">
        <v>20161008</v>
      </c>
      <c r="F518" s="2">
        <v>20161012</v>
      </c>
      <c r="G518" s="2">
        <v>13100</v>
      </c>
      <c r="H518" s="2">
        <v>10000</v>
      </c>
      <c r="I518" s="2">
        <v>49</v>
      </c>
      <c r="J518" s="2" t="s">
        <v>78</v>
      </c>
      <c r="K518" s="2" t="s">
        <v>27</v>
      </c>
      <c r="L518" s="2" t="s">
        <v>2020</v>
      </c>
      <c r="M518" s="7" t="s">
        <v>2021</v>
      </c>
      <c r="N518" s="7" t="s">
        <v>2022</v>
      </c>
      <c r="O518" s="2"/>
      <c r="P518" s="2"/>
      <c r="Q518" s="2" t="str">
        <f>IF(SUMPRODUCT(--ISNUMBER(SEARCH('National Domains'!$A$2:$A$48,L518)))&gt;0,"Yes","No")</f>
        <v>No</v>
      </c>
      <c r="R518" s="2" t="str">
        <f>IF(COUNTIFS(Calibration!$A:$A,A518,Calibration!$B:$B,B518)&gt;0,"Yes","No")</f>
        <v>No</v>
      </c>
      <c r="S518" s="6"/>
    </row>
    <row r="519" spans="1:19" ht="34.5" customHeight="1" x14ac:dyDescent="0.2">
      <c r="A519" s="2">
        <v>147</v>
      </c>
      <c r="B519" s="2">
        <v>6</v>
      </c>
      <c r="C519" s="2" t="s">
        <v>285</v>
      </c>
      <c r="D519" s="2" t="s">
        <v>39</v>
      </c>
      <c r="E519" s="2">
        <v>20161008</v>
      </c>
      <c r="F519" s="2">
        <v>20161012</v>
      </c>
      <c r="G519" s="2">
        <v>13100</v>
      </c>
      <c r="H519" s="2">
        <v>10000</v>
      </c>
      <c r="I519" s="2">
        <v>49</v>
      </c>
      <c r="J519" s="2" t="s">
        <v>78</v>
      </c>
      <c r="K519" s="2" t="s">
        <v>27</v>
      </c>
      <c r="L519" s="2" t="s">
        <v>2023</v>
      </c>
      <c r="M519" s="7" t="s">
        <v>2024</v>
      </c>
      <c r="N519" s="7" t="s">
        <v>2025</v>
      </c>
      <c r="O519" s="2"/>
      <c r="P519" s="2"/>
      <c r="Q519" s="2" t="str">
        <f>IF(SUMPRODUCT(--ISNUMBER(SEARCH('National Domains'!$A$2:$A$48,L519)))&gt;0,"Yes","No")</f>
        <v>No</v>
      </c>
      <c r="R519" s="2" t="str">
        <f>IF(COUNTIFS(Calibration!$A:$A,A519,Calibration!$B:$B,B519)&gt;0,"Yes","No")</f>
        <v>No</v>
      </c>
      <c r="S519" s="6"/>
    </row>
    <row r="520" spans="1:19" ht="34.5" customHeight="1" x14ac:dyDescent="0.2">
      <c r="A520" s="2">
        <v>147</v>
      </c>
      <c r="B520" s="2">
        <v>7</v>
      </c>
      <c r="C520" s="2" t="s">
        <v>285</v>
      </c>
      <c r="D520" s="2" t="s">
        <v>39</v>
      </c>
      <c r="E520" s="2">
        <v>20161008</v>
      </c>
      <c r="F520" s="2">
        <v>20161012</v>
      </c>
      <c r="G520" s="2">
        <v>13100</v>
      </c>
      <c r="H520" s="2">
        <v>10000</v>
      </c>
      <c r="I520" s="2">
        <v>49</v>
      </c>
      <c r="J520" s="2" t="s">
        <v>78</v>
      </c>
      <c r="K520" s="2" t="s">
        <v>27</v>
      </c>
      <c r="L520" s="2" t="s">
        <v>2026</v>
      </c>
      <c r="M520" s="7" t="s">
        <v>2027</v>
      </c>
      <c r="N520" s="7" t="s">
        <v>2028</v>
      </c>
      <c r="O520" s="2"/>
      <c r="P520" s="2"/>
      <c r="Q520" s="2" t="str">
        <f>IF(SUMPRODUCT(--ISNUMBER(SEARCH('National Domains'!$A$2:$A$48,L520)))&gt;0,"Yes","No")</f>
        <v>No</v>
      </c>
      <c r="R520" s="2" t="str">
        <f>IF(COUNTIFS(Calibration!$A:$A,A520,Calibration!$B:$B,B520)&gt;0,"Yes","No")</f>
        <v>No</v>
      </c>
      <c r="S520" s="6"/>
    </row>
    <row r="521" spans="1:19" ht="34.5" customHeight="1" x14ac:dyDescent="0.2">
      <c r="A521" s="2">
        <v>147</v>
      </c>
      <c r="B521" s="2">
        <v>8</v>
      </c>
      <c r="C521" s="2" t="s">
        <v>285</v>
      </c>
      <c r="D521" s="2" t="s">
        <v>39</v>
      </c>
      <c r="E521" s="2">
        <v>20161008</v>
      </c>
      <c r="F521" s="2">
        <v>20161012</v>
      </c>
      <c r="G521" s="2">
        <v>13100</v>
      </c>
      <c r="H521" s="2">
        <v>10000</v>
      </c>
      <c r="I521" s="2">
        <v>49</v>
      </c>
      <c r="J521" s="2" t="s">
        <v>78</v>
      </c>
      <c r="K521" s="2" t="s">
        <v>27</v>
      </c>
      <c r="L521" s="2" t="s">
        <v>2029</v>
      </c>
      <c r="M521" s="7" t="s">
        <v>2030</v>
      </c>
      <c r="N521" s="7" t="s">
        <v>2031</v>
      </c>
      <c r="O521" s="2"/>
      <c r="P521" s="2"/>
      <c r="Q521" s="2" t="str">
        <f>IF(SUMPRODUCT(--ISNUMBER(SEARCH('National Domains'!$A$2:$A$48,L521)))&gt;0,"Yes","No")</f>
        <v>Yes</v>
      </c>
      <c r="R521" s="2" t="str">
        <f>IF(COUNTIFS(Calibration!$A:$A,A521,Calibration!$B:$B,B521)&gt;0,"Yes","No")</f>
        <v>No</v>
      </c>
      <c r="S521" s="6"/>
    </row>
    <row r="522" spans="1:19" ht="34.5" customHeight="1" x14ac:dyDescent="0.2">
      <c r="A522" s="2">
        <v>147</v>
      </c>
      <c r="B522" s="2">
        <v>9</v>
      </c>
      <c r="C522" s="2" t="s">
        <v>285</v>
      </c>
      <c r="D522" s="2" t="s">
        <v>39</v>
      </c>
      <c r="E522" s="2">
        <v>20161008</v>
      </c>
      <c r="F522" s="2">
        <v>20161012</v>
      </c>
      <c r="G522" s="2">
        <v>13100</v>
      </c>
      <c r="H522" s="2">
        <v>10000</v>
      </c>
      <c r="I522" s="2">
        <v>49</v>
      </c>
      <c r="J522" s="2" t="s">
        <v>78</v>
      </c>
      <c r="K522" s="2" t="s">
        <v>27</v>
      </c>
      <c r="L522" s="2" t="s">
        <v>2032</v>
      </c>
      <c r="M522" s="7" t="s">
        <v>2033</v>
      </c>
      <c r="N522" s="7" t="s">
        <v>2034</v>
      </c>
      <c r="O522" s="2"/>
      <c r="P522" s="2"/>
      <c r="Q522" s="2" t="str">
        <f>IF(SUMPRODUCT(--ISNUMBER(SEARCH('National Domains'!$A$2:$A$48,L522)))&gt;0,"Yes","No")</f>
        <v>Yes</v>
      </c>
      <c r="R522" s="2" t="str">
        <f>IF(COUNTIFS(Calibration!$A:$A,A522,Calibration!$B:$B,B522)&gt;0,"Yes","No")</f>
        <v>No</v>
      </c>
      <c r="S522" s="6"/>
    </row>
    <row r="523" spans="1:19" ht="34.5" customHeight="1" x14ac:dyDescent="0.2">
      <c r="A523" s="2">
        <v>147</v>
      </c>
      <c r="B523" s="2">
        <v>10</v>
      </c>
      <c r="C523" s="2" t="s">
        <v>285</v>
      </c>
      <c r="D523" s="2" t="s">
        <v>39</v>
      </c>
      <c r="E523" s="2">
        <v>20161008</v>
      </c>
      <c r="F523" s="2">
        <v>20161012</v>
      </c>
      <c r="G523" s="2">
        <v>13100</v>
      </c>
      <c r="H523" s="2">
        <v>10000</v>
      </c>
      <c r="I523" s="2">
        <v>49</v>
      </c>
      <c r="J523" s="2" t="s">
        <v>78</v>
      </c>
      <c r="K523" s="2" t="s">
        <v>27</v>
      </c>
      <c r="L523" s="2" t="s">
        <v>2035</v>
      </c>
      <c r="M523" s="7" t="s">
        <v>2036</v>
      </c>
      <c r="N523" s="7" t="s">
        <v>2037</v>
      </c>
      <c r="O523" s="2"/>
      <c r="P523" s="2"/>
      <c r="Q523" s="2" t="str">
        <f>IF(SUMPRODUCT(--ISNUMBER(SEARCH('National Domains'!$A$2:$A$48,L523)))&gt;0,"Yes","No")</f>
        <v>Yes</v>
      </c>
      <c r="R523" s="2" t="str">
        <f>IF(COUNTIFS(Calibration!$A:$A,A523,Calibration!$B:$B,B523)&gt;0,"Yes","No")</f>
        <v>No</v>
      </c>
      <c r="S523" s="6"/>
    </row>
    <row r="524" spans="1:19" ht="34.5" customHeight="1" x14ac:dyDescent="0.2">
      <c r="A524" s="2">
        <v>147</v>
      </c>
      <c r="B524" s="2">
        <v>11</v>
      </c>
      <c r="C524" s="2" t="s">
        <v>285</v>
      </c>
      <c r="D524" s="2" t="s">
        <v>39</v>
      </c>
      <c r="E524" s="2">
        <v>20161008</v>
      </c>
      <c r="F524" s="2">
        <v>20161012</v>
      </c>
      <c r="G524" s="2">
        <v>13100</v>
      </c>
      <c r="H524" s="2">
        <v>10000</v>
      </c>
      <c r="I524" s="2">
        <v>49</v>
      </c>
      <c r="J524" s="2" t="s">
        <v>78</v>
      </c>
      <c r="K524" s="2" t="s">
        <v>27</v>
      </c>
      <c r="L524" s="2" t="s">
        <v>2038</v>
      </c>
      <c r="M524" s="7" t="s">
        <v>2039</v>
      </c>
      <c r="N524" s="7" t="s">
        <v>2040</v>
      </c>
      <c r="O524" s="2"/>
      <c r="P524" s="2"/>
      <c r="Q524" s="2" t="str">
        <f>IF(SUMPRODUCT(--ISNUMBER(SEARCH('National Domains'!$A$2:$A$48,L524)))&gt;0,"Yes","No")</f>
        <v>Yes</v>
      </c>
      <c r="R524" s="2" t="str">
        <f>IF(COUNTIFS(Calibration!$A:$A,A524,Calibration!$B:$B,B524)&gt;0,"Yes","No")</f>
        <v>No</v>
      </c>
      <c r="S524" s="6"/>
    </row>
    <row r="525" spans="1:19" ht="34.5" customHeight="1" x14ac:dyDescent="0.2">
      <c r="A525" s="2">
        <v>147</v>
      </c>
      <c r="B525" s="2">
        <v>12</v>
      </c>
      <c r="C525" s="2" t="s">
        <v>285</v>
      </c>
      <c r="D525" s="2" t="s">
        <v>39</v>
      </c>
      <c r="E525" s="2">
        <v>20161008</v>
      </c>
      <c r="F525" s="2">
        <v>20161012</v>
      </c>
      <c r="G525" s="2">
        <v>13100</v>
      </c>
      <c r="H525" s="2">
        <v>10000</v>
      </c>
      <c r="I525" s="2">
        <v>49</v>
      </c>
      <c r="J525" s="2" t="s">
        <v>78</v>
      </c>
      <c r="K525" s="2" t="s">
        <v>27</v>
      </c>
      <c r="L525" s="2" t="s">
        <v>2041</v>
      </c>
      <c r="M525" s="7" t="s">
        <v>2042</v>
      </c>
      <c r="N525" s="7" t="s">
        <v>2043</v>
      </c>
      <c r="O525" s="2"/>
      <c r="P525" s="2"/>
      <c r="Q525" s="2" t="str">
        <f>IF(SUMPRODUCT(--ISNUMBER(SEARCH('National Domains'!$A$2:$A$48,L525)))&gt;0,"Yes","No")</f>
        <v>Yes</v>
      </c>
      <c r="R525" s="2" t="str">
        <f>IF(COUNTIFS(Calibration!$A:$A,A525,Calibration!$B:$B,B525)&gt;0,"Yes","No")</f>
        <v>No</v>
      </c>
      <c r="S525" s="6"/>
    </row>
    <row r="526" spans="1:19" ht="23.25" customHeight="1" x14ac:dyDescent="0.2">
      <c r="A526" s="2">
        <v>147</v>
      </c>
      <c r="B526" s="2">
        <v>13</v>
      </c>
      <c r="C526" s="2" t="s">
        <v>285</v>
      </c>
      <c r="D526" s="2" t="s">
        <v>39</v>
      </c>
      <c r="E526" s="2">
        <v>20161008</v>
      </c>
      <c r="F526" s="2">
        <v>20161012</v>
      </c>
      <c r="G526" s="2">
        <v>13100</v>
      </c>
      <c r="H526" s="2">
        <v>10000</v>
      </c>
      <c r="I526" s="2">
        <v>49</v>
      </c>
      <c r="J526" s="2" t="s">
        <v>78</v>
      </c>
      <c r="K526" s="2" t="s">
        <v>27</v>
      </c>
      <c r="L526" s="2" t="s">
        <v>2044</v>
      </c>
      <c r="M526" s="7" t="s">
        <v>2045</v>
      </c>
      <c r="N526" s="7" t="s">
        <v>2046</v>
      </c>
      <c r="O526" s="2"/>
      <c r="P526" s="2"/>
      <c r="Q526" s="2" t="str">
        <f>IF(SUMPRODUCT(--ISNUMBER(SEARCH('National Domains'!$A$2:$A$48,L526)))&gt;0,"Yes","No")</f>
        <v>Yes</v>
      </c>
      <c r="R526" s="2" t="str">
        <f>IF(COUNTIFS(Calibration!$A:$A,A526,Calibration!$B:$B,B526)&gt;0,"Yes","No")</f>
        <v>No</v>
      </c>
      <c r="S526" s="6"/>
    </row>
    <row r="527" spans="1:19" ht="34.5" customHeight="1" x14ac:dyDescent="0.2">
      <c r="A527" s="2">
        <v>147</v>
      </c>
      <c r="B527" s="2">
        <v>14</v>
      </c>
      <c r="C527" s="2" t="s">
        <v>285</v>
      </c>
      <c r="D527" s="2" t="s">
        <v>39</v>
      </c>
      <c r="E527" s="2">
        <v>20161008</v>
      </c>
      <c r="F527" s="2">
        <v>20161012</v>
      </c>
      <c r="G527" s="2">
        <v>13100</v>
      </c>
      <c r="H527" s="2">
        <v>10000</v>
      </c>
      <c r="I527" s="2">
        <v>49</v>
      </c>
      <c r="J527" s="2" t="s">
        <v>78</v>
      </c>
      <c r="K527" s="2" t="s">
        <v>27</v>
      </c>
      <c r="L527" s="2" t="s">
        <v>2047</v>
      </c>
      <c r="M527" s="7" t="s">
        <v>2048</v>
      </c>
      <c r="N527" s="7" t="s">
        <v>2049</v>
      </c>
      <c r="O527" s="2"/>
      <c r="P527" s="2"/>
      <c r="Q527" s="2" t="str">
        <f>IF(SUMPRODUCT(--ISNUMBER(SEARCH('National Domains'!$A$2:$A$48,L527)))&gt;0,"Yes","No")</f>
        <v>Yes</v>
      </c>
      <c r="R527" s="2" t="str">
        <f>IF(COUNTIFS(Calibration!$A:$A,A527,Calibration!$B:$B,B527)&gt;0,"Yes","No")</f>
        <v>No</v>
      </c>
      <c r="S527" s="6"/>
    </row>
    <row r="528" spans="1:19" ht="34.5" customHeight="1" x14ac:dyDescent="0.2">
      <c r="A528" s="2">
        <v>147</v>
      </c>
      <c r="B528" s="2">
        <v>15</v>
      </c>
      <c r="C528" s="2" t="s">
        <v>285</v>
      </c>
      <c r="D528" s="2" t="s">
        <v>39</v>
      </c>
      <c r="E528" s="2">
        <v>20161008</v>
      </c>
      <c r="F528" s="2">
        <v>20161012</v>
      </c>
      <c r="G528" s="2">
        <v>13100</v>
      </c>
      <c r="H528" s="2">
        <v>10000</v>
      </c>
      <c r="I528" s="2">
        <v>49</v>
      </c>
      <c r="J528" s="2" t="s">
        <v>78</v>
      </c>
      <c r="K528" s="2" t="s">
        <v>27</v>
      </c>
      <c r="L528" s="2" t="s">
        <v>2050</v>
      </c>
      <c r="M528" s="7" t="s">
        <v>2051</v>
      </c>
      <c r="N528" s="7" t="s">
        <v>2052</v>
      </c>
      <c r="O528" s="2"/>
      <c r="P528" s="2"/>
      <c r="Q528" s="2" t="str">
        <f>IF(SUMPRODUCT(--ISNUMBER(SEARCH('National Domains'!$A$2:$A$48,L528)))&gt;0,"Yes","No")</f>
        <v>Yes</v>
      </c>
      <c r="R528" s="2" t="str">
        <f>IF(COUNTIFS(Calibration!$A:$A,A528,Calibration!$B:$B,B528)&gt;0,"Yes","No")</f>
        <v>No</v>
      </c>
      <c r="S528" s="6"/>
    </row>
    <row r="529" spans="1:19" ht="34.5" customHeight="1" x14ac:dyDescent="0.2">
      <c r="A529" s="2">
        <v>148</v>
      </c>
      <c r="B529" s="2">
        <v>1</v>
      </c>
      <c r="C529" s="2" t="s">
        <v>286</v>
      </c>
      <c r="D529" s="2" t="s">
        <v>21</v>
      </c>
      <c r="E529" s="2">
        <v>20160601</v>
      </c>
      <c r="F529" s="2">
        <v>20161231</v>
      </c>
      <c r="G529" s="2">
        <v>3137.5</v>
      </c>
      <c r="H529" s="2">
        <v>2395</v>
      </c>
      <c r="I529" s="2">
        <v>21</v>
      </c>
      <c r="J529" s="2" t="s">
        <v>287</v>
      </c>
      <c r="K529" s="2" t="s">
        <v>288</v>
      </c>
      <c r="L529" s="2" t="s">
        <v>2053</v>
      </c>
      <c r="M529" s="7" t="s">
        <v>2054</v>
      </c>
      <c r="N529" s="7" t="s">
        <v>2055</v>
      </c>
      <c r="O529" s="2"/>
      <c r="P529" s="2"/>
      <c r="Q529" s="2" t="str">
        <f>IF(SUMPRODUCT(--ISNUMBER(SEARCH('National Domains'!$A$2:$A$48,L529)))&gt;0,"Yes","No")</f>
        <v>No</v>
      </c>
      <c r="R529" s="2" t="str">
        <f>IF(COUNTIFS(Calibration!$A:$A,A529,Calibration!$B:$B,B529)&gt;0,"Yes","No")</f>
        <v>No</v>
      </c>
      <c r="S529" s="6"/>
    </row>
    <row r="530" spans="1:19" ht="34.5" customHeight="1" x14ac:dyDescent="0.2">
      <c r="A530" s="2">
        <v>148</v>
      </c>
      <c r="B530" s="2">
        <v>2</v>
      </c>
      <c r="C530" s="2" t="s">
        <v>286</v>
      </c>
      <c r="D530" s="2" t="s">
        <v>21</v>
      </c>
      <c r="E530" s="2">
        <v>20160601</v>
      </c>
      <c r="F530" s="2">
        <v>20161231</v>
      </c>
      <c r="G530" s="2">
        <v>3137.5</v>
      </c>
      <c r="H530" s="2">
        <v>2395</v>
      </c>
      <c r="I530" s="2">
        <v>21</v>
      </c>
      <c r="J530" s="2" t="s">
        <v>287</v>
      </c>
      <c r="K530" s="2" t="s">
        <v>288</v>
      </c>
      <c r="L530" s="2" t="s">
        <v>2056</v>
      </c>
      <c r="M530" s="7" t="s">
        <v>2057</v>
      </c>
      <c r="N530" s="7" t="s">
        <v>2058</v>
      </c>
      <c r="O530" s="2"/>
      <c r="P530" s="2"/>
      <c r="Q530" s="2" t="str">
        <f>IF(SUMPRODUCT(--ISNUMBER(SEARCH('National Domains'!$A$2:$A$48,L530)))&gt;0,"Yes","No")</f>
        <v>No</v>
      </c>
      <c r="R530" s="2" t="str">
        <f>IF(COUNTIFS(Calibration!$A:$A,A530,Calibration!$B:$B,B530)&gt;0,"Yes","No")</f>
        <v>No</v>
      </c>
      <c r="S530" s="6"/>
    </row>
    <row r="531" spans="1:19" ht="34.5" customHeight="1" x14ac:dyDescent="0.2">
      <c r="A531" s="2">
        <v>148</v>
      </c>
      <c r="B531" s="2">
        <v>3</v>
      </c>
      <c r="C531" s="2" t="s">
        <v>286</v>
      </c>
      <c r="D531" s="2" t="s">
        <v>21</v>
      </c>
      <c r="E531" s="2">
        <v>20160601</v>
      </c>
      <c r="F531" s="2">
        <v>20161231</v>
      </c>
      <c r="G531" s="2">
        <v>3137.5</v>
      </c>
      <c r="H531" s="2">
        <v>2395</v>
      </c>
      <c r="I531" s="2">
        <v>21</v>
      </c>
      <c r="J531" s="2" t="s">
        <v>287</v>
      </c>
      <c r="K531" s="2" t="s">
        <v>288</v>
      </c>
      <c r="L531" s="2" t="s">
        <v>2059</v>
      </c>
      <c r="M531" s="7" t="s">
        <v>2060</v>
      </c>
      <c r="N531" s="7" t="s">
        <v>2061</v>
      </c>
      <c r="O531" s="2"/>
      <c r="P531" s="2"/>
      <c r="Q531" s="2" t="str">
        <f>IF(SUMPRODUCT(--ISNUMBER(SEARCH('National Domains'!$A$2:$A$48,L531)))&gt;0,"Yes","No")</f>
        <v>No</v>
      </c>
      <c r="R531" s="2" t="str">
        <f>IF(COUNTIFS(Calibration!$A:$A,A531,Calibration!$B:$B,B531)&gt;0,"Yes","No")</f>
        <v>No</v>
      </c>
      <c r="S531" s="6"/>
    </row>
    <row r="532" spans="1:19" ht="34.5" customHeight="1" x14ac:dyDescent="0.2">
      <c r="A532" s="2">
        <v>148</v>
      </c>
      <c r="B532" s="2">
        <v>4</v>
      </c>
      <c r="C532" s="2" t="s">
        <v>286</v>
      </c>
      <c r="D532" s="2" t="s">
        <v>21</v>
      </c>
      <c r="E532" s="2">
        <v>20160601</v>
      </c>
      <c r="F532" s="2">
        <v>20161231</v>
      </c>
      <c r="G532" s="2">
        <v>3137.5</v>
      </c>
      <c r="H532" s="2">
        <v>2395</v>
      </c>
      <c r="I532" s="2">
        <v>21</v>
      </c>
      <c r="J532" s="2" t="s">
        <v>287</v>
      </c>
      <c r="K532" s="2" t="s">
        <v>288</v>
      </c>
      <c r="L532" s="2" t="s">
        <v>2062</v>
      </c>
      <c r="M532" s="7" t="s">
        <v>2063</v>
      </c>
      <c r="N532" s="7" t="s">
        <v>2064</v>
      </c>
      <c r="O532" s="2"/>
      <c r="P532" s="2"/>
      <c r="Q532" s="2" t="str">
        <f>IF(SUMPRODUCT(--ISNUMBER(SEARCH('National Domains'!$A$2:$A$48,L532)))&gt;0,"Yes","No")</f>
        <v>No</v>
      </c>
      <c r="R532" s="2" t="str">
        <f>IF(COUNTIFS(Calibration!$A:$A,A532,Calibration!$B:$B,B532)&gt;0,"Yes","No")</f>
        <v>No</v>
      </c>
      <c r="S532" s="6"/>
    </row>
    <row r="533" spans="1:19" ht="34.5" customHeight="1" x14ac:dyDescent="0.2">
      <c r="A533" s="2">
        <v>148</v>
      </c>
      <c r="B533" s="2">
        <v>5</v>
      </c>
      <c r="C533" s="2" t="s">
        <v>286</v>
      </c>
      <c r="D533" s="2" t="s">
        <v>21</v>
      </c>
      <c r="E533" s="2">
        <v>20160601</v>
      </c>
      <c r="F533" s="2">
        <v>20161231</v>
      </c>
      <c r="G533" s="2">
        <v>3137.5</v>
      </c>
      <c r="H533" s="2">
        <v>2395</v>
      </c>
      <c r="I533" s="2">
        <v>21</v>
      </c>
      <c r="J533" s="2" t="s">
        <v>287</v>
      </c>
      <c r="K533" s="2" t="s">
        <v>288</v>
      </c>
      <c r="L533" s="2" t="s">
        <v>2065</v>
      </c>
      <c r="M533" s="7" t="s">
        <v>2066</v>
      </c>
      <c r="N533" s="7" t="s">
        <v>2067</v>
      </c>
      <c r="O533" s="2"/>
      <c r="P533" s="2"/>
      <c r="Q533" s="2" t="str">
        <f>IF(SUMPRODUCT(--ISNUMBER(SEARCH('National Domains'!$A$2:$A$48,L533)))&gt;0,"Yes","No")</f>
        <v>No</v>
      </c>
      <c r="R533" s="2" t="str">
        <f>IF(COUNTIFS(Calibration!$A:$A,A533,Calibration!$B:$B,B533)&gt;0,"Yes","No")</f>
        <v>No</v>
      </c>
      <c r="S533" s="6"/>
    </row>
    <row r="534" spans="1:19" ht="34.5" customHeight="1" x14ac:dyDescent="0.2">
      <c r="A534" s="2">
        <v>148</v>
      </c>
      <c r="B534" s="2">
        <v>6</v>
      </c>
      <c r="C534" s="2" t="s">
        <v>286</v>
      </c>
      <c r="D534" s="2" t="s">
        <v>21</v>
      </c>
      <c r="E534" s="2">
        <v>20160601</v>
      </c>
      <c r="F534" s="2">
        <v>20161231</v>
      </c>
      <c r="G534" s="2">
        <v>3137.5</v>
      </c>
      <c r="H534" s="2">
        <v>2395</v>
      </c>
      <c r="I534" s="2">
        <v>21</v>
      </c>
      <c r="J534" s="2" t="s">
        <v>287</v>
      </c>
      <c r="K534" s="2" t="s">
        <v>288</v>
      </c>
      <c r="L534" s="2" t="s">
        <v>2068</v>
      </c>
      <c r="M534" s="7" t="s">
        <v>2069</v>
      </c>
      <c r="N534" s="7" t="s">
        <v>2070</v>
      </c>
      <c r="O534" s="2"/>
      <c r="P534" s="2"/>
      <c r="Q534" s="2" t="str">
        <f>IF(SUMPRODUCT(--ISNUMBER(SEARCH('National Domains'!$A$2:$A$48,L534)))&gt;0,"Yes","No")</f>
        <v>No</v>
      </c>
      <c r="R534" s="2" t="str">
        <f>IF(COUNTIFS(Calibration!$A:$A,A534,Calibration!$B:$B,B534)&gt;0,"Yes","No")</f>
        <v>No</v>
      </c>
      <c r="S534" s="6"/>
    </row>
    <row r="535" spans="1:19" ht="45.75" customHeight="1" x14ac:dyDescent="0.2">
      <c r="A535" s="2">
        <v>148</v>
      </c>
      <c r="B535" s="2">
        <v>7</v>
      </c>
      <c r="C535" s="2" t="s">
        <v>286</v>
      </c>
      <c r="D535" s="2" t="s">
        <v>21</v>
      </c>
      <c r="E535" s="2">
        <v>20160601</v>
      </c>
      <c r="F535" s="2">
        <v>20161231</v>
      </c>
      <c r="G535" s="2">
        <v>3137.5</v>
      </c>
      <c r="H535" s="2">
        <v>2395</v>
      </c>
      <c r="I535" s="2">
        <v>21</v>
      </c>
      <c r="J535" s="2" t="s">
        <v>287</v>
      </c>
      <c r="K535" s="2" t="s">
        <v>288</v>
      </c>
      <c r="L535" s="2" t="s">
        <v>2071</v>
      </c>
      <c r="M535" s="7" t="s">
        <v>2072</v>
      </c>
      <c r="N535" s="7" t="s">
        <v>2073</v>
      </c>
      <c r="O535" s="2"/>
      <c r="P535" s="2"/>
      <c r="Q535" s="2" t="str">
        <f>IF(SUMPRODUCT(--ISNUMBER(SEARCH('National Domains'!$A$2:$A$48,L535)))&gt;0,"Yes","No")</f>
        <v>No</v>
      </c>
      <c r="R535" s="2" t="str">
        <f>IF(COUNTIFS(Calibration!$A:$A,A535,Calibration!$B:$B,B535)&gt;0,"Yes","No")</f>
        <v>No</v>
      </c>
      <c r="S535" s="6"/>
    </row>
    <row r="536" spans="1:19" ht="34.5" customHeight="1" x14ac:dyDescent="0.2">
      <c r="A536" s="2">
        <v>148</v>
      </c>
      <c r="B536" s="2">
        <v>8</v>
      </c>
      <c r="C536" s="2" t="s">
        <v>286</v>
      </c>
      <c r="D536" s="2" t="s">
        <v>21</v>
      </c>
      <c r="E536" s="2">
        <v>20160601</v>
      </c>
      <c r="F536" s="2">
        <v>20161231</v>
      </c>
      <c r="G536" s="2">
        <v>3137.5</v>
      </c>
      <c r="H536" s="2">
        <v>2395</v>
      </c>
      <c r="I536" s="2">
        <v>21</v>
      </c>
      <c r="J536" s="2" t="s">
        <v>287</v>
      </c>
      <c r="K536" s="2" t="s">
        <v>288</v>
      </c>
      <c r="L536" s="2" t="s">
        <v>2074</v>
      </c>
      <c r="M536" s="7" t="s">
        <v>2075</v>
      </c>
      <c r="N536" s="7" t="s">
        <v>2076</v>
      </c>
      <c r="O536" s="2"/>
      <c r="P536" s="2"/>
      <c r="Q536" s="2" t="str">
        <f>IF(SUMPRODUCT(--ISNUMBER(SEARCH('National Domains'!$A$2:$A$48,L536)))&gt;0,"Yes","No")</f>
        <v>Yes</v>
      </c>
      <c r="R536" s="2" t="str">
        <f>IF(COUNTIFS(Calibration!$A:$A,A536,Calibration!$B:$B,B536)&gt;0,"Yes","No")</f>
        <v>No</v>
      </c>
      <c r="S536" s="6"/>
    </row>
    <row r="537" spans="1:19" ht="34.5" customHeight="1" x14ac:dyDescent="0.2">
      <c r="A537" s="2">
        <v>148</v>
      </c>
      <c r="B537" s="2">
        <v>9</v>
      </c>
      <c r="C537" s="2" t="s">
        <v>286</v>
      </c>
      <c r="D537" s="2" t="s">
        <v>21</v>
      </c>
      <c r="E537" s="2">
        <v>20160601</v>
      </c>
      <c r="F537" s="2">
        <v>20161231</v>
      </c>
      <c r="G537" s="2">
        <v>3137.5</v>
      </c>
      <c r="H537" s="2">
        <v>2395</v>
      </c>
      <c r="I537" s="2">
        <v>21</v>
      </c>
      <c r="J537" s="2" t="s">
        <v>287</v>
      </c>
      <c r="K537" s="2" t="s">
        <v>288</v>
      </c>
      <c r="L537" s="2" t="s">
        <v>2077</v>
      </c>
      <c r="M537" s="7" t="s">
        <v>2078</v>
      </c>
      <c r="N537" s="7" t="s">
        <v>2079</v>
      </c>
      <c r="O537" s="2"/>
      <c r="P537" s="2"/>
      <c r="Q537" s="2" t="str">
        <f>IF(SUMPRODUCT(--ISNUMBER(SEARCH('National Domains'!$A$2:$A$48,L537)))&gt;0,"Yes","No")</f>
        <v>Yes</v>
      </c>
      <c r="R537" s="2" t="str">
        <f>IF(COUNTIFS(Calibration!$A:$A,A537,Calibration!$B:$B,B537)&gt;0,"Yes","No")</f>
        <v>No</v>
      </c>
      <c r="S537" s="6"/>
    </row>
    <row r="538" spans="1:19" ht="34.5" customHeight="1" x14ac:dyDescent="0.2">
      <c r="A538" s="2">
        <v>148</v>
      </c>
      <c r="B538" s="2">
        <v>10</v>
      </c>
      <c r="C538" s="2" t="s">
        <v>286</v>
      </c>
      <c r="D538" s="2" t="s">
        <v>21</v>
      </c>
      <c r="E538" s="2">
        <v>20160601</v>
      </c>
      <c r="F538" s="2">
        <v>20161231</v>
      </c>
      <c r="G538" s="2">
        <v>3137.5</v>
      </c>
      <c r="H538" s="2">
        <v>2395</v>
      </c>
      <c r="I538" s="2">
        <v>21</v>
      </c>
      <c r="J538" s="2" t="s">
        <v>287</v>
      </c>
      <c r="K538" s="2" t="s">
        <v>288</v>
      </c>
      <c r="L538" s="2" t="s">
        <v>2080</v>
      </c>
      <c r="M538" s="7" t="s">
        <v>2057</v>
      </c>
      <c r="N538" s="7" t="s">
        <v>2081</v>
      </c>
      <c r="O538" s="2"/>
      <c r="P538" s="2"/>
      <c r="Q538" s="2" t="str">
        <f>IF(SUMPRODUCT(--ISNUMBER(SEARCH('National Domains'!$A$2:$A$48,L538)))&gt;0,"Yes","No")</f>
        <v>Yes</v>
      </c>
      <c r="R538" s="2" t="str">
        <f>IF(COUNTIFS(Calibration!$A:$A,A538,Calibration!$B:$B,B538)&gt;0,"Yes","No")</f>
        <v>No</v>
      </c>
      <c r="S538" s="6"/>
    </row>
    <row r="539" spans="1:19" ht="34.5" customHeight="1" x14ac:dyDescent="0.2">
      <c r="A539" s="2">
        <v>148</v>
      </c>
      <c r="B539" s="2">
        <v>11</v>
      </c>
      <c r="C539" s="2" t="s">
        <v>286</v>
      </c>
      <c r="D539" s="2" t="s">
        <v>21</v>
      </c>
      <c r="E539" s="2">
        <v>20160601</v>
      </c>
      <c r="F539" s="2">
        <v>20161231</v>
      </c>
      <c r="G539" s="2">
        <v>3137.5</v>
      </c>
      <c r="H539" s="2">
        <v>2395</v>
      </c>
      <c r="I539" s="2">
        <v>21</v>
      </c>
      <c r="J539" s="2" t="s">
        <v>287</v>
      </c>
      <c r="K539" s="2" t="s">
        <v>288</v>
      </c>
      <c r="L539" s="2" t="s">
        <v>2082</v>
      </c>
      <c r="M539" s="7" t="s">
        <v>2083</v>
      </c>
      <c r="N539" s="7" t="s">
        <v>2084</v>
      </c>
      <c r="O539" s="2"/>
      <c r="P539" s="2"/>
      <c r="Q539" s="2" t="str">
        <f>IF(SUMPRODUCT(--ISNUMBER(SEARCH('National Domains'!$A$2:$A$48,L539)))&gt;0,"Yes","No")</f>
        <v>No</v>
      </c>
      <c r="R539" s="2" t="str">
        <f>IF(COUNTIFS(Calibration!$A:$A,A539,Calibration!$B:$B,B539)&gt;0,"Yes","No")</f>
        <v>No</v>
      </c>
      <c r="S539" s="6"/>
    </row>
    <row r="540" spans="1:19" ht="34.5" customHeight="1" x14ac:dyDescent="0.2">
      <c r="A540" s="2">
        <v>148</v>
      </c>
      <c r="B540" s="2">
        <v>12</v>
      </c>
      <c r="C540" s="2" t="s">
        <v>286</v>
      </c>
      <c r="D540" s="2" t="s">
        <v>21</v>
      </c>
      <c r="E540" s="2">
        <v>20160601</v>
      </c>
      <c r="F540" s="2">
        <v>20161231</v>
      </c>
      <c r="G540" s="2">
        <v>3137.5</v>
      </c>
      <c r="H540" s="2">
        <v>2395</v>
      </c>
      <c r="I540" s="2">
        <v>21</v>
      </c>
      <c r="J540" s="2" t="s">
        <v>287</v>
      </c>
      <c r="K540" s="2" t="s">
        <v>288</v>
      </c>
      <c r="L540" s="2" t="s">
        <v>2085</v>
      </c>
      <c r="M540" s="7" t="s">
        <v>2086</v>
      </c>
      <c r="N540" s="7" t="s">
        <v>2087</v>
      </c>
      <c r="O540" s="2"/>
      <c r="P540" s="2"/>
      <c r="Q540" s="2" t="str">
        <f>IF(SUMPRODUCT(--ISNUMBER(SEARCH('National Domains'!$A$2:$A$48,L540)))&gt;0,"Yes","No")</f>
        <v>No</v>
      </c>
      <c r="R540" s="2" t="str">
        <f>IF(COUNTIFS(Calibration!$A:$A,A540,Calibration!$B:$B,B540)&gt;0,"Yes","No")</f>
        <v>No</v>
      </c>
      <c r="S540" s="6"/>
    </row>
    <row r="541" spans="1:19" ht="34.5" customHeight="1" x14ac:dyDescent="0.2">
      <c r="A541" s="2">
        <v>149</v>
      </c>
      <c r="B541" s="2">
        <v>1</v>
      </c>
      <c r="C541" s="2" t="s">
        <v>289</v>
      </c>
      <c r="D541" s="2" t="s">
        <v>29</v>
      </c>
      <c r="E541" s="2">
        <v>20160101</v>
      </c>
      <c r="F541" s="2">
        <v>20161231</v>
      </c>
      <c r="G541" s="2">
        <v>4580</v>
      </c>
      <c r="H541" s="2">
        <v>3443.5</v>
      </c>
      <c r="I541" s="2">
        <v>0</v>
      </c>
      <c r="J541" s="2" t="s">
        <v>290</v>
      </c>
      <c r="K541" s="2" t="s">
        <v>291</v>
      </c>
      <c r="L541" s="2" t="s">
        <v>2088</v>
      </c>
      <c r="M541" s="7" t="s">
        <v>2089</v>
      </c>
      <c r="N541" s="7" t="s">
        <v>2090</v>
      </c>
      <c r="O541" s="2"/>
      <c r="P541" s="2"/>
      <c r="Q541" s="2" t="str">
        <f>IF(SUMPRODUCT(--ISNUMBER(SEARCH('National Domains'!$A$2:$A$48,L541)))&gt;0,"Yes","No")</f>
        <v>No</v>
      </c>
      <c r="R541" s="2" t="str">
        <f>IF(COUNTIFS(Calibration!$A:$A,A541,Calibration!$B:$B,B541)&gt;0,"Yes","No")</f>
        <v>No</v>
      </c>
      <c r="S541" s="6"/>
    </row>
    <row r="542" spans="1:19" ht="34.5" customHeight="1" x14ac:dyDescent="0.2">
      <c r="A542" s="2">
        <v>149</v>
      </c>
      <c r="B542" s="2">
        <v>2</v>
      </c>
      <c r="C542" s="2" t="s">
        <v>289</v>
      </c>
      <c r="D542" s="2" t="s">
        <v>29</v>
      </c>
      <c r="E542" s="2">
        <v>20160101</v>
      </c>
      <c r="F542" s="2">
        <v>20161231</v>
      </c>
      <c r="G542" s="2">
        <v>4580</v>
      </c>
      <c r="H542" s="2">
        <v>3443.5</v>
      </c>
      <c r="I542" s="2">
        <v>0</v>
      </c>
      <c r="J542" s="2" t="s">
        <v>290</v>
      </c>
      <c r="K542" s="2" t="s">
        <v>291</v>
      </c>
      <c r="L542" s="2" t="s">
        <v>2071</v>
      </c>
      <c r="M542" s="7" t="s">
        <v>2072</v>
      </c>
      <c r="N542" s="7" t="s">
        <v>2091</v>
      </c>
      <c r="O542" s="2"/>
      <c r="P542" s="2"/>
      <c r="Q542" s="2" t="str">
        <f>IF(SUMPRODUCT(--ISNUMBER(SEARCH('National Domains'!$A$2:$A$48,L542)))&gt;0,"Yes","No")</f>
        <v>No</v>
      </c>
      <c r="R542" s="2" t="str">
        <f>IF(COUNTIFS(Calibration!$A:$A,A542,Calibration!$B:$B,B542)&gt;0,"Yes","No")</f>
        <v>No</v>
      </c>
      <c r="S542" s="6"/>
    </row>
    <row r="543" spans="1:19" ht="34.5" customHeight="1" x14ac:dyDescent="0.2">
      <c r="A543" s="2">
        <v>149</v>
      </c>
      <c r="B543" s="2">
        <v>3</v>
      </c>
      <c r="C543" s="2" t="s">
        <v>289</v>
      </c>
      <c r="D543" s="2" t="s">
        <v>29</v>
      </c>
      <c r="E543" s="2">
        <v>20160101</v>
      </c>
      <c r="F543" s="2">
        <v>20161231</v>
      </c>
      <c r="G543" s="2">
        <v>4580</v>
      </c>
      <c r="H543" s="2">
        <v>3443.5</v>
      </c>
      <c r="I543" s="2">
        <v>0</v>
      </c>
      <c r="J543" s="2" t="s">
        <v>290</v>
      </c>
      <c r="K543" s="2" t="s">
        <v>291</v>
      </c>
      <c r="L543" s="2" t="s">
        <v>2092</v>
      </c>
      <c r="M543" s="7" t="s">
        <v>2093</v>
      </c>
      <c r="N543" s="7" t="s">
        <v>2094</v>
      </c>
      <c r="O543" s="2"/>
      <c r="P543" s="2"/>
      <c r="Q543" s="2" t="str">
        <f>IF(SUMPRODUCT(--ISNUMBER(SEARCH('National Domains'!$A$2:$A$48,L543)))&gt;0,"Yes","No")</f>
        <v>Yes</v>
      </c>
      <c r="R543" s="2" t="str">
        <f>IF(COUNTIFS(Calibration!$A:$A,A543,Calibration!$B:$B,B543)&gt;0,"Yes","No")</f>
        <v>No</v>
      </c>
      <c r="S543" s="6"/>
    </row>
    <row r="544" spans="1:19" ht="23.25" customHeight="1" x14ac:dyDescent="0.2">
      <c r="A544" s="2">
        <v>149</v>
      </c>
      <c r="B544" s="2">
        <v>4</v>
      </c>
      <c r="C544" s="2" t="s">
        <v>289</v>
      </c>
      <c r="D544" s="2" t="s">
        <v>29</v>
      </c>
      <c r="E544" s="2">
        <v>20160101</v>
      </c>
      <c r="F544" s="2">
        <v>20161231</v>
      </c>
      <c r="G544" s="2">
        <v>4580</v>
      </c>
      <c r="H544" s="2">
        <v>3443.5</v>
      </c>
      <c r="I544" s="2">
        <v>0</v>
      </c>
      <c r="J544" s="2" t="s">
        <v>290</v>
      </c>
      <c r="K544" s="2" t="s">
        <v>291</v>
      </c>
      <c r="L544" s="2" t="s">
        <v>2095</v>
      </c>
      <c r="M544" s="7" t="s">
        <v>2096</v>
      </c>
      <c r="N544" s="7" t="s">
        <v>2097</v>
      </c>
      <c r="O544" s="2"/>
      <c r="P544" s="2"/>
      <c r="Q544" s="2" t="str">
        <f>IF(SUMPRODUCT(--ISNUMBER(SEARCH('National Domains'!$A$2:$A$48,L544)))&gt;0,"Yes","No")</f>
        <v>Yes</v>
      </c>
      <c r="R544" s="2" t="str">
        <f>IF(COUNTIFS(Calibration!$A:$A,A544,Calibration!$B:$B,B544)&gt;0,"Yes","No")</f>
        <v>No</v>
      </c>
      <c r="S544" s="6"/>
    </row>
    <row r="545" spans="1:19" ht="34.5" customHeight="1" x14ac:dyDescent="0.2">
      <c r="A545" s="2">
        <v>150</v>
      </c>
      <c r="B545" s="2">
        <v>1</v>
      </c>
      <c r="C545" s="2" t="s">
        <v>292</v>
      </c>
      <c r="D545" s="2" t="s">
        <v>17</v>
      </c>
      <c r="E545" s="2">
        <v>20170120</v>
      </c>
      <c r="F545" s="2">
        <v>20170122</v>
      </c>
      <c r="G545" s="2">
        <v>1436.5</v>
      </c>
      <c r="H545" s="2">
        <v>1105</v>
      </c>
      <c r="I545" s="2">
        <v>24</v>
      </c>
      <c r="J545" s="2" t="s">
        <v>293</v>
      </c>
      <c r="K545" s="2" t="s">
        <v>294</v>
      </c>
      <c r="L545" s="2" t="s">
        <v>2098</v>
      </c>
      <c r="M545" s="7" t="s">
        <v>2099</v>
      </c>
      <c r="N545" s="7" t="s">
        <v>2100</v>
      </c>
      <c r="O545" s="2"/>
      <c r="P545" s="2"/>
      <c r="Q545" s="2" t="str">
        <f>IF(SUMPRODUCT(--ISNUMBER(SEARCH('National Domains'!$A$2:$A$48,L545)))&gt;0,"Yes","No")</f>
        <v>Yes</v>
      </c>
      <c r="R545" s="2" t="str">
        <f>IF(COUNTIFS(Calibration!$A:$A,A545,Calibration!$B:$B,B545)&gt;0,"Yes","No")</f>
        <v>No</v>
      </c>
      <c r="S545" s="6"/>
    </row>
    <row r="546" spans="1:19" ht="34.5" customHeight="1" x14ac:dyDescent="0.2">
      <c r="A546" s="2">
        <v>150</v>
      </c>
      <c r="B546" s="2">
        <v>2</v>
      </c>
      <c r="C546" s="2" t="s">
        <v>292</v>
      </c>
      <c r="D546" s="2" t="s">
        <v>17</v>
      </c>
      <c r="E546" s="2">
        <v>20170120</v>
      </c>
      <c r="F546" s="2">
        <v>20170122</v>
      </c>
      <c r="G546" s="2">
        <v>1436.5</v>
      </c>
      <c r="H546" s="2">
        <v>1105</v>
      </c>
      <c r="I546" s="2">
        <v>24</v>
      </c>
      <c r="J546" s="2" t="s">
        <v>293</v>
      </c>
      <c r="K546" s="2" t="s">
        <v>294</v>
      </c>
      <c r="L546" s="2" t="s">
        <v>2101</v>
      </c>
      <c r="M546" s="7" t="s">
        <v>2102</v>
      </c>
      <c r="N546" s="7" t="s">
        <v>2103</v>
      </c>
      <c r="O546" s="2"/>
      <c r="P546" s="2"/>
      <c r="Q546" s="2" t="str">
        <f>IF(SUMPRODUCT(--ISNUMBER(SEARCH('National Domains'!$A$2:$A$48,L546)))&gt;0,"Yes","No")</f>
        <v>No</v>
      </c>
      <c r="R546" s="2" t="str">
        <f>IF(COUNTIFS(Calibration!$A:$A,A546,Calibration!$B:$B,B546)&gt;0,"Yes","No")</f>
        <v>No</v>
      </c>
      <c r="S546" s="6"/>
    </row>
    <row r="547" spans="1:19" ht="34.5" customHeight="1" x14ac:dyDescent="0.2">
      <c r="A547" s="2">
        <v>150</v>
      </c>
      <c r="B547" s="2">
        <v>3</v>
      </c>
      <c r="C547" s="2" t="s">
        <v>292</v>
      </c>
      <c r="D547" s="2" t="s">
        <v>17</v>
      </c>
      <c r="E547" s="2">
        <v>20170120</v>
      </c>
      <c r="F547" s="2">
        <v>20170122</v>
      </c>
      <c r="G547" s="2">
        <v>1436.5</v>
      </c>
      <c r="H547" s="2">
        <v>1105</v>
      </c>
      <c r="I547" s="2">
        <v>24</v>
      </c>
      <c r="J547" s="2" t="s">
        <v>293</v>
      </c>
      <c r="K547" s="2" t="s">
        <v>294</v>
      </c>
      <c r="L547" s="2" t="s">
        <v>2104</v>
      </c>
      <c r="M547" s="7" t="s">
        <v>741</v>
      </c>
      <c r="N547" s="7" t="s">
        <v>2105</v>
      </c>
      <c r="O547" s="2"/>
      <c r="P547" s="2"/>
      <c r="Q547" s="2" t="str">
        <f>IF(SUMPRODUCT(--ISNUMBER(SEARCH('National Domains'!$A$2:$A$48,L547)))&gt;0,"Yes","No")</f>
        <v>Yes</v>
      </c>
      <c r="R547" s="2" t="str">
        <f>IF(COUNTIFS(Calibration!$A:$A,A547,Calibration!$B:$B,B547)&gt;0,"Yes","No")</f>
        <v>No</v>
      </c>
      <c r="S547" s="6"/>
    </row>
    <row r="548" spans="1:19" ht="34.5" customHeight="1" x14ac:dyDescent="0.2">
      <c r="A548" s="2">
        <v>151</v>
      </c>
      <c r="B548" s="2">
        <v>1</v>
      </c>
      <c r="C548" s="2" t="s">
        <v>295</v>
      </c>
      <c r="D548" s="2" t="s">
        <v>25</v>
      </c>
      <c r="E548" s="2">
        <v>20170208</v>
      </c>
      <c r="F548" s="2">
        <v>20170222</v>
      </c>
      <c r="G548" s="2">
        <v>1950</v>
      </c>
      <c r="H548" s="2">
        <v>1500</v>
      </c>
      <c r="I548" s="2">
        <v>5</v>
      </c>
      <c r="J548" s="2" t="s">
        <v>66</v>
      </c>
      <c r="K548" s="2" t="s">
        <v>67</v>
      </c>
      <c r="L548" s="2" t="s">
        <v>2106</v>
      </c>
      <c r="M548" s="7" t="s">
        <v>2107</v>
      </c>
      <c r="N548" s="7" t="s">
        <v>2108</v>
      </c>
      <c r="O548" s="2"/>
      <c r="P548" s="2"/>
      <c r="Q548" s="2" t="str">
        <f>IF(SUMPRODUCT(--ISNUMBER(SEARCH('National Domains'!$A$2:$A$48,L548)))&gt;0,"Yes","No")</f>
        <v>No</v>
      </c>
      <c r="R548" s="2" t="str">
        <f>IF(COUNTIFS(Calibration!$A:$A,A548,Calibration!$B:$B,B548)&gt;0,"Yes","No")</f>
        <v>No</v>
      </c>
      <c r="S548" s="6"/>
    </row>
    <row r="549" spans="1:19" ht="34.5" customHeight="1" x14ac:dyDescent="0.2">
      <c r="A549" s="2">
        <v>151</v>
      </c>
      <c r="B549" s="2">
        <v>2</v>
      </c>
      <c r="C549" s="2" t="s">
        <v>295</v>
      </c>
      <c r="D549" s="2" t="s">
        <v>25</v>
      </c>
      <c r="E549" s="2">
        <v>20170208</v>
      </c>
      <c r="F549" s="2">
        <v>20170222</v>
      </c>
      <c r="G549" s="2">
        <v>1950</v>
      </c>
      <c r="H549" s="2">
        <v>1500</v>
      </c>
      <c r="I549" s="2">
        <v>5</v>
      </c>
      <c r="J549" s="2" t="s">
        <v>66</v>
      </c>
      <c r="K549" s="2" t="s">
        <v>67</v>
      </c>
      <c r="L549" s="2" t="s">
        <v>2109</v>
      </c>
      <c r="M549" s="7" t="s">
        <v>2110</v>
      </c>
      <c r="N549" s="7" t="s">
        <v>2111</v>
      </c>
      <c r="O549" s="2"/>
      <c r="P549" s="2"/>
      <c r="Q549" s="2" t="str">
        <f>IF(SUMPRODUCT(--ISNUMBER(SEARCH('National Domains'!$A$2:$A$48,L549)))&gt;0,"Yes","No")</f>
        <v>No</v>
      </c>
      <c r="R549" s="2" t="str">
        <f>IF(COUNTIFS(Calibration!$A:$A,A549,Calibration!$B:$B,B549)&gt;0,"Yes","No")</f>
        <v>No</v>
      </c>
      <c r="S549" s="6"/>
    </row>
    <row r="550" spans="1:19" ht="34.5" customHeight="1" x14ac:dyDescent="0.2">
      <c r="A550" s="2">
        <v>151</v>
      </c>
      <c r="B550" s="2">
        <v>3</v>
      </c>
      <c r="C550" s="2" t="s">
        <v>295</v>
      </c>
      <c r="D550" s="2" t="s">
        <v>25</v>
      </c>
      <c r="E550" s="2">
        <v>20170208</v>
      </c>
      <c r="F550" s="2">
        <v>20170222</v>
      </c>
      <c r="G550" s="2">
        <v>1950</v>
      </c>
      <c r="H550" s="2">
        <v>1500</v>
      </c>
      <c r="I550" s="2">
        <v>5</v>
      </c>
      <c r="J550" s="2" t="s">
        <v>66</v>
      </c>
      <c r="K550" s="2" t="s">
        <v>67</v>
      </c>
      <c r="L550" s="2" t="s">
        <v>2112</v>
      </c>
      <c r="M550" s="7" t="s">
        <v>2113</v>
      </c>
      <c r="N550" s="7" t="s">
        <v>2114</v>
      </c>
      <c r="O550" s="2"/>
      <c r="P550" s="2"/>
      <c r="Q550" s="2" t="str">
        <f>IF(SUMPRODUCT(--ISNUMBER(SEARCH('National Domains'!$A$2:$A$48,L550)))&gt;0,"Yes","No")</f>
        <v>No</v>
      </c>
      <c r="R550" s="2" t="str">
        <f>IF(COUNTIFS(Calibration!$A:$A,A550,Calibration!$B:$B,B550)&gt;0,"Yes","No")</f>
        <v>No</v>
      </c>
      <c r="S550" s="6"/>
    </row>
    <row r="551" spans="1:19" ht="34.5" customHeight="1" x14ac:dyDescent="0.2">
      <c r="A551" s="2">
        <v>151</v>
      </c>
      <c r="B551" s="2">
        <v>4</v>
      </c>
      <c r="C551" s="2" t="s">
        <v>295</v>
      </c>
      <c r="D551" s="2" t="s">
        <v>25</v>
      </c>
      <c r="E551" s="2">
        <v>20170208</v>
      </c>
      <c r="F551" s="2">
        <v>20170222</v>
      </c>
      <c r="G551" s="2">
        <v>1950</v>
      </c>
      <c r="H551" s="2">
        <v>1500</v>
      </c>
      <c r="I551" s="2">
        <v>5</v>
      </c>
      <c r="J551" s="2" t="s">
        <v>66</v>
      </c>
      <c r="K551" s="2" t="s">
        <v>67</v>
      </c>
      <c r="L551" s="2" t="s">
        <v>2115</v>
      </c>
      <c r="M551" s="7" t="s">
        <v>2116</v>
      </c>
      <c r="N551" s="7" t="s">
        <v>2117</v>
      </c>
      <c r="O551" s="2"/>
      <c r="P551" s="2"/>
      <c r="Q551" s="2" t="str">
        <f>IF(SUMPRODUCT(--ISNUMBER(SEARCH('National Domains'!$A$2:$A$48,L551)))&gt;0,"Yes","No")</f>
        <v>Yes</v>
      </c>
      <c r="R551" s="2" t="str">
        <f>IF(COUNTIFS(Calibration!$A:$A,A551,Calibration!$B:$B,B551)&gt;0,"Yes","No")</f>
        <v>No</v>
      </c>
      <c r="S551" s="6"/>
    </row>
    <row r="552" spans="1:19" ht="34.5" customHeight="1" x14ac:dyDescent="0.2">
      <c r="A552" s="2">
        <v>151</v>
      </c>
      <c r="B552" s="2">
        <v>5</v>
      </c>
      <c r="C552" s="2" t="s">
        <v>295</v>
      </c>
      <c r="D552" s="2" t="s">
        <v>25</v>
      </c>
      <c r="E552" s="2">
        <v>20170208</v>
      </c>
      <c r="F552" s="2">
        <v>20170222</v>
      </c>
      <c r="G552" s="2">
        <v>1950</v>
      </c>
      <c r="H552" s="2">
        <v>1500</v>
      </c>
      <c r="I552" s="2">
        <v>5</v>
      </c>
      <c r="J552" s="2" t="s">
        <v>66</v>
      </c>
      <c r="K552" s="2" t="s">
        <v>67</v>
      </c>
      <c r="L552" s="2" t="s">
        <v>2118</v>
      </c>
      <c r="M552" s="7" t="s">
        <v>2119</v>
      </c>
      <c r="N552" s="7" t="s">
        <v>2120</v>
      </c>
      <c r="O552" s="2"/>
      <c r="P552" s="2"/>
      <c r="Q552" s="2" t="str">
        <f>IF(SUMPRODUCT(--ISNUMBER(SEARCH('National Domains'!$A$2:$A$48,L552)))&gt;0,"Yes","No")</f>
        <v>Yes</v>
      </c>
      <c r="R552" s="2" t="str">
        <f>IF(COUNTIFS(Calibration!$A:$A,A552,Calibration!$B:$B,B552)&gt;0,"Yes","No")</f>
        <v>No</v>
      </c>
      <c r="S552" s="6"/>
    </row>
    <row r="553" spans="1:19" ht="34.5" customHeight="1" x14ac:dyDescent="0.2">
      <c r="A553" s="2">
        <v>151</v>
      </c>
      <c r="B553" s="2">
        <v>6</v>
      </c>
      <c r="C553" s="2" t="s">
        <v>295</v>
      </c>
      <c r="D553" s="2" t="s">
        <v>25</v>
      </c>
      <c r="E553" s="2">
        <v>20170208</v>
      </c>
      <c r="F553" s="2">
        <v>20170222</v>
      </c>
      <c r="G553" s="2">
        <v>1950</v>
      </c>
      <c r="H553" s="2">
        <v>1500</v>
      </c>
      <c r="I553" s="2">
        <v>5</v>
      </c>
      <c r="J553" s="2" t="s">
        <v>66</v>
      </c>
      <c r="K553" s="2" t="s">
        <v>67</v>
      </c>
      <c r="L553" s="2" t="s">
        <v>2121</v>
      </c>
      <c r="M553" s="7" t="s">
        <v>2122</v>
      </c>
      <c r="N553" s="7" t="s">
        <v>2123</v>
      </c>
      <c r="O553" s="2"/>
      <c r="P553" s="2"/>
      <c r="Q553" s="2" t="str">
        <f>IF(SUMPRODUCT(--ISNUMBER(SEARCH('National Domains'!$A$2:$A$48,L553)))&gt;0,"Yes","No")</f>
        <v>Yes</v>
      </c>
      <c r="R553" s="2" t="str">
        <f>IF(COUNTIFS(Calibration!$A:$A,A553,Calibration!$B:$B,B553)&gt;0,"Yes","No")</f>
        <v>No</v>
      </c>
      <c r="S553" s="6"/>
    </row>
    <row r="554" spans="1:19" ht="34.5" customHeight="1" x14ac:dyDescent="0.2">
      <c r="A554" s="2">
        <v>152</v>
      </c>
      <c r="B554" s="2">
        <v>1</v>
      </c>
      <c r="C554" s="2" t="s">
        <v>296</v>
      </c>
      <c r="D554" s="2" t="s">
        <v>17</v>
      </c>
      <c r="E554" s="2">
        <v>20170228</v>
      </c>
      <c r="F554" s="2">
        <v>20170301</v>
      </c>
      <c r="G554" s="2">
        <v>2347.8000000000002</v>
      </c>
      <c r="H554" s="2">
        <v>1806</v>
      </c>
      <c r="I554" s="2">
        <v>6</v>
      </c>
      <c r="J554" s="2" t="s">
        <v>297</v>
      </c>
      <c r="K554" s="2" t="s">
        <v>109</v>
      </c>
      <c r="L554" s="2" t="s">
        <v>2124</v>
      </c>
      <c r="M554" s="7" t="s">
        <v>2125</v>
      </c>
      <c r="N554" s="7" t="s">
        <v>2126</v>
      </c>
      <c r="O554" s="2"/>
      <c r="P554" s="2"/>
      <c r="Q554" s="2" t="str">
        <f>IF(SUMPRODUCT(--ISNUMBER(SEARCH('National Domains'!$A$2:$A$48,L554)))&gt;0,"Yes","No")</f>
        <v>Yes</v>
      </c>
      <c r="R554" s="2" t="str">
        <f>IF(COUNTIFS(Calibration!$A:$A,A554,Calibration!$B:$B,B554)&gt;0,"Yes","No")</f>
        <v>No</v>
      </c>
      <c r="S554" s="6"/>
    </row>
    <row r="555" spans="1:19" ht="34.5" customHeight="1" x14ac:dyDescent="0.2">
      <c r="A555" s="2">
        <v>152</v>
      </c>
      <c r="B555" s="2">
        <v>2</v>
      </c>
      <c r="C555" s="2" t="s">
        <v>296</v>
      </c>
      <c r="D555" s="2" t="s">
        <v>17</v>
      </c>
      <c r="E555" s="2">
        <v>20170228</v>
      </c>
      <c r="F555" s="2">
        <v>20170301</v>
      </c>
      <c r="G555" s="2">
        <v>2347.8000000000002</v>
      </c>
      <c r="H555" s="2">
        <v>1806</v>
      </c>
      <c r="I555" s="2">
        <v>6</v>
      </c>
      <c r="J555" s="2" t="s">
        <v>297</v>
      </c>
      <c r="K555" s="2" t="s">
        <v>109</v>
      </c>
      <c r="L555" s="2" t="s">
        <v>2127</v>
      </c>
      <c r="M555" s="7" t="s">
        <v>2125</v>
      </c>
      <c r="N555" s="7" t="s">
        <v>2128</v>
      </c>
      <c r="O555" s="2"/>
      <c r="P555" s="2"/>
      <c r="Q555" s="2" t="str">
        <f>IF(SUMPRODUCT(--ISNUMBER(SEARCH('National Domains'!$A$2:$A$48,L555)))&gt;0,"Yes","No")</f>
        <v>Yes</v>
      </c>
      <c r="R555" s="2" t="str">
        <f>IF(COUNTIFS(Calibration!$A:$A,A555,Calibration!$B:$B,B555)&gt;0,"Yes","No")</f>
        <v>No</v>
      </c>
      <c r="S555" s="6"/>
    </row>
    <row r="556" spans="1:19" ht="34.5" customHeight="1" x14ac:dyDescent="0.2">
      <c r="A556" s="2">
        <v>153</v>
      </c>
      <c r="B556" s="2">
        <v>1</v>
      </c>
      <c r="C556" s="2" t="s">
        <v>298</v>
      </c>
      <c r="D556" s="2" t="s">
        <v>17</v>
      </c>
      <c r="E556" s="2">
        <v>20170306</v>
      </c>
      <c r="F556" s="2">
        <v>20170308</v>
      </c>
      <c r="G556" s="2">
        <v>2828.8</v>
      </c>
      <c r="H556" s="2">
        <v>2176</v>
      </c>
      <c r="I556" s="2">
        <v>2</v>
      </c>
      <c r="J556" s="2" t="s">
        <v>36</v>
      </c>
      <c r="K556" s="2" t="s">
        <v>37</v>
      </c>
      <c r="L556" s="2" t="s">
        <v>2129</v>
      </c>
      <c r="M556" s="7" t="s">
        <v>2130</v>
      </c>
      <c r="N556" s="7" t="s">
        <v>2131</v>
      </c>
      <c r="O556" s="2"/>
      <c r="P556" s="2"/>
      <c r="Q556" s="2" t="str">
        <f>IF(SUMPRODUCT(--ISNUMBER(SEARCH('National Domains'!$A$2:$A$48,L556)))&gt;0,"Yes","No")</f>
        <v>No</v>
      </c>
      <c r="R556" s="2" t="str">
        <f>IF(COUNTIFS(Calibration!$A:$A,A556,Calibration!$B:$B,B556)&gt;0,"Yes","No")</f>
        <v>No</v>
      </c>
      <c r="S556" s="6"/>
    </row>
    <row r="557" spans="1:19" ht="34.5" customHeight="1" x14ac:dyDescent="0.2">
      <c r="A557" s="2">
        <v>153</v>
      </c>
      <c r="B557" s="2">
        <v>2</v>
      </c>
      <c r="C557" s="2" t="s">
        <v>298</v>
      </c>
      <c r="D557" s="2" t="s">
        <v>17</v>
      </c>
      <c r="E557" s="2">
        <v>20170306</v>
      </c>
      <c r="F557" s="2">
        <v>20170308</v>
      </c>
      <c r="G557" s="2">
        <v>2828.8</v>
      </c>
      <c r="H557" s="2">
        <v>2176</v>
      </c>
      <c r="I557" s="2">
        <v>2</v>
      </c>
      <c r="J557" s="2" t="s">
        <v>36</v>
      </c>
      <c r="K557" s="2" t="s">
        <v>37</v>
      </c>
      <c r="L557" s="2" t="s">
        <v>2132</v>
      </c>
      <c r="M557" s="7" t="s">
        <v>2130</v>
      </c>
      <c r="N557" s="7" t="s">
        <v>2133</v>
      </c>
      <c r="O557" s="2"/>
      <c r="P557" s="2"/>
      <c r="Q557" s="2" t="str">
        <f>IF(SUMPRODUCT(--ISNUMBER(SEARCH('National Domains'!$A$2:$A$48,L557)))&gt;0,"Yes","No")</f>
        <v>No</v>
      </c>
      <c r="R557" s="2" t="str">
        <f>IF(COUNTIFS(Calibration!$A:$A,A557,Calibration!$B:$B,B557)&gt;0,"Yes","No")</f>
        <v>No</v>
      </c>
      <c r="S557" s="6"/>
    </row>
    <row r="558" spans="1:19" ht="34.5" customHeight="1" x14ac:dyDescent="0.2">
      <c r="A558" s="4">
        <v>154</v>
      </c>
      <c r="B558" s="4">
        <v>1</v>
      </c>
      <c r="C558" s="4" t="s">
        <v>299</v>
      </c>
      <c r="D558" s="4" t="s">
        <v>106</v>
      </c>
      <c r="E558" s="4">
        <v>20170314</v>
      </c>
      <c r="F558" s="4">
        <v>20170316</v>
      </c>
      <c r="G558" s="4">
        <v>1300</v>
      </c>
      <c r="H558" s="4">
        <v>1000</v>
      </c>
      <c r="I558" s="4">
        <v>0</v>
      </c>
      <c r="J558" s="4" t="s">
        <v>14</v>
      </c>
      <c r="K558" s="4" t="s">
        <v>15</v>
      </c>
      <c r="L558" s="4" t="s">
        <v>2134</v>
      </c>
      <c r="M558" s="5" t="s">
        <v>2135</v>
      </c>
      <c r="N558" s="5" t="s">
        <v>2136</v>
      </c>
      <c r="O558" s="4"/>
      <c r="P558" s="4"/>
      <c r="Q558" s="4" t="str">
        <f>IF(SUMPRODUCT(--ISNUMBER(SEARCH('National Domains'!$A$2:$A$48,L558)))&gt;0,"Yes","No")</f>
        <v>Yes</v>
      </c>
      <c r="R558" s="4" t="str">
        <f>IF(COUNTIFS(Calibration!$A:$A,A558,Calibration!$B:$B,B558)&gt;0,"Yes","No")</f>
        <v>Yes</v>
      </c>
      <c r="S558" s="6"/>
    </row>
    <row r="559" spans="1:19" ht="34.5" customHeight="1" x14ac:dyDescent="0.2">
      <c r="A559" s="2">
        <v>155</v>
      </c>
      <c r="B559" s="2">
        <v>1</v>
      </c>
      <c r="C559" s="2" t="s">
        <v>300</v>
      </c>
      <c r="D559" s="2" t="s">
        <v>17</v>
      </c>
      <c r="E559" s="2">
        <v>20170326</v>
      </c>
      <c r="F559" s="2">
        <v>20170328</v>
      </c>
      <c r="G559" s="2">
        <v>3476.6</v>
      </c>
      <c r="H559" s="2">
        <v>2695</v>
      </c>
      <c r="I559" s="2">
        <v>0</v>
      </c>
      <c r="J559" s="2" t="s">
        <v>134</v>
      </c>
      <c r="K559" s="2" t="s">
        <v>19</v>
      </c>
      <c r="L559" s="2" t="s">
        <v>2137</v>
      </c>
      <c r="M559" s="7" t="s">
        <v>2138</v>
      </c>
      <c r="N559" s="7" t="s">
        <v>2139</v>
      </c>
      <c r="O559" s="2"/>
      <c r="P559" s="2"/>
      <c r="Q559" s="2" t="str">
        <f>IF(SUMPRODUCT(--ISNUMBER(SEARCH('National Domains'!$A$2:$A$48,L559)))&gt;0,"Yes","No")</f>
        <v>No</v>
      </c>
      <c r="R559" s="2" t="str">
        <f>IF(COUNTIFS(Calibration!$A:$A,A559,Calibration!$B:$B,B559)&gt;0,"Yes","No")</f>
        <v>No</v>
      </c>
      <c r="S559" s="6"/>
    </row>
    <row r="560" spans="1:19" ht="34.5" customHeight="1" x14ac:dyDescent="0.2">
      <c r="A560" s="2">
        <v>156</v>
      </c>
      <c r="B560" s="2">
        <v>1</v>
      </c>
      <c r="C560" s="2" t="s">
        <v>301</v>
      </c>
      <c r="D560" s="2" t="s">
        <v>17</v>
      </c>
      <c r="E560" s="2">
        <v>20170404</v>
      </c>
      <c r="F560" s="2">
        <v>20170406</v>
      </c>
      <c r="G560" s="2">
        <v>1259.2</v>
      </c>
      <c r="H560" s="2">
        <v>976</v>
      </c>
      <c r="I560" s="2">
        <v>1</v>
      </c>
      <c r="J560" s="2" t="s">
        <v>14</v>
      </c>
      <c r="K560" s="2" t="s">
        <v>15</v>
      </c>
      <c r="L560" s="2" t="s">
        <v>2140</v>
      </c>
      <c r="M560" s="7" t="s">
        <v>2141</v>
      </c>
      <c r="N560" s="7" t="s">
        <v>2142</v>
      </c>
      <c r="O560" s="2"/>
      <c r="P560" s="2"/>
      <c r="Q560" s="2" t="str">
        <f>IF(SUMPRODUCT(--ISNUMBER(SEARCH('National Domains'!$A$2:$A$48,L560)))&gt;0,"Yes","No")</f>
        <v>Yes</v>
      </c>
      <c r="R560" s="2" t="str">
        <f>IF(COUNTIFS(Calibration!$A:$A,A560,Calibration!$B:$B,B560)&gt;0,"Yes","No")</f>
        <v>No</v>
      </c>
      <c r="S560" s="6"/>
    </row>
    <row r="561" spans="1:19" ht="34.5" customHeight="1" x14ac:dyDescent="0.2">
      <c r="A561" s="2">
        <v>156</v>
      </c>
      <c r="B561" s="2">
        <v>2</v>
      </c>
      <c r="C561" s="2" t="s">
        <v>301</v>
      </c>
      <c r="D561" s="2" t="s">
        <v>17</v>
      </c>
      <c r="E561" s="2">
        <v>20170404</v>
      </c>
      <c r="F561" s="2">
        <v>20170406</v>
      </c>
      <c r="G561" s="2">
        <v>1259.2</v>
      </c>
      <c r="H561" s="2">
        <v>976</v>
      </c>
      <c r="I561" s="2">
        <v>1</v>
      </c>
      <c r="J561" s="2" t="s">
        <v>14</v>
      </c>
      <c r="K561" s="2" t="s">
        <v>15</v>
      </c>
      <c r="L561" s="2" t="s">
        <v>2143</v>
      </c>
      <c r="M561" s="7" t="s">
        <v>2144</v>
      </c>
      <c r="N561" s="7" t="s">
        <v>2145</v>
      </c>
      <c r="O561" s="2"/>
      <c r="P561" s="2"/>
      <c r="Q561" s="2" t="str">
        <f>IF(SUMPRODUCT(--ISNUMBER(SEARCH('National Domains'!$A$2:$A$48,L561)))&gt;0,"Yes","No")</f>
        <v>Yes</v>
      </c>
      <c r="R561" s="2" t="str">
        <f>IF(COUNTIFS(Calibration!$A:$A,A561,Calibration!$B:$B,B561)&gt;0,"Yes","No")</f>
        <v>No</v>
      </c>
      <c r="S561" s="6"/>
    </row>
    <row r="562" spans="1:19" ht="34.5" customHeight="1" x14ac:dyDescent="0.2">
      <c r="A562" s="2">
        <v>156</v>
      </c>
      <c r="B562" s="2">
        <v>3</v>
      </c>
      <c r="C562" s="2" t="s">
        <v>301</v>
      </c>
      <c r="D562" s="2" t="s">
        <v>17</v>
      </c>
      <c r="E562" s="2">
        <v>20170404</v>
      </c>
      <c r="F562" s="2">
        <v>20170406</v>
      </c>
      <c r="G562" s="2">
        <v>1259.2</v>
      </c>
      <c r="H562" s="2">
        <v>976</v>
      </c>
      <c r="I562" s="2">
        <v>1</v>
      </c>
      <c r="J562" s="2" t="s">
        <v>14</v>
      </c>
      <c r="K562" s="2" t="s">
        <v>15</v>
      </c>
      <c r="L562" s="2" t="s">
        <v>2146</v>
      </c>
      <c r="M562" s="7" t="s">
        <v>2147</v>
      </c>
      <c r="N562" s="7" t="s">
        <v>2148</v>
      </c>
      <c r="O562" s="2"/>
      <c r="P562" s="2"/>
      <c r="Q562" s="2" t="str">
        <f>IF(SUMPRODUCT(--ISNUMBER(SEARCH('National Domains'!$A$2:$A$48,L562)))&gt;0,"Yes","No")</f>
        <v>Yes</v>
      </c>
      <c r="R562" s="2" t="str">
        <f>IF(COUNTIFS(Calibration!$A:$A,A562,Calibration!$B:$B,B562)&gt;0,"Yes","No")</f>
        <v>No</v>
      </c>
      <c r="S562" s="6"/>
    </row>
    <row r="563" spans="1:19" ht="34.5" customHeight="1" x14ac:dyDescent="0.2">
      <c r="A563" s="2">
        <v>156</v>
      </c>
      <c r="B563" s="2">
        <v>4</v>
      </c>
      <c r="C563" s="2" t="s">
        <v>301</v>
      </c>
      <c r="D563" s="2" t="s">
        <v>17</v>
      </c>
      <c r="E563" s="2">
        <v>20170404</v>
      </c>
      <c r="F563" s="2">
        <v>20170406</v>
      </c>
      <c r="G563" s="2">
        <v>1259.2</v>
      </c>
      <c r="H563" s="2">
        <v>976</v>
      </c>
      <c r="I563" s="2">
        <v>1</v>
      </c>
      <c r="J563" s="2" t="s">
        <v>14</v>
      </c>
      <c r="K563" s="2" t="s">
        <v>15</v>
      </c>
      <c r="L563" s="2" t="s">
        <v>2149</v>
      </c>
      <c r="M563" s="7" t="s">
        <v>2150</v>
      </c>
      <c r="N563" s="7" t="s">
        <v>2151</v>
      </c>
      <c r="O563" s="2"/>
      <c r="P563" s="2"/>
      <c r="Q563" s="2" t="str">
        <f>IF(SUMPRODUCT(--ISNUMBER(SEARCH('National Domains'!$A$2:$A$48,L563)))&gt;0,"Yes","No")</f>
        <v>No</v>
      </c>
      <c r="R563" s="2" t="str">
        <f>IF(COUNTIFS(Calibration!$A:$A,A563,Calibration!$B:$B,B563)&gt;0,"Yes","No")</f>
        <v>No</v>
      </c>
      <c r="S563" s="6"/>
    </row>
    <row r="564" spans="1:19" ht="34.5" customHeight="1" x14ac:dyDescent="0.2">
      <c r="A564" s="2">
        <v>156</v>
      </c>
      <c r="B564" s="2">
        <v>5</v>
      </c>
      <c r="C564" s="2" t="s">
        <v>301</v>
      </c>
      <c r="D564" s="2" t="s">
        <v>17</v>
      </c>
      <c r="E564" s="2">
        <v>20170404</v>
      </c>
      <c r="F564" s="2">
        <v>20170406</v>
      </c>
      <c r="G564" s="2">
        <v>1259.2</v>
      </c>
      <c r="H564" s="2">
        <v>976</v>
      </c>
      <c r="I564" s="2">
        <v>1</v>
      </c>
      <c r="J564" s="2" t="s">
        <v>14</v>
      </c>
      <c r="K564" s="2" t="s">
        <v>15</v>
      </c>
      <c r="L564" s="2" t="s">
        <v>2152</v>
      </c>
      <c r="M564" s="7" t="s">
        <v>2153</v>
      </c>
      <c r="N564" s="7" t="s">
        <v>2154</v>
      </c>
      <c r="O564" s="2"/>
      <c r="P564" s="2"/>
      <c r="Q564" s="2" t="str">
        <f>IF(SUMPRODUCT(--ISNUMBER(SEARCH('National Domains'!$A$2:$A$48,L564)))&gt;0,"Yes","No")</f>
        <v>No</v>
      </c>
      <c r="R564" s="2" t="str">
        <f>IF(COUNTIFS(Calibration!$A:$A,A564,Calibration!$B:$B,B564)&gt;0,"Yes","No")</f>
        <v>No</v>
      </c>
      <c r="S564" s="6"/>
    </row>
    <row r="565" spans="1:19" ht="34.5" customHeight="1" x14ac:dyDescent="0.2">
      <c r="A565" s="2">
        <v>157</v>
      </c>
      <c r="B565" s="2">
        <v>1</v>
      </c>
      <c r="C565" s="2" t="s">
        <v>302</v>
      </c>
      <c r="D565" s="2" t="s">
        <v>17</v>
      </c>
      <c r="E565" s="2">
        <v>20170420</v>
      </c>
      <c r="F565" s="2">
        <v>20170422</v>
      </c>
      <c r="G565" s="2">
        <v>1152</v>
      </c>
      <c r="H565" s="2">
        <v>893</v>
      </c>
      <c r="I565" s="2">
        <v>0</v>
      </c>
      <c r="J565" s="2" t="s">
        <v>134</v>
      </c>
      <c r="K565" s="2" t="s">
        <v>19</v>
      </c>
      <c r="L565" s="2" t="s">
        <v>2155</v>
      </c>
      <c r="M565" s="7" t="s">
        <v>2156</v>
      </c>
      <c r="N565" s="7" t="s">
        <v>2157</v>
      </c>
      <c r="O565" s="2"/>
      <c r="P565" s="2"/>
      <c r="Q565" s="2" t="str">
        <f>IF(SUMPRODUCT(--ISNUMBER(SEARCH('National Domains'!$A$2:$A$48,L565)))&gt;0,"Yes","No")</f>
        <v>Yes</v>
      </c>
      <c r="R565" s="2" t="str">
        <f>IF(COUNTIFS(Calibration!$A:$A,A565,Calibration!$B:$B,B565)&gt;0,"Yes","No")</f>
        <v>No</v>
      </c>
      <c r="S565" s="6"/>
    </row>
    <row r="566" spans="1:19" ht="34.5" customHeight="1" x14ac:dyDescent="0.2">
      <c r="A566" s="2">
        <v>158</v>
      </c>
      <c r="B566" s="2">
        <v>1</v>
      </c>
      <c r="C566" s="2" t="s">
        <v>303</v>
      </c>
      <c r="D566" s="2" t="s">
        <v>25</v>
      </c>
      <c r="E566" s="2">
        <v>20170425</v>
      </c>
      <c r="F566" s="2">
        <v>20170507</v>
      </c>
      <c r="G566" s="2">
        <v>2156.6999999999998</v>
      </c>
      <c r="H566" s="2">
        <v>1659</v>
      </c>
      <c r="I566" s="2">
        <v>20</v>
      </c>
      <c r="J566" s="2" t="s">
        <v>304</v>
      </c>
      <c r="K566" s="2" t="s">
        <v>103</v>
      </c>
      <c r="L566" s="2" t="s">
        <v>2158</v>
      </c>
      <c r="M566" s="7" t="s">
        <v>2159</v>
      </c>
      <c r="N566" s="7" t="s">
        <v>2160</v>
      </c>
      <c r="O566" s="2"/>
      <c r="P566" s="2"/>
      <c r="Q566" s="2" t="str">
        <f>IF(SUMPRODUCT(--ISNUMBER(SEARCH('National Domains'!$A$2:$A$48,L566)))&gt;0,"Yes","No")</f>
        <v>No</v>
      </c>
      <c r="R566" s="2" t="str">
        <f>IF(COUNTIFS(Calibration!$A:$A,A566,Calibration!$B:$B,B566)&gt;0,"Yes","No")</f>
        <v>No</v>
      </c>
      <c r="S566" s="6"/>
    </row>
    <row r="567" spans="1:19" ht="34.5" customHeight="1" x14ac:dyDescent="0.2">
      <c r="A567" s="2">
        <v>158</v>
      </c>
      <c r="B567" s="2">
        <v>2</v>
      </c>
      <c r="C567" s="2" t="s">
        <v>303</v>
      </c>
      <c r="D567" s="2" t="s">
        <v>25</v>
      </c>
      <c r="E567" s="2">
        <v>20170425</v>
      </c>
      <c r="F567" s="2">
        <v>20170507</v>
      </c>
      <c r="G567" s="2">
        <v>2156.6999999999998</v>
      </c>
      <c r="H567" s="2">
        <v>1659</v>
      </c>
      <c r="I567" s="2">
        <v>20</v>
      </c>
      <c r="J567" s="2" t="s">
        <v>304</v>
      </c>
      <c r="K567" s="2" t="s">
        <v>103</v>
      </c>
      <c r="L567" s="2" t="s">
        <v>2161</v>
      </c>
      <c r="M567" s="7" t="s">
        <v>2162</v>
      </c>
      <c r="N567" s="7" t="s">
        <v>2163</v>
      </c>
      <c r="O567" s="2"/>
      <c r="P567" s="2"/>
      <c r="Q567" s="2" t="str">
        <f>IF(SUMPRODUCT(--ISNUMBER(SEARCH('National Domains'!$A$2:$A$48,L567)))&gt;0,"Yes","No")</f>
        <v>No</v>
      </c>
      <c r="R567" s="2" t="str">
        <f>IF(COUNTIFS(Calibration!$A:$A,A567,Calibration!$B:$B,B567)&gt;0,"Yes","No")</f>
        <v>No</v>
      </c>
      <c r="S567" s="6"/>
    </row>
    <row r="568" spans="1:19" ht="34.5" customHeight="1" x14ac:dyDescent="0.2">
      <c r="A568" s="2">
        <v>158</v>
      </c>
      <c r="B568" s="2">
        <v>3</v>
      </c>
      <c r="C568" s="2" t="s">
        <v>303</v>
      </c>
      <c r="D568" s="2" t="s">
        <v>25</v>
      </c>
      <c r="E568" s="2">
        <v>20170425</v>
      </c>
      <c r="F568" s="2">
        <v>20170507</v>
      </c>
      <c r="G568" s="2">
        <v>2156.6999999999998</v>
      </c>
      <c r="H568" s="2">
        <v>1659</v>
      </c>
      <c r="I568" s="2">
        <v>20</v>
      </c>
      <c r="J568" s="2" t="s">
        <v>304</v>
      </c>
      <c r="K568" s="2" t="s">
        <v>103</v>
      </c>
      <c r="L568" s="2" t="s">
        <v>2164</v>
      </c>
      <c r="M568" s="7" t="s">
        <v>2165</v>
      </c>
      <c r="N568" s="7" t="s">
        <v>2166</v>
      </c>
      <c r="O568" s="2"/>
      <c r="P568" s="2"/>
      <c r="Q568" s="2" t="str">
        <f>IF(SUMPRODUCT(--ISNUMBER(SEARCH('National Domains'!$A$2:$A$48,L568)))&gt;0,"Yes","No")</f>
        <v>No</v>
      </c>
      <c r="R568" s="2" t="str">
        <f>IF(COUNTIFS(Calibration!$A:$A,A568,Calibration!$B:$B,B568)&gt;0,"Yes","No")</f>
        <v>No</v>
      </c>
      <c r="S568" s="6"/>
    </row>
    <row r="569" spans="1:19" ht="34.5" customHeight="1" x14ac:dyDescent="0.2">
      <c r="A569" s="2">
        <v>158</v>
      </c>
      <c r="B569" s="2">
        <v>4</v>
      </c>
      <c r="C569" s="2" t="s">
        <v>303</v>
      </c>
      <c r="D569" s="2" t="s">
        <v>25</v>
      </c>
      <c r="E569" s="2">
        <v>20170425</v>
      </c>
      <c r="F569" s="2">
        <v>20170507</v>
      </c>
      <c r="G569" s="2">
        <v>2156.6999999999998</v>
      </c>
      <c r="H569" s="2">
        <v>1659</v>
      </c>
      <c r="I569" s="2">
        <v>20</v>
      </c>
      <c r="J569" s="2" t="s">
        <v>304</v>
      </c>
      <c r="K569" s="2" t="s">
        <v>103</v>
      </c>
      <c r="L569" s="2" t="s">
        <v>2167</v>
      </c>
      <c r="M569" s="7" t="s">
        <v>2168</v>
      </c>
      <c r="N569" s="7" t="s">
        <v>2169</v>
      </c>
      <c r="O569" s="2"/>
      <c r="P569" s="2"/>
      <c r="Q569" s="2" t="str">
        <f>IF(SUMPRODUCT(--ISNUMBER(SEARCH('National Domains'!$A$2:$A$48,L569)))&gt;0,"Yes","No")</f>
        <v>No</v>
      </c>
      <c r="R569" s="2" t="str">
        <f>IF(COUNTIFS(Calibration!$A:$A,A569,Calibration!$B:$B,B569)&gt;0,"Yes","No")</f>
        <v>No</v>
      </c>
      <c r="S569" s="6"/>
    </row>
    <row r="570" spans="1:19" ht="34.5" customHeight="1" x14ac:dyDescent="0.2">
      <c r="A570" s="2">
        <v>158</v>
      </c>
      <c r="B570" s="2">
        <v>5</v>
      </c>
      <c r="C570" s="2" t="s">
        <v>303</v>
      </c>
      <c r="D570" s="2" t="s">
        <v>25</v>
      </c>
      <c r="E570" s="2">
        <v>20170425</v>
      </c>
      <c r="F570" s="2">
        <v>20170507</v>
      </c>
      <c r="G570" s="2">
        <v>2156.6999999999998</v>
      </c>
      <c r="H570" s="2">
        <v>1659</v>
      </c>
      <c r="I570" s="2">
        <v>20</v>
      </c>
      <c r="J570" s="2" t="s">
        <v>304</v>
      </c>
      <c r="K570" s="2" t="s">
        <v>103</v>
      </c>
      <c r="L570" s="2" t="s">
        <v>2170</v>
      </c>
      <c r="M570" s="7" t="s">
        <v>2171</v>
      </c>
      <c r="N570" s="7" t="s">
        <v>2172</v>
      </c>
      <c r="O570" s="2"/>
      <c r="P570" s="2"/>
      <c r="Q570" s="2" t="str">
        <f>IF(SUMPRODUCT(--ISNUMBER(SEARCH('National Domains'!$A$2:$A$48,L570)))&gt;0,"Yes","No")</f>
        <v>No</v>
      </c>
      <c r="R570" s="2" t="str">
        <f>IF(COUNTIFS(Calibration!$A:$A,A570,Calibration!$B:$B,B570)&gt;0,"Yes","No")</f>
        <v>No</v>
      </c>
      <c r="S570" s="6"/>
    </row>
    <row r="571" spans="1:19" ht="34.5" customHeight="1" x14ac:dyDescent="0.2">
      <c r="A571" s="2">
        <v>158</v>
      </c>
      <c r="B571" s="2">
        <v>6</v>
      </c>
      <c r="C571" s="2" t="s">
        <v>303</v>
      </c>
      <c r="D571" s="2" t="s">
        <v>25</v>
      </c>
      <c r="E571" s="2">
        <v>20170425</v>
      </c>
      <c r="F571" s="2">
        <v>20170507</v>
      </c>
      <c r="G571" s="2">
        <v>2156.6999999999998</v>
      </c>
      <c r="H571" s="2">
        <v>1659</v>
      </c>
      <c r="I571" s="2">
        <v>20</v>
      </c>
      <c r="J571" s="2" t="s">
        <v>304</v>
      </c>
      <c r="K571" s="2" t="s">
        <v>103</v>
      </c>
      <c r="L571" s="2" t="s">
        <v>2173</v>
      </c>
      <c r="M571" s="7" t="s">
        <v>2174</v>
      </c>
      <c r="N571" s="7" t="s">
        <v>2175</v>
      </c>
      <c r="O571" s="2"/>
      <c r="P571" s="2"/>
      <c r="Q571" s="2" t="str">
        <f>IF(SUMPRODUCT(--ISNUMBER(SEARCH('National Domains'!$A$2:$A$48,L571)))&gt;0,"Yes","No")</f>
        <v>Yes</v>
      </c>
      <c r="R571" s="2" t="str">
        <f>IF(COUNTIFS(Calibration!$A:$A,A571,Calibration!$B:$B,B571)&gt;0,"Yes","No")</f>
        <v>No</v>
      </c>
      <c r="S571" s="6"/>
    </row>
    <row r="572" spans="1:19" ht="34.5" customHeight="1" x14ac:dyDescent="0.2">
      <c r="A572" s="2">
        <v>158</v>
      </c>
      <c r="B572" s="2">
        <v>7</v>
      </c>
      <c r="C572" s="2" t="s">
        <v>303</v>
      </c>
      <c r="D572" s="2" t="s">
        <v>25</v>
      </c>
      <c r="E572" s="2">
        <v>20170425</v>
      </c>
      <c r="F572" s="2">
        <v>20170507</v>
      </c>
      <c r="G572" s="2">
        <v>2156.6999999999998</v>
      </c>
      <c r="H572" s="2">
        <v>1659</v>
      </c>
      <c r="I572" s="2">
        <v>20</v>
      </c>
      <c r="J572" s="2" t="s">
        <v>304</v>
      </c>
      <c r="K572" s="2" t="s">
        <v>103</v>
      </c>
      <c r="L572" s="2" t="s">
        <v>2176</v>
      </c>
      <c r="M572" s="7" t="s">
        <v>2177</v>
      </c>
      <c r="N572" s="7" t="s">
        <v>2178</v>
      </c>
      <c r="O572" s="2"/>
      <c r="P572" s="2"/>
      <c r="Q572" s="2" t="str">
        <f>IF(SUMPRODUCT(--ISNUMBER(SEARCH('National Domains'!$A$2:$A$48,L572)))&gt;0,"Yes","No")</f>
        <v>Yes</v>
      </c>
      <c r="R572" s="2" t="str">
        <f>IF(COUNTIFS(Calibration!$A:$A,A572,Calibration!$B:$B,B572)&gt;0,"Yes","No")</f>
        <v>No</v>
      </c>
      <c r="S572" s="6"/>
    </row>
    <row r="573" spans="1:19" ht="23.25" customHeight="1" x14ac:dyDescent="0.2">
      <c r="A573" s="2">
        <v>158</v>
      </c>
      <c r="B573" s="2">
        <v>8</v>
      </c>
      <c r="C573" s="2" t="s">
        <v>303</v>
      </c>
      <c r="D573" s="2" t="s">
        <v>25</v>
      </c>
      <c r="E573" s="2">
        <v>20170425</v>
      </c>
      <c r="F573" s="2">
        <v>20170507</v>
      </c>
      <c r="G573" s="2">
        <v>2156.6999999999998</v>
      </c>
      <c r="H573" s="2">
        <v>1659</v>
      </c>
      <c r="I573" s="2">
        <v>20</v>
      </c>
      <c r="J573" s="2" t="s">
        <v>304</v>
      </c>
      <c r="K573" s="2" t="s">
        <v>103</v>
      </c>
      <c r="L573" s="2" t="s">
        <v>2179</v>
      </c>
      <c r="M573" s="7" t="s">
        <v>2180</v>
      </c>
      <c r="N573" s="7" t="s">
        <v>2181</v>
      </c>
      <c r="O573" s="2"/>
      <c r="P573" s="2"/>
      <c r="Q573" s="2" t="str">
        <f>IF(SUMPRODUCT(--ISNUMBER(SEARCH('National Domains'!$A$2:$A$48,L573)))&gt;0,"Yes","No")</f>
        <v>Yes</v>
      </c>
      <c r="R573" s="2" t="str">
        <f>IF(COUNTIFS(Calibration!$A:$A,A573,Calibration!$B:$B,B573)&gt;0,"Yes","No")</f>
        <v>No</v>
      </c>
      <c r="S573" s="6"/>
    </row>
    <row r="574" spans="1:19" ht="23.25" customHeight="1" x14ac:dyDescent="0.2">
      <c r="A574" s="2">
        <v>158</v>
      </c>
      <c r="B574" s="2">
        <v>9</v>
      </c>
      <c r="C574" s="2" t="s">
        <v>303</v>
      </c>
      <c r="D574" s="2" t="s">
        <v>25</v>
      </c>
      <c r="E574" s="2">
        <v>20170425</v>
      </c>
      <c r="F574" s="2">
        <v>20170507</v>
      </c>
      <c r="G574" s="2">
        <v>2156.6999999999998</v>
      </c>
      <c r="H574" s="2">
        <v>1659</v>
      </c>
      <c r="I574" s="2">
        <v>20</v>
      </c>
      <c r="J574" s="2" t="s">
        <v>304</v>
      </c>
      <c r="K574" s="2" t="s">
        <v>103</v>
      </c>
      <c r="L574" s="2" t="s">
        <v>2182</v>
      </c>
      <c r="M574" s="7" t="s">
        <v>2183</v>
      </c>
      <c r="N574" s="7" t="s">
        <v>2184</v>
      </c>
      <c r="O574" s="2"/>
      <c r="P574" s="2"/>
      <c r="Q574" s="2" t="str">
        <f>IF(SUMPRODUCT(--ISNUMBER(SEARCH('National Domains'!$A$2:$A$48,L574)))&gt;0,"Yes","No")</f>
        <v>Yes</v>
      </c>
      <c r="R574" s="2" t="str">
        <f>IF(COUNTIFS(Calibration!$A:$A,A574,Calibration!$B:$B,B574)&gt;0,"Yes","No")</f>
        <v>No</v>
      </c>
      <c r="S574" s="6"/>
    </row>
    <row r="575" spans="1:19" ht="34.5" customHeight="1" x14ac:dyDescent="0.2">
      <c r="A575" s="2">
        <v>158</v>
      </c>
      <c r="B575" s="2">
        <v>10</v>
      </c>
      <c r="C575" s="2" t="s">
        <v>303</v>
      </c>
      <c r="D575" s="2" t="s">
        <v>25</v>
      </c>
      <c r="E575" s="2">
        <v>20170425</v>
      </c>
      <c r="F575" s="2">
        <v>20170507</v>
      </c>
      <c r="G575" s="2">
        <v>2156.6999999999998</v>
      </c>
      <c r="H575" s="2">
        <v>1659</v>
      </c>
      <c r="I575" s="2">
        <v>20</v>
      </c>
      <c r="J575" s="2" t="s">
        <v>304</v>
      </c>
      <c r="K575" s="2" t="s">
        <v>103</v>
      </c>
      <c r="L575" s="2" t="s">
        <v>2185</v>
      </c>
      <c r="M575" s="7" t="s">
        <v>2186</v>
      </c>
      <c r="N575" s="7" t="s">
        <v>2187</v>
      </c>
      <c r="O575" s="2"/>
      <c r="P575" s="2"/>
      <c r="Q575" s="2" t="str">
        <f>IF(SUMPRODUCT(--ISNUMBER(SEARCH('National Domains'!$A$2:$A$48,L575)))&gt;0,"Yes","No")</f>
        <v>Yes</v>
      </c>
      <c r="R575" s="2" t="str">
        <f>IF(COUNTIFS(Calibration!$A:$A,A575,Calibration!$B:$B,B575)&gt;0,"Yes","No")</f>
        <v>No</v>
      </c>
      <c r="S575" s="6"/>
    </row>
    <row r="576" spans="1:19" ht="34.5" customHeight="1" x14ac:dyDescent="0.2">
      <c r="A576" s="2">
        <v>158</v>
      </c>
      <c r="B576" s="2">
        <v>11</v>
      </c>
      <c r="C576" s="2" t="s">
        <v>303</v>
      </c>
      <c r="D576" s="2" t="s">
        <v>25</v>
      </c>
      <c r="E576" s="2">
        <v>20170425</v>
      </c>
      <c r="F576" s="2">
        <v>20170507</v>
      </c>
      <c r="G576" s="2">
        <v>2156.6999999999998</v>
      </c>
      <c r="H576" s="2">
        <v>1659</v>
      </c>
      <c r="I576" s="2">
        <v>20</v>
      </c>
      <c r="J576" s="2" t="s">
        <v>304</v>
      </c>
      <c r="K576" s="2" t="s">
        <v>103</v>
      </c>
      <c r="L576" s="2" t="s">
        <v>2188</v>
      </c>
      <c r="M576" s="7" t="s">
        <v>2189</v>
      </c>
      <c r="N576" s="7" t="s">
        <v>2190</v>
      </c>
      <c r="O576" s="2"/>
      <c r="P576" s="2"/>
      <c r="Q576" s="2" t="str">
        <f>IF(SUMPRODUCT(--ISNUMBER(SEARCH('National Domains'!$A$2:$A$48,L576)))&gt;0,"Yes","No")</f>
        <v>Yes</v>
      </c>
      <c r="R576" s="2" t="str">
        <f>IF(COUNTIFS(Calibration!$A:$A,A576,Calibration!$B:$B,B576)&gt;0,"Yes","No")</f>
        <v>No</v>
      </c>
      <c r="S576" s="6"/>
    </row>
    <row r="577" spans="1:19" ht="34.5" customHeight="1" x14ac:dyDescent="0.2">
      <c r="A577" s="2">
        <v>159</v>
      </c>
      <c r="B577" s="2">
        <v>1</v>
      </c>
      <c r="C577" s="2" t="s">
        <v>305</v>
      </c>
      <c r="D577" s="2" t="s">
        <v>17</v>
      </c>
      <c r="E577" s="2">
        <v>20170508</v>
      </c>
      <c r="F577" s="2">
        <v>20170511</v>
      </c>
      <c r="G577" s="2">
        <v>4321.5</v>
      </c>
      <c r="H577" s="2">
        <v>3350</v>
      </c>
      <c r="I577" s="2">
        <v>0</v>
      </c>
      <c r="J577" s="2" t="s">
        <v>306</v>
      </c>
      <c r="K577" s="2" t="s">
        <v>307</v>
      </c>
      <c r="L577" s="2" t="s">
        <v>2191</v>
      </c>
      <c r="M577" s="7" t="s">
        <v>2192</v>
      </c>
      <c r="N577" s="7" t="s">
        <v>2193</v>
      </c>
      <c r="O577" s="2"/>
      <c r="P577" s="2"/>
      <c r="Q577" s="2" t="str">
        <f>IF(SUMPRODUCT(--ISNUMBER(SEARCH('National Domains'!$A$2:$A$48,L577)))&gt;0,"Yes","No")</f>
        <v>No</v>
      </c>
      <c r="R577" s="2" t="str">
        <f>IF(COUNTIFS(Calibration!$A:$A,A577,Calibration!$B:$B,B577)&gt;0,"Yes","No")</f>
        <v>No</v>
      </c>
      <c r="S577" s="6"/>
    </row>
    <row r="578" spans="1:19" ht="34.5" customHeight="1" x14ac:dyDescent="0.2">
      <c r="A578" s="2">
        <v>160</v>
      </c>
      <c r="B578" s="2">
        <v>1</v>
      </c>
      <c r="C578" s="2" t="s">
        <v>308</v>
      </c>
      <c r="D578" s="2" t="s">
        <v>17</v>
      </c>
      <c r="E578" s="2">
        <v>20170515</v>
      </c>
      <c r="F578" s="2">
        <v>20170518</v>
      </c>
      <c r="G578" s="2">
        <v>1214.0999999999999</v>
      </c>
      <c r="H578" s="2">
        <v>941</v>
      </c>
      <c r="I578" s="2">
        <v>1</v>
      </c>
      <c r="J578" s="2" t="s">
        <v>36</v>
      </c>
      <c r="K578" s="2" t="s">
        <v>37</v>
      </c>
      <c r="L578" s="2" t="s">
        <v>2194</v>
      </c>
      <c r="M578" s="7" t="s">
        <v>2195</v>
      </c>
      <c r="N578" s="7" t="s">
        <v>2196</v>
      </c>
      <c r="O578" s="2"/>
      <c r="P578" s="2"/>
      <c r="Q578" s="2" t="str">
        <f>IF(SUMPRODUCT(--ISNUMBER(SEARCH('National Domains'!$A$2:$A$48,L578)))&gt;0,"Yes","No")</f>
        <v>Yes</v>
      </c>
      <c r="R578" s="2" t="str">
        <f>IF(COUNTIFS(Calibration!$A:$A,A578,Calibration!$B:$B,B578)&gt;0,"Yes","No")</f>
        <v>No</v>
      </c>
      <c r="S578" s="6"/>
    </row>
    <row r="579" spans="1:19" ht="34.5" customHeight="1" x14ac:dyDescent="0.2">
      <c r="A579" s="2">
        <v>160</v>
      </c>
      <c r="B579" s="2">
        <v>2</v>
      </c>
      <c r="C579" s="2" t="s">
        <v>308</v>
      </c>
      <c r="D579" s="2" t="s">
        <v>17</v>
      </c>
      <c r="E579" s="2">
        <v>20170515</v>
      </c>
      <c r="F579" s="2">
        <v>20170518</v>
      </c>
      <c r="G579" s="2">
        <v>1214.0999999999999</v>
      </c>
      <c r="H579" s="2">
        <v>941</v>
      </c>
      <c r="I579" s="2">
        <v>1</v>
      </c>
      <c r="J579" s="2" t="s">
        <v>36</v>
      </c>
      <c r="K579" s="2" t="s">
        <v>37</v>
      </c>
      <c r="L579" s="2" t="s">
        <v>2197</v>
      </c>
      <c r="M579" s="7" t="s">
        <v>2198</v>
      </c>
      <c r="N579" s="7" t="s">
        <v>2199</v>
      </c>
      <c r="O579" s="2"/>
      <c r="P579" s="2"/>
      <c r="Q579" s="2" t="str">
        <f>IF(SUMPRODUCT(--ISNUMBER(SEARCH('National Domains'!$A$2:$A$48,L579)))&gt;0,"Yes","No")</f>
        <v>Yes</v>
      </c>
      <c r="R579" s="2" t="str">
        <f>IF(COUNTIFS(Calibration!$A:$A,A579,Calibration!$B:$B,B579)&gt;0,"Yes","No")</f>
        <v>No</v>
      </c>
      <c r="S579" s="6"/>
    </row>
    <row r="580" spans="1:19" ht="34.5" customHeight="1" x14ac:dyDescent="0.2">
      <c r="A580" s="2">
        <v>164</v>
      </c>
      <c r="B580" s="2">
        <v>1</v>
      </c>
      <c r="C580" s="2" t="s">
        <v>312</v>
      </c>
      <c r="D580" s="2" t="s">
        <v>39</v>
      </c>
      <c r="E580" s="2">
        <v>20170825</v>
      </c>
      <c r="F580" s="2">
        <v>20170831</v>
      </c>
      <c r="G580" s="2">
        <v>160000</v>
      </c>
      <c r="H580" s="2">
        <v>125000</v>
      </c>
      <c r="I580" s="2">
        <v>89</v>
      </c>
      <c r="J580" s="2" t="s">
        <v>40</v>
      </c>
      <c r="K580" s="2" t="s">
        <v>41</v>
      </c>
      <c r="L580" s="2" t="s">
        <v>2200</v>
      </c>
      <c r="M580" s="7" t="s">
        <v>2201</v>
      </c>
      <c r="N580" s="7" t="s">
        <v>2202</v>
      </c>
      <c r="O580" s="2"/>
      <c r="P580" s="2"/>
      <c r="Q580" s="2" t="str">
        <f>IF(SUMPRODUCT(--ISNUMBER(SEARCH('National Domains'!$A$2:$A$48,L580)))&gt;0,"Yes","No")</f>
        <v>No</v>
      </c>
      <c r="R580" s="2" t="str">
        <f>IF(COUNTIFS(Calibration!$A:$A,A580,Calibration!$B:$B,B580)&gt;0,"Yes","No")</f>
        <v>No</v>
      </c>
      <c r="S580" s="6"/>
    </row>
    <row r="581" spans="1:19" ht="34.5" customHeight="1" x14ac:dyDescent="0.2">
      <c r="A581" s="2">
        <v>164</v>
      </c>
      <c r="B581" s="2">
        <v>2</v>
      </c>
      <c r="C581" s="2" t="s">
        <v>312</v>
      </c>
      <c r="D581" s="2" t="s">
        <v>39</v>
      </c>
      <c r="E581" s="2">
        <v>20170825</v>
      </c>
      <c r="F581" s="2">
        <v>20170831</v>
      </c>
      <c r="G581" s="2">
        <v>160000</v>
      </c>
      <c r="H581" s="2">
        <v>125000</v>
      </c>
      <c r="I581" s="2">
        <v>89</v>
      </c>
      <c r="J581" s="2" t="s">
        <v>40</v>
      </c>
      <c r="K581" s="2" t="s">
        <v>41</v>
      </c>
      <c r="L581" s="2" t="s">
        <v>2203</v>
      </c>
      <c r="M581" s="7" t="s">
        <v>2204</v>
      </c>
      <c r="N581" s="7" t="s">
        <v>2205</v>
      </c>
      <c r="O581" s="2"/>
      <c r="P581" s="2"/>
      <c r="Q581" s="2" t="str">
        <f>IF(SUMPRODUCT(--ISNUMBER(SEARCH('National Domains'!$A$2:$A$48,L581)))&gt;0,"Yes","No")</f>
        <v>No</v>
      </c>
      <c r="R581" s="2" t="str">
        <f>IF(COUNTIFS(Calibration!$A:$A,A581,Calibration!$B:$B,B581)&gt;0,"Yes","No")</f>
        <v>No</v>
      </c>
      <c r="S581" s="6"/>
    </row>
    <row r="582" spans="1:19" ht="34.5" customHeight="1" x14ac:dyDescent="0.2">
      <c r="A582" s="2">
        <v>164</v>
      </c>
      <c r="B582" s="2">
        <v>3</v>
      </c>
      <c r="C582" s="2" t="s">
        <v>312</v>
      </c>
      <c r="D582" s="2" t="s">
        <v>39</v>
      </c>
      <c r="E582" s="2">
        <v>20170825</v>
      </c>
      <c r="F582" s="2">
        <v>20170831</v>
      </c>
      <c r="G582" s="2">
        <v>160000</v>
      </c>
      <c r="H582" s="2">
        <v>125000</v>
      </c>
      <c r="I582" s="2">
        <v>89</v>
      </c>
      <c r="J582" s="2" t="s">
        <v>40</v>
      </c>
      <c r="K582" s="2" t="s">
        <v>41</v>
      </c>
      <c r="L582" s="2" t="s">
        <v>2206</v>
      </c>
      <c r="M582" s="7" t="s">
        <v>2207</v>
      </c>
      <c r="N582" s="7" t="s">
        <v>2208</v>
      </c>
      <c r="O582" s="2"/>
      <c r="P582" s="2"/>
      <c r="Q582" s="2" t="str">
        <f>IF(SUMPRODUCT(--ISNUMBER(SEARCH('National Domains'!$A$2:$A$48,L582)))&gt;0,"Yes","No")</f>
        <v>No</v>
      </c>
      <c r="R582" s="2" t="str">
        <f>IF(COUNTIFS(Calibration!$A:$A,A582,Calibration!$B:$B,B582)&gt;0,"Yes","No")</f>
        <v>No</v>
      </c>
      <c r="S582" s="6"/>
    </row>
    <row r="583" spans="1:19" ht="34.5" customHeight="1" x14ac:dyDescent="0.2">
      <c r="A583" s="2">
        <v>164</v>
      </c>
      <c r="B583" s="2">
        <v>4</v>
      </c>
      <c r="C583" s="2" t="s">
        <v>312</v>
      </c>
      <c r="D583" s="2" t="s">
        <v>39</v>
      </c>
      <c r="E583" s="2">
        <v>20170825</v>
      </c>
      <c r="F583" s="2">
        <v>20170831</v>
      </c>
      <c r="G583" s="2">
        <v>160000</v>
      </c>
      <c r="H583" s="2">
        <v>125000</v>
      </c>
      <c r="I583" s="2">
        <v>89</v>
      </c>
      <c r="J583" s="2" t="s">
        <v>40</v>
      </c>
      <c r="K583" s="2" t="s">
        <v>41</v>
      </c>
      <c r="L583" s="2" t="s">
        <v>2209</v>
      </c>
      <c r="M583" s="7" t="s">
        <v>2210</v>
      </c>
      <c r="N583" s="7" t="s">
        <v>2211</v>
      </c>
      <c r="O583" s="2"/>
      <c r="P583" s="2"/>
      <c r="Q583" s="2" t="str">
        <f>IF(SUMPRODUCT(--ISNUMBER(SEARCH('National Domains'!$A$2:$A$48,L583)))&gt;0,"Yes","No")</f>
        <v>No</v>
      </c>
      <c r="R583" s="2" t="str">
        <f>IF(COUNTIFS(Calibration!$A:$A,A583,Calibration!$B:$B,B583)&gt;0,"Yes","No")</f>
        <v>No</v>
      </c>
      <c r="S583" s="6"/>
    </row>
    <row r="584" spans="1:19" ht="34.5" customHeight="1" x14ac:dyDescent="0.2">
      <c r="A584" s="2">
        <v>164</v>
      </c>
      <c r="B584" s="2">
        <v>5</v>
      </c>
      <c r="C584" s="2" t="s">
        <v>312</v>
      </c>
      <c r="D584" s="2" t="s">
        <v>39</v>
      </c>
      <c r="E584" s="2">
        <v>20170825</v>
      </c>
      <c r="F584" s="2">
        <v>20170831</v>
      </c>
      <c r="G584" s="2">
        <v>160000</v>
      </c>
      <c r="H584" s="2">
        <v>125000</v>
      </c>
      <c r="I584" s="2">
        <v>89</v>
      </c>
      <c r="J584" s="2" t="s">
        <v>40</v>
      </c>
      <c r="K584" s="2" t="s">
        <v>41</v>
      </c>
      <c r="L584" s="2" t="s">
        <v>2212</v>
      </c>
      <c r="M584" s="7" t="s">
        <v>2213</v>
      </c>
      <c r="N584" s="7" t="s">
        <v>2214</v>
      </c>
      <c r="O584" s="2"/>
      <c r="P584" s="2"/>
      <c r="Q584" s="2" t="str">
        <f>IF(SUMPRODUCT(--ISNUMBER(SEARCH('National Domains'!$A$2:$A$48,L584)))&gt;0,"Yes","No")</f>
        <v>No</v>
      </c>
      <c r="R584" s="2" t="str">
        <f>IF(COUNTIFS(Calibration!$A:$A,A584,Calibration!$B:$B,B584)&gt;0,"Yes","No")</f>
        <v>No</v>
      </c>
      <c r="S584" s="6"/>
    </row>
    <row r="585" spans="1:19" ht="34.5" customHeight="1" x14ac:dyDescent="0.2">
      <c r="A585" s="2">
        <v>164</v>
      </c>
      <c r="B585" s="2">
        <v>6</v>
      </c>
      <c r="C585" s="2" t="s">
        <v>312</v>
      </c>
      <c r="D585" s="2" t="s">
        <v>39</v>
      </c>
      <c r="E585" s="2">
        <v>20170825</v>
      </c>
      <c r="F585" s="2">
        <v>20170831</v>
      </c>
      <c r="G585" s="2">
        <v>160000</v>
      </c>
      <c r="H585" s="2">
        <v>125000</v>
      </c>
      <c r="I585" s="2">
        <v>89</v>
      </c>
      <c r="J585" s="2" t="s">
        <v>40</v>
      </c>
      <c r="K585" s="2" t="s">
        <v>41</v>
      </c>
      <c r="L585" s="2" t="s">
        <v>2215</v>
      </c>
      <c r="M585" s="7" t="s">
        <v>2216</v>
      </c>
      <c r="N585" s="7" t="s">
        <v>2217</v>
      </c>
      <c r="O585" s="2"/>
      <c r="P585" s="2"/>
      <c r="Q585" s="2" t="str">
        <f>IF(SUMPRODUCT(--ISNUMBER(SEARCH('National Domains'!$A$2:$A$48,L585)))&gt;0,"Yes","No")</f>
        <v>Yes</v>
      </c>
      <c r="R585" s="2" t="str">
        <f>IF(COUNTIFS(Calibration!$A:$A,A585,Calibration!$B:$B,B585)&gt;0,"Yes","No")</f>
        <v>No</v>
      </c>
      <c r="S585" s="6"/>
    </row>
    <row r="586" spans="1:19" ht="34.5" customHeight="1" x14ac:dyDescent="0.2">
      <c r="A586" s="2">
        <v>164</v>
      </c>
      <c r="B586" s="2">
        <v>7</v>
      </c>
      <c r="C586" s="2" t="s">
        <v>312</v>
      </c>
      <c r="D586" s="2" t="s">
        <v>39</v>
      </c>
      <c r="E586" s="2">
        <v>20170825</v>
      </c>
      <c r="F586" s="2">
        <v>20170831</v>
      </c>
      <c r="G586" s="2">
        <v>160000</v>
      </c>
      <c r="H586" s="2">
        <v>125000</v>
      </c>
      <c r="I586" s="2">
        <v>89</v>
      </c>
      <c r="J586" s="2" t="s">
        <v>40</v>
      </c>
      <c r="K586" s="2" t="s">
        <v>41</v>
      </c>
      <c r="L586" s="2" t="s">
        <v>2218</v>
      </c>
      <c r="M586" s="7" t="s">
        <v>2219</v>
      </c>
      <c r="N586" s="7" t="s">
        <v>2220</v>
      </c>
      <c r="O586" s="2"/>
      <c r="P586" s="2"/>
      <c r="Q586" s="2" t="str">
        <f>IF(SUMPRODUCT(--ISNUMBER(SEARCH('National Domains'!$A$2:$A$48,L586)))&gt;0,"Yes","No")</f>
        <v>Yes</v>
      </c>
      <c r="R586" s="2" t="str">
        <f>IF(COUNTIFS(Calibration!$A:$A,A586,Calibration!$B:$B,B586)&gt;0,"Yes","No")</f>
        <v>No</v>
      </c>
      <c r="S586" s="6"/>
    </row>
    <row r="587" spans="1:19" ht="34.5" customHeight="1" x14ac:dyDescent="0.2">
      <c r="A587" s="2">
        <v>164</v>
      </c>
      <c r="B587" s="2">
        <v>8</v>
      </c>
      <c r="C587" s="2" t="s">
        <v>312</v>
      </c>
      <c r="D587" s="2" t="s">
        <v>39</v>
      </c>
      <c r="E587" s="2">
        <v>20170825</v>
      </c>
      <c r="F587" s="2">
        <v>20170831</v>
      </c>
      <c r="G587" s="2">
        <v>160000</v>
      </c>
      <c r="H587" s="2">
        <v>125000</v>
      </c>
      <c r="I587" s="2">
        <v>89</v>
      </c>
      <c r="J587" s="2" t="s">
        <v>40</v>
      </c>
      <c r="K587" s="2" t="s">
        <v>41</v>
      </c>
      <c r="L587" s="2" t="s">
        <v>2221</v>
      </c>
      <c r="M587" s="7" t="s">
        <v>2222</v>
      </c>
      <c r="N587" s="7" t="s">
        <v>2223</v>
      </c>
      <c r="O587" s="2"/>
      <c r="P587" s="2"/>
      <c r="Q587" s="2" t="str">
        <f>IF(SUMPRODUCT(--ISNUMBER(SEARCH('National Domains'!$A$2:$A$48,L587)))&gt;0,"Yes","No")</f>
        <v>Yes</v>
      </c>
      <c r="R587" s="2" t="str">
        <f>IF(COUNTIFS(Calibration!$A:$A,A587,Calibration!$B:$B,B587)&gt;0,"Yes","No")</f>
        <v>No</v>
      </c>
      <c r="S587" s="6"/>
    </row>
    <row r="588" spans="1:19" ht="34.5" customHeight="1" x14ac:dyDescent="0.2">
      <c r="A588" s="2">
        <v>164</v>
      </c>
      <c r="B588" s="2">
        <v>9</v>
      </c>
      <c r="C588" s="2" t="s">
        <v>312</v>
      </c>
      <c r="D588" s="2" t="s">
        <v>39</v>
      </c>
      <c r="E588" s="2">
        <v>20170825</v>
      </c>
      <c r="F588" s="2">
        <v>20170831</v>
      </c>
      <c r="G588" s="2">
        <v>160000</v>
      </c>
      <c r="H588" s="2">
        <v>125000</v>
      </c>
      <c r="I588" s="2">
        <v>89</v>
      </c>
      <c r="J588" s="2" t="s">
        <v>40</v>
      </c>
      <c r="K588" s="2" t="s">
        <v>41</v>
      </c>
      <c r="L588" s="2" t="s">
        <v>2224</v>
      </c>
      <c r="M588" s="7" t="s">
        <v>2225</v>
      </c>
      <c r="N588" s="7" t="s">
        <v>2226</v>
      </c>
      <c r="O588" s="2"/>
      <c r="P588" s="2"/>
      <c r="Q588" s="2" t="str">
        <f>IF(SUMPRODUCT(--ISNUMBER(SEARCH('National Domains'!$A$2:$A$48,L588)))&gt;0,"Yes","No")</f>
        <v>Yes</v>
      </c>
      <c r="R588" s="2" t="str">
        <f>IF(COUNTIFS(Calibration!$A:$A,A588,Calibration!$B:$B,B588)&gt;0,"Yes","No")</f>
        <v>No</v>
      </c>
      <c r="S588" s="6"/>
    </row>
    <row r="589" spans="1:19" ht="34.5" customHeight="1" x14ac:dyDescent="0.2">
      <c r="A589" s="2">
        <v>164</v>
      </c>
      <c r="B589" s="2">
        <v>10</v>
      </c>
      <c r="C589" s="2" t="s">
        <v>312</v>
      </c>
      <c r="D589" s="2" t="s">
        <v>39</v>
      </c>
      <c r="E589" s="2">
        <v>20170825</v>
      </c>
      <c r="F589" s="2">
        <v>20170831</v>
      </c>
      <c r="G589" s="2">
        <v>160000</v>
      </c>
      <c r="H589" s="2">
        <v>125000</v>
      </c>
      <c r="I589" s="2">
        <v>89</v>
      </c>
      <c r="J589" s="2" t="s">
        <v>40</v>
      </c>
      <c r="K589" s="2" t="s">
        <v>41</v>
      </c>
      <c r="L589" s="2" t="s">
        <v>2227</v>
      </c>
      <c r="M589" s="7" t="s">
        <v>2228</v>
      </c>
      <c r="N589" s="7" t="s">
        <v>2229</v>
      </c>
      <c r="O589" s="2"/>
      <c r="P589" s="2"/>
      <c r="Q589" s="2" t="str">
        <f>IF(SUMPRODUCT(--ISNUMBER(SEARCH('National Domains'!$A$2:$A$48,L589)))&gt;0,"Yes","No")</f>
        <v>Yes</v>
      </c>
      <c r="R589" s="2" t="str">
        <f>IF(COUNTIFS(Calibration!$A:$A,A589,Calibration!$B:$B,B589)&gt;0,"Yes","No")</f>
        <v>No</v>
      </c>
      <c r="S589" s="6"/>
    </row>
    <row r="590" spans="1:19" ht="34.5" customHeight="1" x14ac:dyDescent="0.2">
      <c r="A590" s="2">
        <v>164</v>
      </c>
      <c r="B590" s="2">
        <v>11</v>
      </c>
      <c r="C590" s="2" t="s">
        <v>312</v>
      </c>
      <c r="D590" s="2" t="s">
        <v>39</v>
      </c>
      <c r="E590" s="2">
        <v>20170825</v>
      </c>
      <c r="F590" s="2">
        <v>20170831</v>
      </c>
      <c r="G590" s="2">
        <v>160000</v>
      </c>
      <c r="H590" s="2">
        <v>125000</v>
      </c>
      <c r="I590" s="2">
        <v>89</v>
      </c>
      <c r="J590" s="2" t="s">
        <v>40</v>
      </c>
      <c r="K590" s="2" t="s">
        <v>41</v>
      </c>
      <c r="L590" s="2" t="s">
        <v>2230</v>
      </c>
      <c r="M590" s="7" t="s">
        <v>2231</v>
      </c>
      <c r="N590" s="7" t="s">
        <v>2232</v>
      </c>
      <c r="O590" s="2"/>
      <c r="P590" s="2"/>
      <c r="Q590" s="2" t="str">
        <f>IF(SUMPRODUCT(--ISNUMBER(SEARCH('National Domains'!$A$2:$A$48,L590)))&gt;0,"Yes","No")</f>
        <v>Yes</v>
      </c>
      <c r="R590" s="2" t="str">
        <f>IF(COUNTIFS(Calibration!$A:$A,A590,Calibration!$B:$B,B590)&gt;0,"Yes","No")</f>
        <v>No</v>
      </c>
      <c r="S590" s="6"/>
    </row>
    <row r="591" spans="1:19" ht="23.25" customHeight="1" x14ac:dyDescent="0.2">
      <c r="A591" s="2">
        <v>164</v>
      </c>
      <c r="B591" s="2">
        <v>12</v>
      </c>
      <c r="C591" s="2" t="s">
        <v>312</v>
      </c>
      <c r="D591" s="2" t="s">
        <v>39</v>
      </c>
      <c r="E591" s="2">
        <v>20170825</v>
      </c>
      <c r="F591" s="2">
        <v>20170831</v>
      </c>
      <c r="G591" s="2">
        <v>160000</v>
      </c>
      <c r="H591" s="2">
        <v>125000</v>
      </c>
      <c r="I591" s="2">
        <v>89</v>
      </c>
      <c r="J591" s="2" t="s">
        <v>40</v>
      </c>
      <c r="K591" s="2" t="s">
        <v>41</v>
      </c>
      <c r="L591" s="2" t="s">
        <v>2233</v>
      </c>
      <c r="M591" s="7" t="s">
        <v>2234</v>
      </c>
      <c r="N591" s="7" t="s">
        <v>2235</v>
      </c>
      <c r="O591" s="2"/>
      <c r="P591" s="2"/>
      <c r="Q591" s="2" t="str">
        <f>IF(SUMPRODUCT(--ISNUMBER(SEARCH('National Domains'!$A$2:$A$48,L591)))&gt;0,"Yes","No")</f>
        <v>No</v>
      </c>
      <c r="R591" s="2" t="str">
        <f>IF(COUNTIFS(Calibration!$A:$A,A591,Calibration!$B:$B,B591)&gt;0,"Yes","No")</f>
        <v>No</v>
      </c>
      <c r="S591" s="6"/>
    </row>
    <row r="592" spans="1:19" ht="23.25" customHeight="1" x14ac:dyDescent="0.2">
      <c r="A592" s="2">
        <v>164</v>
      </c>
      <c r="B592" s="2">
        <v>13</v>
      </c>
      <c r="C592" s="2" t="s">
        <v>312</v>
      </c>
      <c r="D592" s="2" t="s">
        <v>39</v>
      </c>
      <c r="E592" s="2">
        <v>20170825</v>
      </c>
      <c r="F592" s="2">
        <v>20170831</v>
      </c>
      <c r="G592" s="2">
        <v>160000</v>
      </c>
      <c r="H592" s="2">
        <v>125000</v>
      </c>
      <c r="I592" s="2">
        <v>89</v>
      </c>
      <c r="J592" s="2" t="s">
        <v>40</v>
      </c>
      <c r="K592" s="2" t="s">
        <v>41</v>
      </c>
      <c r="L592" s="2" t="s">
        <v>2236</v>
      </c>
      <c r="M592" s="7" t="s">
        <v>2237</v>
      </c>
      <c r="N592" s="7" t="s">
        <v>2238</v>
      </c>
      <c r="O592" s="2"/>
      <c r="P592" s="2"/>
      <c r="Q592" s="2" t="str">
        <f>IF(SUMPRODUCT(--ISNUMBER(SEARCH('National Domains'!$A$2:$A$48,L592)))&gt;0,"Yes","No")</f>
        <v>No</v>
      </c>
      <c r="R592" s="2" t="str">
        <f>IF(COUNTIFS(Calibration!$A:$A,A592,Calibration!$B:$B,B592)&gt;0,"Yes","No")</f>
        <v>No</v>
      </c>
      <c r="S592" s="6"/>
    </row>
    <row r="593" spans="1:19" ht="34.5" customHeight="1" x14ac:dyDescent="0.2">
      <c r="A593" s="2">
        <v>164</v>
      </c>
      <c r="B593" s="2">
        <v>14</v>
      </c>
      <c r="C593" s="2" t="s">
        <v>312</v>
      </c>
      <c r="D593" s="2" t="s">
        <v>39</v>
      </c>
      <c r="E593" s="2">
        <v>20170825</v>
      </c>
      <c r="F593" s="2">
        <v>20170831</v>
      </c>
      <c r="G593" s="2">
        <v>160000</v>
      </c>
      <c r="H593" s="2">
        <v>125000</v>
      </c>
      <c r="I593" s="2">
        <v>89</v>
      </c>
      <c r="J593" s="2" t="s">
        <v>40</v>
      </c>
      <c r="K593" s="2" t="s">
        <v>41</v>
      </c>
      <c r="L593" s="2" t="s">
        <v>2239</v>
      </c>
      <c r="M593" s="7" t="s">
        <v>2240</v>
      </c>
      <c r="N593" s="7" t="s">
        <v>2241</v>
      </c>
      <c r="O593" s="2"/>
      <c r="P593" s="2"/>
      <c r="Q593" s="2" t="str">
        <f>IF(SUMPRODUCT(--ISNUMBER(SEARCH('National Domains'!$A$2:$A$48,L593)))&gt;0,"Yes","No")</f>
        <v>No</v>
      </c>
      <c r="R593" s="2" t="str">
        <f>IF(COUNTIFS(Calibration!$A:$A,A593,Calibration!$B:$B,B593)&gt;0,"Yes","No")</f>
        <v>No</v>
      </c>
      <c r="S593" s="6"/>
    </row>
    <row r="594" spans="1:19" ht="34.5" customHeight="1" x14ac:dyDescent="0.2">
      <c r="A594" s="2">
        <v>164</v>
      </c>
      <c r="B594" s="2">
        <v>15</v>
      </c>
      <c r="C594" s="2" t="s">
        <v>312</v>
      </c>
      <c r="D594" s="2" t="s">
        <v>39</v>
      </c>
      <c r="E594" s="2">
        <v>20170825</v>
      </c>
      <c r="F594" s="2">
        <v>20170831</v>
      </c>
      <c r="G594" s="2">
        <v>160000</v>
      </c>
      <c r="H594" s="2">
        <v>125000</v>
      </c>
      <c r="I594" s="2">
        <v>89</v>
      </c>
      <c r="J594" s="2" t="s">
        <v>40</v>
      </c>
      <c r="K594" s="2" t="s">
        <v>41</v>
      </c>
      <c r="L594" s="2" t="s">
        <v>2242</v>
      </c>
      <c r="M594" s="7" t="s">
        <v>2243</v>
      </c>
      <c r="N594" s="7" t="s">
        <v>2244</v>
      </c>
      <c r="O594" s="2"/>
      <c r="P594" s="2"/>
      <c r="Q594" s="2" t="str">
        <f>IF(SUMPRODUCT(--ISNUMBER(SEARCH('National Domains'!$A$2:$A$48,L594)))&gt;0,"Yes","No")</f>
        <v>No</v>
      </c>
      <c r="R594" s="2" t="str">
        <f>IF(COUNTIFS(Calibration!$A:$A,A594,Calibration!$B:$B,B594)&gt;0,"Yes","No")</f>
        <v>No</v>
      </c>
      <c r="S594" s="6"/>
    </row>
    <row r="595" spans="1:19" ht="34.5" customHeight="1" x14ac:dyDescent="0.2">
      <c r="A595" s="2">
        <v>164</v>
      </c>
      <c r="B595" s="2">
        <v>16</v>
      </c>
      <c r="C595" s="2" t="s">
        <v>312</v>
      </c>
      <c r="D595" s="2" t="s">
        <v>39</v>
      </c>
      <c r="E595" s="2">
        <v>20170825</v>
      </c>
      <c r="F595" s="2">
        <v>20170831</v>
      </c>
      <c r="G595" s="2">
        <v>160000</v>
      </c>
      <c r="H595" s="2">
        <v>125000</v>
      </c>
      <c r="I595" s="2">
        <v>89</v>
      </c>
      <c r="J595" s="2" t="s">
        <v>40</v>
      </c>
      <c r="K595" s="2" t="s">
        <v>41</v>
      </c>
      <c r="L595" s="2" t="s">
        <v>2245</v>
      </c>
      <c r="M595" s="7" t="s">
        <v>2246</v>
      </c>
      <c r="N595" s="7" t="s">
        <v>2247</v>
      </c>
      <c r="O595" s="2"/>
      <c r="P595" s="2"/>
      <c r="Q595" s="2" t="str">
        <f>IF(SUMPRODUCT(--ISNUMBER(SEARCH('National Domains'!$A$2:$A$48,L595)))&gt;0,"Yes","No")</f>
        <v>Yes</v>
      </c>
      <c r="R595" s="2" t="str">
        <f>IF(COUNTIFS(Calibration!$A:$A,A595,Calibration!$B:$B,B595)&gt;0,"Yes","No")</f>
        <v>No</v>
      </c>
      <c r="S595" s="6"/>
    </row>
    <row r="596" spans="1:19" ht="34.5" customHeight="1" x14ac:dyDescent="0.2">
      <c r="A596" s="2">
        <v>164</v>
      </c>
      <c r="B596" s="2">
        <v>17</v>
      </c>
      <c r="C596" s="2" t="s">
        <v>312</v>
      </c>
      <c r="D596" s="2" t="s">
        <v>39</v>
      </c>
      <c r="E596" s="2">
        <v>20170825</v>
      </c>
      <c r="F596" s="2">
        <v>20170831</v>
      </c>
      <c r="G596" s="2">
        <v>160000</v>
      </c>
      <c r="H596" s="2">
        <v>125000</v>
      </c>
      <c r="I596" s="2">
        <v>89</v>
      </c>
      <c r="J596" s="2" t="s">
        <v>40</v>
      </c>
      <c r="K596" s="2" t="s">
        <v>41</v>
      </c>
      <c r="L596" s="2" t="s">
        <v>2248</v>
      </c>
      <c r="M596" s="7" t="s">
        <v>2249</v>
      </c>
      <c r="N596" s="7" t="s">
        <v>2250</v>
      </c>
      <c r="O596" s="2"/>
      <c r="P596" s="2"/>
      <c r="Q596" s="2" t="str">
        <f>IF(SUMPRODUCT(--ISNUMBER(SEARCH('National Domains'!$A$2:$A$48,L596)))&gt;0,"Yes","No")</f>
        <v>Yes</v>
      </c>
      <c r="R596" s="2" t="str">
        <f>IF(COUNTIFS(Calibration!$A:$A,A596,Calibration!$B:$B,B596)&gt;0,"Yes","No")</f>
        <v>No</v>
      </c>
      <c r="S596" s="6"/>
    </row>
    <row r="597" spans="1:19" ht="34.5" customHeight="1" x14ac:dyDescent="0.2">
      <c r="A597" s="2">
        <v>165</v>
      </c>
      <c r="B597" s="2">
        <v>1</v>
      </c>
      <c r="C597" s="2" t="s">
        <v>313</v>
      </c>
      <c r="D597" s="2" t="s">
        <v>39</v>
      </c>
      <c r="E597" s="2">
        <v>20170906</v>
      </c>
      <c r="F597" s="2">
        <v>20170912</v>
      </c>
      <c r="G597" s="2">
        <v>64000</v>
      </c>
      <c r="H597" s="2">
        <v>50000</v>
      </c>
      <c r="I597" s="2">
        <v>97</v>
      </c>
      <c r="J597" s="2" t="s">
        <v>314</v>
      </c>
      <c r="K597" s="2" t="s">
        <v>27</v>
      </c>
      <c r="L597" s="2" t="s">
        <v>2251</v>
      </c>
      <c r="M597" s="7" t="s">
        <v>2252</v>
      </c>
      <c r="N597" s="7" t="s">
        <v>2253</v>
      </c>
      <c r="O597" s="2"/>
      <c r="P597" s="2"/>
      <c r="Q597" s="2" t="str">
        <f>IF(SUMPRODUCT(--ISNUMBER(SEARCH('National Domains'!$A$2:$A$48,L597)))&gt;0,"Yes","No")</f>
        <v>No</v>
      </c>
      <c r="R597" s="2" t="str">
        <f>IF(COUNTIFS(Calibration!$A:$A,A597,Calibration!$B:$B,B597)&gt;0,"Yes","No")</f>
        <v>No</v>
      </c>
      <c r="S597" s="6"/>
    </row>
    <row r="598" spans="1:19" ht="34.5" customHeight="1" x14ac:dyDescent="0.2">
      <c r="A598" s="2">
        <v>165</v>
      </c>
      <c r="B598" s="2">
        <v>2</v>
      </c>
      <c r="C598" s="2" t="s">
        <v>313</v>
      </c>
      <c r="D598" s="2" t="s">
        <v>39</v>
      </c>
      <c r="E598" s="2">
        <v>20170906</v>
      </c>
      <c r="F598" s="2">
        <v>20170912</v>
      </c>
      <c r="G598" s="2">
        <v>64000</v>
      </c>
      <c r="H598" s="2">
        <v>50000</v>
      </c>
      <c r="I598" s="2">
        <v>97</v>
      </c>
      <c r="J598" s="2" t="s">
        <v>314</v>
      </c>
      <c r="K598" s="2" t="s">
        <v>27</v>
      </c>
      <c r="L598" s="2" t="s">
        <v>2254</v>
      </c>
      <c r="M598" s="7" t="s">
        <v>2255</v>
      </c>
      <c r="N598" s="7" t="s">
        <v>2256</v>
      </c>
      <c r="O598" s="2"/>
      <c r="P598" s="2"/>
      <c r="Q598" s="2" t="str">
        <f>IF(SUMPRODUCT(--ISNUMBER(SEARCH('National Domains'!$A$2:$A$48,L598)))&gt;0,"Yes","No")</f>
        <v>No</v>
      </c>
      <c r="R598" s="2" t="str">
        <f>IF(COUNTIFS(Calibration!$A:$A,A598,Calibration!$B:$B,B598)&gt;0,"Yes","No")</f>
        <v>No</v>
      </c>
      <c r="S598" s="6"/>
    </row>
    <row r="599" spans="1:19" ht="34.5" customHeight="1" x14ac:dyDescent="0.2">
      <c r="A599" s="2">
        <v>165</v>
      </c>
      <c r="B599" s="2">
        <v>3</v>
      </c>
      <c r="C599" s="2" t="s">
        <v>313</v>
      </c>
      <c r="D599" s="2" t="s">
        <v>39</v>
      </c>
      <c r="E599" s="2">
        <v>20170906</v>
      </c>
      <c r="F599" s="2">
        <v>20170912</v>
      </c>
      <c r="G599" s="2">
        <v>64000</v>
      </c>
      <c r="H599" s="2">
        <v>50000</v>
      </c>
      <c r="I599" s="2">
        <v>97</v>
      </c>
      <c r="J599" s="2" t="s">
        <v>314</v>
      </c>
      <c r="K599" s="2" t="s">
        <v>27</v>
      </c>
      <c r="L599" s="2" t="s">
        <v>2257</v>
      </c>
      <c r="M599" s="7" t="s">
        <v>2258</v>
      </c>
      <c r="N599" s="7" t="s">
        <v>2259</v>
      </c>
      <c r="O599" s="2"/>
      <c r="P599" s="2"/>
      <c r="Q599" s="2" t="str">
        <f>IF(SUMPRODUCT(--ISNUMBER(SEARCH('National Domains'!$A$2:$A$48,L599)))&gt;0,"Yes","No")</f>
        <v>No</v>
      </c>
      <c r="R599" s="2" t="str">
        <f>IF(COUNTIFS(Calibration!$A:$A,A599,Calibration!$B:$B,B599)&gt;0,"Yes","No")</f>
        <v>No</v>
      </c>
      <c r="S599" s="6"/>
    </row>
    <row r="600" spans="1:19" ht="34.5" customHeight="1" x14ac:dyDescent="0.2">
      <c r="A600" s="2">
        <v>165</v>
      </c>
      <c r="B600" s="2">
        <v>4</v>
      </c>
      <c r="C600" s="2" t="s">
        <v>313</v>
      </c>
      <c r="D600" s="2" t="s">
        <v>39</v>
      </c>
      <c r="E600" s="2">
        <v>20170906</v>
      </c>
      <c r="F600" s="2">
        <v>20170912</v>
      </c>
      <c r="G600" s="2">
        <v>64000</v>
      </c>
      <c r="H600" s="2">
        <v>50000</v>
      </c>
      <c r="I600" s="2">
        <v>97</v>
      </c>
      <c r="J600" s="2" t="s">
        <v>314</v>
      </c>
      <c r="K600" s="2" t="s">
        <v>27</v>
      </c>
      <c r="L600" s="2" t="s">
        <v>2260</v>
      </c>
      <c r="M600" s="7" t="s">
        <v>2261</v>
      </c>
      <c r="N600" s="7" t="s">
        <v>2262</v>
      </c>
      <c r="O600" s="2"/>
      <c r="P600" s="2"/>
      <c r="Q600" s="2" t="str">
        <f>IF(SUMPRODUCT(--ISNUMBER(SEARCH('National Domains'!$A$2:$A$48,L600)))&gt;0,"Yes","No")</f>
        <v>No</v>
      </c>
      <c r="R600" s="2" t="str">
        <f>IF(COUNTIFS(Calibration!$A:$A,A600,Calibration!$B:$B,B600)&gt;0,"Yes","No")</f>
        <v>No</v>
      </c>
      <c r="S600" s="6"/>
    </row>
    <row r="601" spans="1:19" ht="34.5" customHeight="1" x14ac:dyDescent="0.2">
      <c r="A601" s="2">
        <v>165</v>
      </c>
      <c r="B601" s="2">
        <v>5</v>
      </c>
      <c r="C601" s="2" t="s">
        <v>313</v>
      </c>
      <c r="D601" s="2" t="s">
        <v>39</v>
      </c>
      <c r="E601" s="2">
        <v>20170906</v>
      </c>
      <c r="F601" s="2">
        <v>20170912</v>
      </c>
      <c r="G601" s="2">
        <v>64000</v>
      </c>
      <c r="H601" s="2">
        <v>50000</v>
      </c>
      <c r="I601" s="2">
        <v>97</v>
      </c>
      <c r="J601" s="2" t="s">
        <v>314</v>
      </c>
      <c r="K601" s="2" t="s">
        <v>27</v>
      </c>
      <c r="L601" s="2" t="s">
        <v>2263</v>
      </c>
      <c r="M601" s="7" t="s">
        <v>2264</v>
      </c>
      <c r="N601" s="7" t="s">
        <v>2265</v>
      </c>
      <c r="O601" s="2"/>
      <c r="P601" s="2"/>
      <c r="Q601" s="2" t="str">
        <f>IF(SUMPRODUCT(--ISNUMBER(SEARCH('National Domains'!$A$2:$A$48,L601)))&gt;0,"Yes","No")</f>
        <v>No</v>
      </c>
      <c r="R601" s="2" t="str">
        <f>IF(COUNTIFS(Calibration!$A:$A,A601,Calibration!$B:$B,B601)&gt;0,"Yes","No")</f>
        <v>No</v>
      </c>
      <c r="S601" s="6"/>
    </row>
    <row r="602" spans="1:19" ht="34.5" customHeight="1" x14ac:dyDescent="0.2">
      <c r="A602" s="2">
        <v>165</v>
      </c>
      <c r="B602" s="2">
        <v>6</v>
      </c>
      <c r="C602" s="2" t="s">
        <v>313</v>
      </c>
      <c r="D602" s="2" t="s">
        <v>39</v>
      </c>
      <c r="E602" s="2">
        <v>20170906</v>
      </c>
      <c r="F602" s="2">
        <v>20170912</v>
      </c>
      <c r="G602" s="2">
        <v>64000</v>
      </c>
      <c r="H602" s="2">
        <v>50000</v>
      </c>
      <c r="I602" s="2">
        <v>97</v>
      </c>
      <c r="J602" s="2" t="s">
        <v>314</v>
      </c>
      <c r="K602" s="2" t="s">
        <v>27</v>
      </c>
      <c r="L602" s="2" t="s">
        <v>2266</v>
      </c>
      <c r="M602" s="7" t="s">
        <v>2267</v>
      </c>
      <c r="N602" s="7" t="s">
        <v>2268</v>
      </c>
      <c r="O602" s="2"/>
      <c r="P602" s="2"/>
      <c r="Q602" s="2" t="str">
        <f>IF(SUMPRODUCT(--ISNUMBER(SEARCH('National Domains'!$A$2:$A$48,L602)))&gt;0,"Yes","No")</f>
        <v>No</v>
      </c>
      <c r="R602" s="2" t="str">
        <f>IF(COUNTIFS(Calibration!$A:$A,A602,Calibration!$B:$B,B602)&gt;0,"Yes","No")</f>
        <v>No</v>
      </c>
      <c r="S602" s="6"/>
    </row>
    <row r="603" spans="1:19" ht="34.5" customHeight="1" x14ac:dyDescent="0.2">
      <c r="A603" s="2">
        <v>165</v>
      </c>
      <c r="B603" s="2">
        <v>7</v>
      </c>
      <c r="C603" s="2" t="s">
        <v>313</v>
      </c>
      <c r="D603" s="2" t="s">
        <v>39</v>
      </c>
      <c r="E603" s="2">
        <v>20170906</v>
      </c>
      <c r="F603" s="2">
        <v>20170912</v>
      </c>
      <c r="G603" s="2">
        <v>64000</v>
      </c>
      <c r="H603" s="2">
        <v>50000</v>
      </c>
      <c r="I603" s="2">
        <v>97</v>
      </c>
      <c r="J603" s="2" t="s">
        <v>314</v>
      </c>
      <c r="K603" s="2" t="s">
        <v>27</v>
      </c>
      <c r="L603" s="2" t="s">
        <v>2269</v>
      </c>
      <c r="M603" s="7" t="s">
        <v>2270</v>
      </c>
      <c r="N603" s="7" t="s">
        <v>2271</v>
      </c>
      <c r="O603" s="2"/>
      <c r="P603" s="2"/>
      <c r="Q603" s="2" t="str">
        <f>IF(SUMPRODUCT(--ISNUMBER(SEARCH('National Domains'!$A$2:$A$48,L603)))&gt;0,"Yes","No")</f>
        <v>No</v>
      </c>
      <c r="R603" s="2" t="str">
        <f>IF(COUNTIFS(Calibration!$A:$A,A603,Calibration!$B:$B,B603)&gt;0,"Yes","No")</f>
        <v>No</v>
      </c>
      <c r="S603" s="6"/>
    </row>
    <row r="604" spans="1:19" ht="34.5" customHeight="1" x14ac:dyDescent="0.2">
      <c r="A604" s="2">
        <v>165</v>
      </c>
      <c r="B604" s="2">
        <v>8</v>
      </c>
      <c r="C604" s="2" t="s">
        <v>313</v>
      </c>
      <c r="D604" s="2" t="s">
        <v>39</v>
      </c>
      <c r="E604" s="2">
        <v>20170906</v>
      </c>
      <c r="F604" s="2">
        <v>20170912</v>
      </c>
      <c r="G604" s="2">
        <v>64000</v>
      </c>
      <c r="H604" s="2">
        <v>50000</v>
      </c>
      <c r="I604" s="2">
        <v>97</v>
      </c>
      <c r="J604" s="2" t="s">
        <v>314</v>
      </c>
      <c r="K604" s="2" t="s">
        <v>27</v>
      </c>
      <c r="L604" s="2" t="s">
        <v>2272</v>
      </c>
      <c r="M604" s="7" t="s">
        <v>2273</v>
      </c>
      <c r="N604" s="7" t="s">
        <v>2274</v>
      </c>
      <c r="O604" s="2"/>
      <c r="P604" s="2"/>
      <c r="Q604" s="2" t="str">
        <f>IF(SUMPRODUCT(--ISNUMBER(SEARCH('National Domains'!$A$2:$A$48,L604)))&gt;0,"Yes","No")</f>
        <v>No</v>
      </c>
      <c r="R604" s="2" t="str">
        <f>IF(COUNTIFS(Calibration!$A:$A,A604,Calibration!$B:$B,B604)&gt;0,"Yes","No")</f>
        <v>No</v>
      </c>
      <c r="S604" s="6"/>
    </row>
    <row r="605" spans="1:19" ht="34.5" customHeight="1" x14ac:dyDescent="0.2">
      <c r="A605" s="2">
        <v>165</v>
      </c>
      <c r="B605" s="2">
        <v>9</v>
      </c>
      <c r="C605" s="2" t="s">
        <v>313</v>
      </c>
      <c r="D605" s="2" t="s">
        <v>39</v>
      </c>
      <c r="E605" s="2">
        <v>20170906</v>
      </c>
      <c r="F605" s="2">
        <v>20170912</v>
      </c>
      <c r="G605" s="2">
        <v>64000</v>
      </c>
      <c r="H605" s="2">
        <v>50000</v>
      </c>
      <c r="I605" s="2">
        <v>97</v>
      </c>
      <c r="J605" s="2" t="s">
        <v>314</v>
      </c>
      <c r="K605" s="2" t="s">
        <v>27</v>
      </c>
      <c r="L605" s="2" t="s">
        <v>2275</v>
      </c>
      <c r="M605" s="7" t="s">
        <v>2276</v>
      </c>
      <c r="N605" s="7" t="s">
        <v>2277</v>
      </c>
      <c r="O605" s="2"/>
      <c r="P605" s="2"/>
      <c r="Q605" s="2" t="str">
        <f>IF(SUMPRODUCT(--ISNUMBER(SEARCH('National Domains'!$A$2:$A$48,L605)))&gt;0,"Yes","No")</f>
        <v>No</v>
      </c>
      <c r="R605" s="2" t="str">
        <f>IF(COUNTIFS(Calibration!$A:$A,A605,Calibration!$B:$B,B605)&gt;0,"Yes","No")</f>
        <v>No</v>
      </c>
      <c r="S605" s="6"/>
    </row>
    <row r="606" spans="1:19" ht="34.5" customHeight="1" x14ac:dyDescent="0.2">
      <c r="A606" s="2">
        <v>165</v>
      </c>
      <c r="B606" s="2">
        <v>10</v>
      </c>
      <c r="C606" s="2" t="s">
        <v>313</v>
      </c>
      <c r="D606" s="2" t="s">
        <v>39</v>
      </c>
      <c r="E606" s="2">
        <v>20170906</v>
      </c>
      <c r="F606" s="2">
        <v>20170912</v>
      </c>
      <c r="G606" s="2">
        <v>64000</v>
      </c>
      <c r="H606" s="2">
        <v>50000</v>
      </c>
      <c r="I606" s="2">
        <v>97</v>
      </c>
      <c r="J606" s="2" t="s">
        <v>314</v>
      </c>
      <c r="K606" s="2" t="s">
        <v>27</v>
      </c>
      <c r="L606" s="2" t="s">
        <v>2278</v>
      </c>
      <c r="M606" s="7" t="s">
        <v>2279</v>
      </c>
      <c r="N606" s="7" t="s">
        <v>2280</v>
      </c>
      <c r="O606" s="2"/>
      <c r="P606" s="2"/>
      <c r="Q606" s="2" t="str">
        <f>IF(SUMPRODUCT(--ISNUMBER(SEARCH('National Domains'!$A$2:$A$48,L606)))&gt;0,"Yes","No")</f>
        <v>Yes</v>
      </c>
      <c r="R606" s="2" t="str">
        <f>IF(COUNTIFS(Calibration!$A:$A,A606,Calibration!$B:$B,B606)&gt;0,"Yes","No")</f>
        <v>No</v>
      </c>
      <c r="S606" s="6"/>
    </row>
    <row r="607" spans="1:19" ht="34.5" customHeight="1" x14ac:dyDescent="0.2">
      <c r="A607" s="2">
        <v>165</v>
      </c>
      <c r="B607" s="2">
        <v>11</v>
      </c>
      <c r="C607" s="2" t="s">
        <v>313</v>
      </c>
      <c r="D607" s="2" t="s">
        <v>39</v>
      </c>
      <c r="E607" s="2">
        <v>20170906</v>
      </c>
      <c r="F607" s="2">
        <v>20170912</v>
      </c>
      <c r="G607" s="2">
        <v>64000</v>
      </c>
      <c r="H607" s="2">
        <v>50000</v>
      </c>
      <c r="I607" s="2">
        <v>97</v>
      </c>
      <c r="J607" s="2" t="s">
        <v>314</v>
      </c>
      <c r="K607" s="2" t="s">
        <v>27</v>
      </c>
      <c r="L607" s="2" t="s">
        <v>2281</v>
      </c>
      <c r="M607" s="7" t="s">
        <v>2282</v>
      </c>
      <c r="N607" s="7" t="s">
        <v>2283</v>
      </c>
      <c r="O607" s="2"/>
      <c r="P607" s="2"/>
      <c r="Q607" s="2" t="str">
        <f>IF(SUMPRODUCT(--ISNUMBER(SEARCH('National Domains'!$A$2:$A$48,L607)))&gt;0,"Yes","No")</f>
        <v>Yes</v>
      </c>
      <c r="R607" s="2" t="str">
        <f>IF(COUNTIFS(Calibration!$A:$A,A607,Calibration!$B:$B,B607)&gt;0,"Yes","No")</f>
        <v>No</v>
      </c>
      <c r="S607" s="6"/>
    </row>
    <row r="608" spans="1:19" ht="34.5" customHeight="1" x14ac:dyDescent="0.2">
      <c r="A608" s="2">
        <v>165</v>
      </c>
      <c r="B608" s="2">
        <v>12</v>
      </c>
      <c r="C608" s="2" t="s">
        <v>313</v>
      </c>
      <c r="D608" s="2" t="s">
        <v>39</v>
      </c>
      <c r="E608" s="2">
        <v>20170906</v>
      </c>
      <c r="F608" s="2">
        <v>20170912</v>
      </c>
      <c r="G608" s="2">
        <v>64000</v>
      </c>
      <c r="H608" s="2">
        <v>50000</v>
      </c>
      <c r="I608" s="2">
        <v>97</v>
      </c>
      <c r="J608" s="2" t="s">
        <v>314</v>
      </c>
      <c r="K608" s="2" t="s">
        <v>27</v>
      </c>
      <c r="L608" s="2" t="s">
        <v>2284</v>
      </c>
      <c r="M608" s="7" t="s">
        <v>2285</v>
      </c>
      <c r="N608" s="7" t="s">
        <v>2286</v>
      </c>
      <c r="O608" s="2"/>
      <c r="P608" s="2"/>
      <c r="Q608" s="2" t="str">
        <f>IF(SUMPRODUCT(--ISNUMBER(SEARCH('National Domains'!$A$2:$A$48,L608)))&gt;0,"Yes","No")</f>
        <v>Yes</v>
      </c>
      <c r="R608" s="2" t="str">
        <f>IF(COUNTIFS(Calibration!$A:$A,A608,Calibration!$B:$B,B608)&gt;0,"Yes","No")</f>
        <v>No</v>
      </c>
      <c r="S608" s="6"/>
    </row>
    <row r="609" spans="1:19" ht="34.5" customHeight="1" x14ac:dyDescent="0.2">
      <c r="A609" s="2">
        <v>165</v>
      </c>
      <c r="B609" s="2">
        <v>13</v>
      </c>
      <c r="C609" s="2" t="s">
        <v>313</v>
      </c>
      <c r="D609" s="2" t="s">
        <v>39</v>
      </c>
      <c r="E609" s="2">
        <v>20170906</v>
      </c>
      <c r="F609" s="2">
        <v>20170912</v>
      </c>
      <c r="G609" s="2">
        <v>64000</v>
      </c>
      <c r="H609" s="2">
        <v>50000</v>
      </c>
      <c r="I609" s="2">
        <v>97</v>
      </c>
      <c r="J609" s="2" t="s">
        <v>314</v>
      </c>
      <c r="K609" s="2" t="s">
        <v>27</v>
      </c>
      <c r="L609" s="2" t="s">
        <v>2287</v>
      </c>
      <c r="M609" s="7" t="s">
        <v>2288</v>
      </c>
      <c r="N609" s="7" t="s">
        <v>2289</v>
      </c>
      <c r="O609" s="2"/>
      <c r="P609" s="2"/>
      <c r="Q609" s="2" t="str">
        <f>IF(SUMPRODUCT(--ISNUMBER(SEARCH('National Domains'!$A$2:$A$48,L609)))&gt;0,"Yes","No")</f>
        <v>Yes</v>
      </c>
      <c r="R609" s="2" t="str">
        <f>IF(COUNTIFS(Calibration!$A:$A,A609,Calibration!$B:$B,B609)&gt;0,"Yes","No")</f>
        <v>No</v>
      </c>
      <c r="S609" s="6"/>
    </row>
    <row r="610" spans="1:19" ht="34.5" customHeight="1" x14ac:dyDescent="0.2">
      <c r="A610" s="2">
        <v>165</v>
      </c>
      <c r="B610" s="2">
        <v>14</v>
      </c>
      <c r="C610" s="2" t="s">
        <v>313</v>
      </c>
      <c r="D610" s="2" t="s">
        <v>39</v>
      </c>
      <c r="E610" s="2">
        <v>20170906</v>
      </c>
      <c r="F610" s="2">
        <v>20170912</v>
      </c>
      <c r="G610" s="2">
        <v>64000</v>
      </c>
      <c r="H610" s="2">
        <v>50000</v>
      </c>
      <c r="I610" s="2">
        <v>97</v>
      </c>
      <c r="J610" s="2" t="s">
        <v>314</v>
      </c>
      <c r="K610" s="2" t="s">
        <v>27</v>
      </c>
      <c r="L610" s="2" t="s">
        <v>2290</v>
      </c>
      <c r="M610" s="7" t="s">
        <v>2291</v>
      </c>
      <c r="N610" s="7" t="s">
        <v>2292</v>
      </c>
      <c r="O610" s="2"/>
      <c r="P610" s="2"/>
      <c r="Q610" s="2" t="str">
        <f>IF(SUMPRODUCT(--ISNUMBER(SEARCH('National Domains'!$A$2:$A$48,L610)))&gt;0,"Yes","No")</f>
        <v>Yes</v>
      </c>
      <c r="R610" s="2" t="str">
        <f>IF(COUNTIFS(Calibration!$A:$A,A610,Calibration!$B:$B,B610)&gt;0,"Yes","No")</f>
        <v>No</v>
      </c>
      <c r="S610" s="6"/>
    </row>
    <row r="611" spans="1:19" ht="34.5" customHeight="1" x14ac:dyDescent="0.2">
      <c r="A611" s="2">
        <v>165</v>
      </c>
      <c r="B611" s="2">
        <v>15</v>
      </c>
      <c r="C611" s="2" t="s">
        <v>313</v>
      </c>
      <c r="D611" s="2" t="s">
        <v>39</v>
      </c>
      <c r="E611" s="2">
        <v>20170906</v>
      </c>
      <c r="F611" s="2">
        <v>20170912</v>
      </c>
      <c r="G611" s="2">
        <v>64000</v>
      </c>
      <c r="H611" s="2">
        <v>50000</v>
      </c>
      <c r="I611" s="2">
        <v>97</v>
      </c>
      <c r="J611" s="2" t="s">
        <v>314</v>
      </c>
      <c r="K611" s="2" t="s">
        <v>27</v>
      </c>
      <c r="L611" s="2" t="s">
        <v>2293</v>
      </c>
      <c r="M611" s="7" t="s">
        <v>2294</v>
      </c>
      <c r="N611" s="7" t="s">
        <v>2295</v>
      </c>
      <c r="O611" s="2"/>
      <c r="P611" s="2"/>
      <c r="Q611" s="2" t="str">
        <f>IF(SUMPRODUCT(--ISNUMBER(SEARCH('National Domains'!$A$2:$A$48,L611)))&gt;0,"Yes","No")</f>
        <v>No</v>
      </c>
      <c r="R611" s="2" t="str">
        <f>IF(COUNTIFS(Calibration!$A:$A,A611,Calibration!$B:$B,B611)&gt;0,"Yes","No")</f>
        <v>No</v>
      </c>
      <c r="S611" s="6"/>
    </row>
    <row r="612" spans="1:19" ht="34.5" customHeight="1" x14ac:dyDescent="0.2">
      <c r="A612" s="2">
        <v>165</v>
      </c>
      <c r="B612" s="2">
        <v>16</v>
      </c>
      <c r="C612" s="2" t="s">
        <v>313</v>
      </c>
      <c r="D612" s="2" t="s">
        <v>39</v>
      </c>
      <c r="E612" s="2">
        <v>20170906</v>
      </c>
      <c r="F612" s="2">
        <v>20170912</v>
      </c>
      <c r="G612" s="2">
        <v>64000</v>
      </c>
      <c r="H612" s="2">
        <v>50000</v>
      </c>
      <c r="I612" s="2">
        <v>97</v>
      </c>
      <c r="J612" s="2" t="s">
        <v>314</v>
      </c>
      <c r="K612" s="2" t="s">
        <v>27</v>
      </c>
      <c r="L612" s="2" t="s">
        <v>2296</v>
      </c>
      <c r="M612" s="7" t="s">
        <v>2297</v>
      </c>
      <c r="N612" s="7" t="s">
        <v>2298</v>
      </c>
      <c r="O612" s="2"/>
      <c r="P612" s="2"/>
      <c r="Q612" s="2" t="str">
        <f>IF(SUMPRODUCT(--ISNUMBER(SEARCH('National Domains'!$A$2:$A$48,L612)))&gt;0,"Yes","No")</f>
        <v>No</v>
      </c>
      <c r="R612" s="2" t="str">
        <f>IF(COUNTIFS(Calibration!$A:$A,A612,Calibration!$B:$B,B612)&gt;0,"Yes","No")</f>
        <v>No</v>
      </c>
      <c r="S612" s="6"/>
    </row>
    <row r="613" spans="1:19" ht="34.5" customHeight="1" x14ac:dyDescent="0.2">
      <c r="A613" s="2">
        <v>166</v>
      </c>
      <c r="B613" s="2">
        <v>1</v>
      </c>
      <c r="C613" s="2" t="s">
        <v>315</v>
      </c>
      <c r="D613" s="2" t="s">
        <v>39</v>
      </c>
      <c r="E613" s="2">
        <v>20170919</v>
      </c>
      <c r="F613" s="2">
        <v>20170921</v>
      </c>
      <c r="G613" s="2">
        <v>115200</v>
      </c>
      <c r="H613" s="2">
        <v>90000</v>
      </c>
      <c r="I613" s="2">
        <v>2981</v>
      </c>
      <c r="J613" s="2" t="s">
        <v>316</v>
      </c>
      <c r="K613" s="2" t="s">
        <v>44</v>
      </c>
      <c r="L613" s="2" t="s">
        <v>2299</v>
      </c>
      <c r="M613" s="7" t="s">
        <v>2300</v>
      </c>
      <c r="N613" s="7" t="s">
        <v>2301</v>
      </c>
      <c r="O613" s="2"/>
      <c r="P613" s="2"/>
      <c r="Q613" s="2" t="str">
        <f>IF(SUMPRODUCT(--ISNUMBER(SEARCH('National Domains'!$A$2:$A$48,L613)))&gt;0,"Yes","No")</f>
        <v>Yes</v>
      </c>
      <c r="R613" s="2" t="str">
        <f>IF(COUNTIFS(Calibration!$A:$A,A613,Calibration!$B:$B,B613)&gt;0,"Yes","No")</f>
        <v>No</v>
      </c>
      <c r="S613" s="6"/>
    </row>
    <row r="614" spans="1:19" ht="34.5" customHeight="1" x14ac:dyDescent="0.2">
      <c r="A614" s="2">
        <v>166</v>
      </c>
      <c r="B614" s="2">
        <v>2</v>
      </c>
      <c r="C614" s="2" t="s">
        <v>315</v>
      </c>
      <c r="D614" s="2" t="s">
        <v>39</v>
      </c>
      <c r="E614" s="2">
        <v>20170919</v>
      </c>
      <c r="F614" s="2">
        <v>20170921</v>
      </c>
      <c r="G614" s="2">
        <v>115200</v>
      </c>
      <c r="H614" s="2">
        <v>90000</v>
      </c>
      <c r="I614" s="2">
        <v>2981</v>
      </c>
      <c r="J614" s="2" t="s">
        <v>316</v>
      </c>
      <c r="K614" s="2" t="s">
        <v>44</v>
      </c>
      <c r="L614" s="2" t="s">
        <v>2302</v>
      </c>
      <c r="M614" s="7" t="s">
        <v>2303</v>
      </c>
      <c r="N614" s="7" t="s">
        <v>2304</v>
      </c>
      <c r="O614" s="2"/>
      <c r="P614" s="2"/>
      <c r="Q614" s="2" t="str">
        <f>IF(SUMPRODUCT(--ISNUMBER(SEARCH('National Domains'!$A$2:$A$48,L614)))&gt;0,"Yes","No")</f>
        <v>Yes</v>
      </c>
      <c r="R614" s="2" t="str">
        <f>IF(COUNTIFS(Calibration!$A:$A,A614,Calibration!$B:$B,B614)&gt;0,"Yes","No")</f>
        <v>No</v>
      </c>
      <c r="S614" s="6"/>
    </row>
    <row r="615" spans="1:19" ht="34.5" customHeight="1" x14ac:dyDescent="0.2">
      <c r="A615" s="2">
        <v>166</v>
      </c>
      <c r="B615" s="2">
        <v>3</v>
      </c>
      <c r="C615" s="2" t="s">
        <v>315</v>
      </c>
      <c r="D615" s="2" t="s">
        <v>39</v>
      </c>
      <c r="E615" s="2">
        <v>20170919</v>
      </c>
      <c r="F615" s="2">
        <v>20170921</v>
      </c>
      <c r="G615" s="2">
        <v>115200</v>
      </c>
      <c r="H615" s="2">
        <v>90000</v>
      </c>
      <c r="I615" s="2">
        <v>2981</v>
      </c>
      <c r="J615" s="2" t="s">
        <v>316</v>
      </c>
      <c r="K615" s="2" t="s">
        <v>44</v>
      </c>
      <c r="L615" s="2" t="s">
        <v>2305</v>
      </c>
      <c r="M615" s="7" t="s">
        <v>2306</v>
      </c>
      <c r="N615" s="7" t="s">
        <v>2307</v>
      </c>
      <c r="O615" s="2"/>
      <c r="P615" s="2"/>
      <c r="Q615" s="2" t="str">
        <f>IF(SUMPRODUCT(--ISNUMBER(SEARCH('National Domains'!$A$2:$A$48,L615)))&gt;0,"Yes","No")</f>
        <v>Yes</v>
      </c>
      <c r="R615" s="2" t="str">
        <f>IF(COUNTIFS(Calibration!$A:$A,A615,Calibration!$B:$B,B615)&gt;0,"Yes","No")</f>
        <v>No</v>
      </c>
      <c r="S615" s="6"/>
    </row>
    <row r="616" spans="1:19" ht="34.5" customHeight="1" x14ac:dyDescent="0.2">
      <c r="A616" s="2">
        <v>166</v>
      </c>
      <c r="B616" s="2">
        <v>4</v>
      </c>
      <c r="C616" s="2" t="s">
        <v>315</v>
      </c>
      <c r="D616" s="2" t="s">
        <v>39</v>
      </c>
      <c r="E616" s="2">
        <v>20170919</v>
      </c>
      <c r="F616" s="2">
        <v>20170921</v>
      </c>
      <c r="G616" s="2">
        <v>115200</v>
      </c>
      <c r="H616" s="2">
        <v>90000</v>
      </c>
      <c r="I616" s="2">
        <v>2981</v>
      </c>
      <c r="J616" s="2" t="s">
        <v>316</v>
      </c>
      <c r="K616" s="2" t="s">
        <v>44</v>
      </c>
      <c r="L616" s="2" t="s">
        <v>2308</v>
      </c>
      <c r="M616" s="7" t="s">
        <v>2309</v>
      </c>
      <c r="N616" s="7" t="s">
        <v>2310</v>
      </c>
      <c r="O616" s="2"/>
      <c r="P616" s="2"/>
      <c r="Q616" s="2" t="str">
        <f>IF(SUMPRODUCT(--ISNUMBER(SEARCH('National Domains'!$A$2:$A$48,L616)))&gt;0,"Yes","No")</f>
        <v>Yes</v>
      </c>
      <c r="R616" s="2" t="str">
        <f>IF(COUNTIFS(Calibration!$A:$A,A616,Calibration!$B:$B,B616)&gt;0,"Yes","No")</f>
        <v>No</v>
      </c>
      <c r="S616" s="6"/>
    </row>
    <row r="617" spans="1:19" ht="23.25" customHeight="1" x14ac:dyDescent="0.2">
      <c r="A617" s="2">
        <v>166</v>
      </c>
      <c r="B617" s="2">
        <v>5</v>
      </c>
      <c r="C617" s="2" t="s">
        <v>315</v>
      </c>
      <c r="D617" s="2" t="s">
        <v>39</v>
      </c>
      <c r="E617" s="2">
        <v>20170919</v>
      </c>
      <c r="F617" s="2">
        <v>20170921</v>
      </c>
      <c r="G617" s="2">
        <v>115200</v>
      </c>
      <c r="H617" s="2">
        <v>90000</v>
      </c>
      <c r="I617" s="2">
        <v>2981</v>
      </c>
      <c r="J617" s="2" t="s">
        <v>316</v>
      </c>
      <c r="K617" s="2" t="s">
        <v>44</v>
      </c>
      <c r="L617" s="2" t="s">
        <v>2311</v>
      </c>
      <c r="M617" s="7" t="s">
        <v>2312</v>
      </c>
      <c r="N617" s="7" t="s">
        <v>2313</v>
      </c>
      <c r="O617" s="2"/>
      <c r="P617" s="2"/>
      <c r="Q617" s="2" t="str">
        <f>IF(SUMPRODUCT(--ISNUMBER(SEARCH('National Domains'!$A$2:$A$48,L617)))&gt;0,"Yes","No")</f>
        <v>Yes</v>
      </c>
      <c r="R617" s="2" t="str">
        <f>IF(COUNTIFS(Calibration!$A:$A,A617,Calibration!$B:$B,B617)&gt;0,"Yes","No")</f>
        <v>No</v>
      </c>
      <c r="S617" s="6"/>
    </row>
    <row r="618" spans="1:19" ht="34.5" customHeight="1" x14ac:dyDescent="0.2">
      <c r="A618" s="2">
        <v>166</v>
      </c>
      <c r="B618" s="2">
        <v>6</v>
      </c>
      <c r="C618" s="2" t="s">
        <v>315</v>
      </c>
      <c r="D618" s="2" t="s">
        <v>39</v>
      </c>
      <c r="E618" s="2">
        <v>20170919</v>
      </c>
      <c r="F618" s="2">
        <v>20170921</v>
      </c>
      <c r="G618" s="2">
        <v>115200</v>
      </c>
      <c r="H618" s="2">
        <v>90000</v>
      </c>
      <c r="I618" s="2">
        <v>2981</v>
      </c>
      <c r="J618" s="2" t="s">
        <v>316</v>
      </c>
      <c r="K618" s="2" t="s">
        <v>44</v>
      </c>
      <c r="L618" s="2" t="s">
        <v>2314</v>
      </c>
      <c r="M618" s="7" t="s">
        <v>2315</v>
      </c>
      <c r="N618" s="7" t="s">
        <v>2316</v>
      </c>
      <c r="O618" s="2"/>
      <c r="P618" s="2"/>
      <c r="Q618" s="2" t="str">
        <f>IF(SUMPRODUCT(--ISNUMBER(SEARCH('National Domains'!$A$2:$A$48,L618)))&gt;0,"Yes","No")</f>
        <v>Yes</v>
      </c>
      <c r="R618" s="2" t="str">
        <f>IF(COUNTIFS(Calibration!$A:$A,A618,Calibration!$B:$B,B618)&gt;0,"Yes","No")</f>
        <v>No</v>
      </c>
      <c r="S618" s="6"/>
    </row>
    <row r="619" spans="1:19" ht="34.5" customHeight="1" x14ac:dyDescent="0.2">
      <c r="A619" s="2">
        <v>166</v>
      </c>
      <c r="B619" s="2">
        <v>7</v>
      </c>
      <c r="C619" s="2" t="s">
        <v>315</v>
      </c>
      <c r="D619" s="2" t="s">
        <v>39</v>
      </c>
      <c r="E619" s="2">
        <v>20170919</v>
      </c>
      <c r="F619" s="2">
        <v>20170921</v>
      </c>
      <c r="G619" s="2">
        <v>115200</v>
      </c>
      <c r="H619" s="2">
        <v>90000</v>
      </c>
      <c r="I619" s="2">
        <v>2981</v>
      </c>
      <c r="J619" s="2" t="s">
        <v>316</v>
      </c>
      <c r="K619" s="2" t="s">
        <v>44</v>
      </c>
      <c r="L619" s="2" t="s">
        <v>2317</v>
      </c>
      <c r="M619" s="7" t="s">
        <v>2318</v>
      </c>
      <c r="N619" s="7" t="s">
        <v>2319</v>
      </c>
      <c r="O619" s="2"/>
      <c r="P619" s="2"/>
      <c r="Q619" s="2" t="str">
        <f>IF(SUMPRODUCT(--ISNUMBER(SEARCH('National Domains'!$A$2:$A$48,L619)))&gt;0,"Yes","No")</f>
        <v>Yes</v>
      </c>
      <c r="R619" s="2" t="str">
        <f>IF(COUNTIFS(Calibration!$A:$A,A619,Calibration!$B:$B,B619)&gt;0,"Yes","No")</f>
        <v>No</v>
      </c>
      <c r="S619" s="6"/>
    </row>
    <row r="620" spans="1:19" ht="34.5" customHeight="1" x14ac:dyDescent="0.2">
      <c r="A620" s="2">
        <v>167</v>
      </c>
      <c r="B620" s="2">
        <v>1</v>
      </c>
      <c r="C620" s="2" t="s">
        <v>317</v>
      </c>
      <c r="D620" s="2" t="s">
        <v>21</v>
      </c>
      <c r="E620" s="2">
        <v>20170601</v>
      </c>
      <c r="F620" s="2">
        <v>20171231</v>
      </c>
      <c r="G620" s="2">
        <v>23226.5</v>
      </c>
      <c r="H620" s="2">
        <v>18005</v>
      </c>
      <c r="I620" s="2">
        <v>54</v>
      </c>
      <c r="J620" s="2" t="s">
        <v>22</v>
      </c>
      <c r="K620" s="2" t="s">
        <v>23</v>
      </c>
      <c r="L620" s="2" t="s">
        <v>2320</v>
      </c>
      <c r="M620" s="7" t="s">
        <v>2321</v>
      </c>
      <c r="N620" s="7" t="s">
        <v>2322</v>
      </c>
      <c r="O620" s="2"/>
      <c r="P620" s="2"/>
      <c r="Q620" s="2" t="str">
        <f>IF(SUMPRODUCT(--ISNUMBER(SEARCH('National Domains'!$A$2:$A$48,L620)))&gt;0,"Yes","No")</f>
        <v>Yes</v>
      </c>
      <c r="R620" s="2" t="str">
        <f>IF(COUNTIFS(Calibration!$A:$A,A620,Calibration!$B:$B,B620)&gt;0,"Yes","No")</f>
        <v>No</v>
      </c>
      <c r="S620" s="6"/>
    </row>
    <row r="621" spans="1:19" ht="34.5" customHeight="1" x14ac:dyDescent="0.2">
      <c r="A621" s="2">
        <v>167</v>
      </c>
      <c r="B621" s="2">
        <v>2</v>
      </c>
      <c r="C621" s="2" t="s">
        <v>317</v>
      </c>
      <c r="D621" s="2" t="s">
        <v>21</v>
      </c>
      <c r="E621" s="2">
        <v>20170601</v>
      </c>
      <c r="F621" s="2">
        <v>20171231</v>
      </c>
      <c r="G621" s="2">
        <v>23226.5</v>
      </c>
      <c r="H621" s="2">
        <v>18005</v>
      </c>
      <c r="I621" s="2">
        <v>54</v>
      </c>
      <c r="J621" s="2" t="s">
        <v>22</v>
      </c>
      <c r="K621" s="2" t="s">
        <v>23</v>
      </c>
      <c r="L621" s="2" t="s">
        <v>2323</v>
      </c>
      <c r="M621" s="7" t="s">
        <v>2324</v>
      </c>
      <c r="N621" s="7" t="s">
        <v>2325</v>
      </c>
      <c r="O621" s="2"/>
      <c r="P621" s="2"/>
      <c r="Q621" s="2" t="str">
        <f>IF(SUMPRODUCT(--ISNUMBER(SEARCH('National Domains'!$A$2:$A$48,L621)))&gt;0,"Yes","No")</f>
        <v>Yes</v>
      </c>
      <c r="R621" s="2" t="str">
        <f>IF(COUNTIFS(Calibration!$A:$A,A621,Calibration!$B:$B,B621)&gt;0,"Yes","No")</f>
        <v>No</v>
      </c>
      <c r="S621" s="6"/>
    </row>
    <row r="622" spans="1:19" ht="34.5" customHeight="1" x14ac:dyDescent="0.2">
      <c r="A622" s="2">
        <v>167</v>
      </c>
      <c r="B622" s="2">
        <v>3</v>
      </c>
      <c r="C622" s="2" t="s">
        <v>317</v>
      </c>
      <c r="D622" s="2" t="s">
        <v>21</v>
      </c>
      <c r="E622" s="2">
        <v>20170601</v>
      </c>
      <c r="F622" s="2">
        <v>20171231</v>
      </c>
      <c r="G622" s="2">
        <v>23226.5</v>
      </c>
      <c r="H622" s="2">
        <v>18005</v>
      </c>
      <c r="I622" s="2">
        <v>54</v>
      </c>
      <c r="J622" s="2" t="s">
        <v>22</v>
      </c>
      <c r="K622" s="2" t="s">
        <v>23</v>
      </c>
      <c r="L622" s="2" t="s">
        <v>2326</v>
      </c>
      <c r="M622" s="7" t="s">
        <v>2327</v>
      </c>
      <c r="N622" s="7" t="s">
        <v>2328</v>
      </c>
      <c r="O622" s="2"/>
      <c r="P622" s="2"/>
      <c r="Q622" s="2" t="str">
        <f>IF(SUMPRODUCT(--ISNUMBER(SEARCH('National Domains'!$A$2:$A$48,L622)))&gt;0,"Yes","No")</f>
        <v>No</v>
      </c>
      <c r="R622" s="2" t="str">
        <f>IF(COUNTIFS(Calibration!$A:$A,A622,Calibration!$B:$B,B622)&gt;0,"Yes","No")</f>
        <v>No</v>
      </c>
      <c r="S622" s="6"/>
    </row>
    <row r="623" spans="1:19" ht="34.5" customHeight="1" x14ac:dyDescent="0.2">
      <c r="A623" s="2">
        <v>167</v>
      </c>
      <c r="B623" s="2">
        <v>4</v>
      </c>
      <c r="C623" s="2" t="s">
        <v>317</v>
      </c>
      <c r="D623" s="2" t="s">
        <v>21</v>
      </c>
      <c r="E623" s="2">
        <v>20170601</v>
      </c>
      <c r="F623" s="2">
        <v>20171231</v>
      </c>
      <c r="G623" s="2">
        <v>23226.5</v>
      </c>
      <c r="H623" s="2">
        <v>18005</v>
      </c>
      <c r="I623" s="2">
        <v>54</v>
      </c>
      <c r="J623" s="2" t="s">
        <v>22</v>
      </c>
      <c r="K623" s="2" t="s">
        <v>23</v>
      </c>
      <c r="L623" s="2" t="s">
        <v>2329</v>
      </c>
      <c r="M623" s="7" t="s">
        <v>2330</v>
      </c>
      <c r="N623" s="7" t="s">
        <v>2331</v>
      </c>
      <c r="O623" s="2"/>
      <c r="P623" s="2"/>
      <c r="Q623" s="2" t="str">
        <f>IF(SUMPRODUCT(--ISNUMBER(SEARCH('National Domains'!$A$2:$A$48,L623)))&gt;0,"Yes","No")</f>
        <v>No</v>
      </c>
      <c r="R623" s="2" t="str">
        <f>IF(COUNTIFS(Calibration!$A:$A,A623,Calibration!$B:$B,B623)&gt;0,"Yes","No")</f>
        <v>No</v>
      </c>
      <c r="S623" s="6"/>
    </row>
    <row r="624" spans="1:19" ht="23.25" customHeight="1" x14ac:dyDescent="0.2">
      <c r="A624" s="2">
        <v>167</v>
      </c>
      <c r="B624" s="2">
        <v>5</v>
      </c>
      <c r="C624" s="2" t="s">
        <v>317</v>
      </c>
      <c r="D624" s="2" t="s">
        <v>21</v>
      </c>
      <c r="E624" s="2">
        <v>20170601</v>
      </c>
      <c r="F624" s="2">
        <v>20171231</v>
      </c>
      <c r="G624" s="2">
        <v>23226.5</v>
      </c>
      <c r="H624" s="2">
        <v>18005</v>
      </c>
      <c r="I624" s="2">
        <v>54</v>
      </c>
      <c r="J624" s="2" t="s">
        <v>22</v>
      </c>
      <c r="K624" s="2" t="s">
        <v>23</v>
      </c>
      <c r="L624" s="2" t="s">
        <v>2332</v>
      </c>
      <c r="M624" s="7" t="s">
        <v>2333</v>
      </c>
      <c r="N624" s="7" t="s">
        <v>2334</v>
      </c>
      <c r="O624" s="2"/>
      <c r="P624" s="2"/>
      <c r="Q624" s="2" t="str">
        <f>IF(SUMPRODUCT(--ISNUMBER(SEARCH('National Domains'!$A$2:$A$48,L624)))&gt;0,"Yes","No")</f>
        <v>No</v>
      </c>
      <c r="R624" s="2" t="str">
        <f>IF(COUNTIFS(Calibration!$A:$A,A624,Calibration!$B:$B,B624)&gt;0,"Yes","No")</f>
        <v>No</v>
      </c>
      <c r="S624" s="6"/>
    </row>
    <row r="625" spans="1:19" ht="34.5" customHeight="1" x14ac:dyDescent="0.2">
      <c r="A625" s="2">
        <v>167</v>
      </c>
      <c r="B625" s="2">
        <v>6</v>
      </c>
      <c r="C625" s="2" t="s">
        <v>317</v>
      </c>
      <c r="D625" s="2" t="s">
        <v>21</v>
      </c>
      <c r="E625" s="2">
        <v>20170601</v>
      </c>
      <c r="F625" s="2">
        <v>20171231</v>
      </c>
      <c r="G625" s="2">
        <v>23226.5</v>
      </c>
      <c r="H625" s="2">
        <v>18005</v>
      </c>
      <c r="I625" s="2">
        <v>54</v>
      </c>
      <c r="J625" s="2" t="s">
        <v>22</v>
      </c>
      <c r="K625" s="2" t="s">
        <v>23</v>
      </c>
      <c r="L625" s="2" t="s">
        <v>2335</v>
      </c>
      <c r="M625" s="7" t="s">
        <v>2336</v>
      </c>
      <c r="N625" s="7" t="s">
        <v>2337</v>
      </c>
      <c r="O625" s="2"/>
      <c r="P625" s="2"/>
      <c r="Q625" s="2" t="str">
        <f>IF(SUMPRODUCT(--ISNUMBER(SEARCH('National Domains'!$A$2:$A$48,L625)))&gt;0,"Yes","No")</f>
        <v>No</v>
      </c>
      <c r="R625" s="2" t="str">
        <f>IF(COUNTIFS(Calibration!$A:$A,A625,Calibration!$B:$B,B625)&gt;0,"Yes","No")</f>
        <v>No</v>
      </c>
      <c r="S625" s="6"/>
    </row>
    <row r="626" spans="1:19" ht="34.5" customHeight="1" x14ac:dyDescent="0.2">
      <c r="A626" s="2">
        <v>167</v>
      </c>
      <c r="B626" s="2">
        <v>7</v>
      </c>
      <c r="C626" s="2" t="s">
        <v>317</v>
      </c>
      <c r="D626" s="2" t="s">
        <v>21</v>
      </c>
      <c r="E626" s="2">
        <v>20170601</v>
      </c>
      <c r="F626" s="2">
        <v>20171231</v>
      </c>
      <c r="G626" s="2">
        <v>23226.5</v>
      </c>
      <c r="H626" s="2">
        <v>18005</v>
      </c>
      <c r="I626" s="2">
        <v>54</v>
      </c>
      <c r="J626" s="2" t="s">
        <v>22</v>
      </c>
      <c r="K626" s="2" t="s">
        <v>23</v>
      </c>
      <c r="L626" s="2" t="s">
        <v>2338</v>
      </c>
      <c r="M626" s="7" t="s">
        <v>2339</v>
      </c>
      <c r="N626" s="7" t="s">
        <v>2340</v>
      </c>
      <c r="O626" s="2"/>
      <c r="P626" s="2"/>
      <c r="Q626" s="2" t="str">
        <f>IF(SUMPRODUCT(--ISNUMBER(SEARCH('National Domains'!$A$2:$A$48,L626)))&gt;0,"Yes","No")</f>
        <v>No</v>
      </c>
      <c r="R626" s="2" t="str">
        <f>IF(COUNTIFS(Calibration!$A:$A,A626,Calibration!$B:$B,B626)&gt;0,"Yes","No")</f>
        <v>No</v>
      </c>
      <c r="S626" s="6"/>
    </row>
    <row r="627" spans="1:19" ht="34.5" customHeight="1" x14ac:dyDescent="0.2">
      <c r="A627" s="2">
        <v>167</v>
      </c>
      <c r="B627" s="2">
        <v>8</v>
      </c>
      <c r="C627" s="2" t="s">
        <v>317</v>
      </c>
      <c r="D627" s="2" t="s">
        <v>21</v>
      </c>
      <c r="E627" s="2">
        <v>20170601</v>
      </c>
      <c r="F627" s="2">
        <v>20171231</v>
      </c>
      <c r="G627" s="2">
        <v>23226.5</v>
      </c>
      <c r="H627" s="2">
        <v>18005</v>
      </c>
      <c r="I627" s="2">
        <v>54</v>
      </c>
      <c r="J627" s="2" t="s">
        <v>22</v>
      </c>
      <c r="K627" s="2" t="s">
        <v>23</v>
      </c>
      <c r="L627" s="2" t="s">
        <v>2341</v>
      </c>
      <c r="M627" s="7" t="s">
        <v>2342</v>
      </c>
      <c r="N627" s="7" t="s">
        <v>2343</v>
      </c>
      <c r="O627" s="2"/>
      <c r="P627" s="2"/>
      <c r="Q627" s="2" t="str">
        <f>IF(SUMPRODUCT(--ISNUMBER(SEARCH('National Domains'!$A$2:$A$48,L627)))&gt;0,"Yes","No")</f>
        <v>No</v>
      </c>
      <c r="R627" s="2" t="str">
        <f>IF(COUNTIFS(Calibration!$A:$A,A627,Calibration!$B:$B,B627)&gt;0,"Yes","No")</f>
        <v>No</v>
      </c>
      <c r="S627" s="6"/>
    </row>
    <row r="628" spans="1:19" ht="34.5" customHeight="1" x14ac:dyDescent="0.2">
      <c r="A628" s="2">
        <v>167</v>
      </c>
      <c r="B628" s="2">
        <v>9</v>
      </c>
      <c r="C628" s="2" t="s">
        <v>317</v>
      </c>
      <c r="D628" s="2" t="s">
        <v>21</v>
      </c>
      <c r="E628" s="2">
        <v>20170601</v>
      </c>
      <c r="F628" s="2">
        <v>20171231</v>
      </c>
      <c r="G628" s="2">
        <v>23226.5</v>
      </c>
      <c r="H628" s="2">
        <v>18005</v>
      </c>
      <c r="I628" s="2">
        <v>54</v>
      </c>
      <c r="J628" s="2" t="s">
        <v>22</v>
      </c>
      <c r="K628" s="2" t="s">
        <v>23</v>
      </c>
      <c r="L628" s="2" t="s">
        <v>2344</v>
      </c>
      <c r="M628" s="7" t="s">
        <v>2345</v>
      </c>
      <c r="N628" s="7" t="s">
        <v>2346</v>
      </c>
      <c r="O628" s="2"/>
      <c r="P628" s="2"/>
      <c r="Q628" s="2" t="str">
        <f>IF(SUMPRODUCT(--ISNUMBER(SEARCH('National Domains'!$A$2:$A$48,L628)))&gt;0,"Yes","No")</f>
        <v>Yes</v>
      </c>
      <c r="R628" s="2" t="str">
        <f>IF(COUNTIFS(Calibration!$A:$A,A628,Calibration!$B:$B,B628)&gt;0,"Yes","No")</f>
        <v>No</v>
      </c>
      <c r="S628" s="6"/>
    </row>
    <row r="629" spans="1:19" ht="34.5" customHeight="1" x14ac:dyDescent="0.2">
      <c r="A629" s="2">
        <v>167</v>
      </c>
      <c r="B629" s="2">
        <v>10</v>
      </c>
      <c r="C629" s="2" t="s">
        <v>317</v>
      </c>
      <c r="D629" s="2" t="s">
        <v>21</v>
      </c>
      <c r="E629" s="2">
        <v>20170601</v>
      </c>
      <c r="F629" s="2">
        <v>20171231</v>
      </c>
      <c r="G629" s="2">
        <v>23226.5</v>
      </c>
      <c r="H629" s="2">
        <v>18005</v>
      </c>
      <c r="I629" s="2">
        <v>54</v>
      </c>
      <c r="J629" s="2" t="s">
        <v>22</v>
      </c>
      <c r="K629" s="2" t="s">
        <v>23</v>
      </c>
      <c r="L629" s="2" t="s">
        <v>2347</v>
      </c>
      <c r="M629" s="7" t="s">
        <v>2348</v>
      </c>
      <c r="N629" s="7" t="s">
        <v>2349</v>
      </c>
      <c r="O629" s="2"/>
      <c r="P629" s="2"/>
      <c r="Q629" s="2" t="str">
        <f>IF(SUMPRODUCT(--ISNUMBER(SEARCH('National Domains'!$A$2:$A$48,L629)))&gt;0,"Yes","No")</f>
        <v>Yes</v>
      </c>
      <c r="R629" s="2" t="str">
        <f>IF(COUNTIFS(Calibration!$A:$A,A629,Calibration!$B:$B,B629)&gt;0,"Yes","No")</f>
        <v>No</v>
      </c>
      <c r="S629" s="6"/>
    </row>
    <row r="630" spans="1:19" ht="34.5" customHeight="1" x14ac:dyDescent="0.2">
      <c r="A630" s="2">
        <v>167</v>
      </c>
      <c r="B630" s="2">
        <v>11</v>
      </c>
      <c r="C630" s="2" t="s">
        <v>317</v>
      </c>
      <c r="D630" s="2" t="s">
        <v>21</v>
      </c>
      <c r="E630" s="2">
        <v>20170601</v>
      </c>
      <c r="F630" s="2">
        <v>20171231</v>
      </c>
      <c r="G630" s="2">
        <v>23226.5</v>
      </c>
      <c r="H630" s="2">
        <v>18005</v>
      </c>
      <c r="I630" s="2">
        <v>54</v>
      </c>
      <c r="J630" s="2" t="s">
        <v>22</v>
      </c>
      <c r="K630" s="2" t="s">
        <v>23</v>
      </c>
      <c r="L630" s="2" t="s">
        <v>2350</v>
      </c>
      <c r="M630" s="7" t="s">
        <v>2351</v>
      </c>
      <c r="N630" s="7" t="s">
        <v>2352</v>
      </c>
      <c r="O630" s="2"/>
      <c r="P630" s="2"/>
      <c r="Q630" s="2" t="str">
        <f>IF(SUMPRODUCT(--ISNUMBER(SEARCH('National Domains'!$A$2:$A$48,L630)))&gt;0,"Yes","No")</f>
        <v>Yes</v>
      </c>
      <c r="R630" s="2" t="str">
        <f>IF(COUNTIFS(Calibration!$A:$A,A630,Calibration!$B:$B,B630)&gt;0,"Yes","No")</f>
        <v>No</v>
      </c>
      <c r="S630" s="6"/>
    </row>
    <row r="631" spans="1:19" ht="34.5" customHeight="1" x14ac:dyDescent="0.2">
      <c r="A631" s="2">
        <v>167</v>
      </c>
      <c r="B631" s="2">
        <v>12</v>
      </c>
      <c r="C631" s="2" t="s">
        <v>317</v>
      </c>
      <c r="D631" s="2" t="s">
        <v>21</v>
      </c>
      <c r="E631" s="2">
        <v>20170601</v>
      </c>
      <c r="F631" s="2">
        <v>20171231</v>
      </c>
      <c r="G631" s="2">
        <v>23226.5</v>
      </c>
      <c r="H631" s="2">
        <v>18005</v>
      </c>
      <c r="I631" s="2">
        <v>54</v>
      </c>
      <c r="J631" s="2" t="s">
        <v>22</v>
      </c>
      <c r="K631" s="2" t="s">
        <v>23</v>
      </c>
      <c r="L631" s="2" t="s">
        <v>2353</v>
      </c>
      <c r="M631" s="7" t="s">
        <v>2354</v>
      </c>
      <c r="N631" s="7" t="s">
        <v>2355</v>
      </c>
      <c r="O631" s="2"/>
      <c r="P631" s="2"/>
      <c r="Q631" s="2" t="str">
        <f>IF(SUMPRODUCT(--ISNUMBER(SEARCH('National Domains'!$A$2:$A$48,L631)))&gt;0,"Yes","No")</f>
        <v>Yes</v>
      </c>
      <c r="R631" s="2" t="str">
        <f>IF(COUNTIFS(Calibration!$A:$A,A631,Calibration!$B:$B,B631)&gt;0,"Yes","No")</f>
        <v>No</v>
      </c>
      <c r="S631" s="6"/>
    </row>
    <row r="632" spans="1:19" ht="34.5" customHeight="1" x14ac:dyDescent="0.2">
      <c r="A632" s="2">
        <v>167</v>
      </c>
      <c r="B632" s="2">
        <v>13</v>
      </c>
      <c r="C632" s="2" t="s">
        <v>317</v>
      </c>
      <c r="D632" s="2" t="s">
        <v>21</v>
      </c>
      <c r="E632" s="2">
        <v>20170601</v>
      </c>
      <c r="F632" s="2">
        <v>20171231</v>
      </c>
      <c r="G632" s="2">
        <v>23226.5</v>
      </c>
      <c r="H632" s="2">
        <v>18005</v>
      </c>
      <c r="I632" s="2">
        <v>54</v>
      </c>
      <c r="J632" s="2" t="s">
        <v>22</v>
      </c>
      <c r="K632" s="2" t="s">
        <v>23</v>
      </c>
      <c r="L632" s="2" t="s">
        <v>2356</v>
      </c>
      <c r="M632" s="7" t="s">
        <v>2357</v>
      </c>
      <c r="N632" s="7" t="s">
        <v>2358</v>
      </c>
      <c r="O632" s="2"/>
      <c r="P632" s="2"/>
      <c r="Q632" s="2" t="str">
        <f>IF(SUMPRODUCT(--ISNUMBER(SEARCH('National Domains'!$A$2:$A$48,L632)))&gt;0,"Yes","No")</f>
        <v>Yes</v>
      </c>
      <c r="R632" s="2" t="str">
        <f>IF(COUNTIFS(Calibration!$A:$A,A632,Calibration!$B:$B,B632)&gt;0,"Yes","No")</f>
        <v>No</v>
      </c>
      <c r="S632" s="6"/>
    </row>
    <row r="633" spans="1:19" ht="34.5" customHeight="1" x14ac:dyDescent="0.2">
      <c r="A633" s="2">
        <v>168</v>
      </c>
      <c r="B633" s="2">
        <v>1</v>
      </c>
      <c r="C633" s="2" t="s">
        <v>318</v>
      </c>
      <c r="D633" s="2" t="s">
        <v>29</v>
      </c>
      <c r="E633" s="2">
        <v>20170301</v>
      </c>
      <c r="F633" s="2">
        <v>20171231</v>
      </c>
      <c r="G633" s="2">
        <v>3250</v>
      </c>
      <c r="H633" s="2">
        <v>2500</v>
      </c>
      <c r="I633" s="2">
        <v>0</v>
      </c>
      <c r="J633" s="2" t="s">
        <v>319</v>
      </c>
      <c r="K633" s="2" t="s">
        <v>320</v>
      </c>
      <c r="L633" s="2" t="s">
        <v>2320</v>
      </c>
      <c r="M633" s="7" t="s">
        <v>2321</v>
      </c>
      <c r="N633" s="7" t="s">
        <v>2359</v>
      </c>
      <c r="O633" s="2"/>
      <c r="P633" s="2"/>
      <c r="Q633" s="2" t="str">
        <f>IF(SUMPRODUCT(--ISNUMBER(SEARCH('National Domains'!$A$2:$A$48,L633)))&gt;0,"Yes","No")</f>
        <v>Yes</v>
      </c>
      <c r="R633" s="2" t="str">
        <f>IF(COUNTIFS(Calibration!$A:$A,A633,Calibration!$B:$B,B633)&gt;0,"Yes","No")</f>
        <v>No</v>
      </c>
      <c r="S633" s="6"/>
    </row>
    <row r="634" spans="1:19" ht="34.5" customHeight="1" x14ac:dyDescent="0.2">
      <c r="A634" s="2">
        <v>168</v>
      </c>
      <c r="B634" s="2">
        <v>2</v>
      </c>
      <c r="C634" s="2" t="s">
        <v>318</v>
      </c>
      <c r="D634" s="2" t="s">
        <v>29</v>
      </c>
      <c r="E634" s="2">
        <v>20170301</v>
      </c>
      <c r="F634" s="2">
        <v>20171231</v>
      </c>
      <c r="G634" s="2">
        <v>3250</v>
      </c>
      <c r="H634" s="2">
        <v>2500</v>
      </c>
      <c r="I634" s="2">
        <v>0</v>
      </c>
      <c r="J634" s="2" t="s">
        <v>319</v>
      </c>
      <c r="K634" s="2" t="s">
        <v>320</v>
      </c>
      <c r="L634" s="2" t="s">
        <v>2360</v>
      </c>
      <c r="M634" s="7" t="s">
        <v>2361</v>
      </c>
      <c r="N634" s="7" t="s">
        <v>2362</v>
      </c>
      <c r="O634" s="2"/>
      <c r="P634" s="2"/>
      <c r="Q634" s="2" t="str">
        <f>IF(SUMPRODUCT(--ISNUMBER(SEARCH('National Domains'!$A$2:$A$48,L634)))&gt;0,"Yes","No")</f>
        <v>Yes</v>
      </c>
      <c r="R634" s="2" t="str">
        <f>IF(COUNTIFS(Calibration!$A:$A,A634,Calibration!$B:$B,B634)&gt;0,"Yes","No")</f>
        <v>No</v>
      </c>
      <c r="S634" s="6"/>
    </row>
    <row r="635" spans="1:19" ht="34.5" customHeight="1" x14ac:dyDescent="0.2">
      <c r="A635" s="2">
        <v>168</v>
      </c>
      <c r="B635" s="2">
        <v>3</v>
      </c>
      <c r="C635" s="2" t="s">
        <v>318</v>
      </c>
      <c r="D635" s="2" t="s">
        <v>29</v>
      </c>
      <c r="E635" s="2">
        <v>20170301</v>
      </c>
      <c r="F635" s="2">
        <v>20171231</v>
      </c>
      <c r="G635" s="2">
        <v>3250</v>
      </c>
      <c r="H635" s="2">
        <v>2500</v>
      </c>
      <c r="I635" s="2">
        <v>0</v>
      </c>
      <c r="J635" s="2" t="s">
        <v>319</v>
      </c>
      <c r="K635" s="2" t="s">
        <v>320</v>
      </c>
      <c r="L635" s="2" t="s">
        <v>2363</v>
      </c>
      <c r="M635" s="7" t="s">
        <v>2364</v>
      </c>
      <c r="N635" s="7" t="s">
        <v>2365</v>
      </c>
      <c r="O635" s="2"/>
      <c r="P635" s="2"/>
      <c r="Q635" s="2" t="str">
        <f>IF(SUMPRODUCT(--ISNUMBER(SEARCH('National Domains'!$A$2:$A$48,L635)))&gt;0,"Yes","No")</f>
        <v>Yes</v>
      </c>
      <c r="R635" s="2" t="str">
        <f>IF(COUNTIFS(Calibration!$A:$A,A635,Calibration!$B:$B,B635)&gt;0,"Yes","No")</f>
        <v>No</v>
      </c>
      <c r="S635" s="6"/>
    </row>
    <row r="636" spans="1:19" ht="34.5" customHeight="1" x14ac:dyDescent="0.2">
      <c r="A636" s="2">
        <v>169</v>
      </c>
      <c r="B636" s="2">
        <v>1</v>
      </c>
      <c r="C636" s="2" t="s">
        <v>321</v>
      </c>
      <c r="D636" s="2" t="s">
        <v>13</v>
      </c>
      <c r="E636" s="2">
        <v>20180103</v>
      </c>
      <c r="F636" s="2">
        <v>20180105</v>
      </c>
      <c r="G636" s="2">
        <v>1324.6</v>
      </c>
      <c r="H636" s="2">
        <v>1043</v>
      </c>
      <c r="I636" s="2">
        <v>22</v>
      </c>
      <c r="J636" s="2" t="s">
        <v>250</v>
      </c>
      <c r="K636" s="2" t="s">
        <v>251</v>
      </c>
      <c r="L636" s="2" t="s">
        <v>2366</v>
      </c>
      <c r="M636" s="7" t="s">
        <v>2367</v>
      </c>
      <c r="N636" s="7" t="s">
        <v>2368</v>
      </c>
      <c r="O636" s="2"/>
      <c r="P636" s="2"/>
      <c r="Q636" s="2" t="str">
        <f>IF(SUMPRODUCT(--ISNUMBER(SEARCH('National Domains'!$A$2:$A$48,L636)))&gt;0,"Yes","No")</f>
        <v>No</v>
      </c>
      <c r="R636" s="2" t="str">
        <f>IF(COUNTIFS(Calibration!$A:$A,A636,Calibration!$B:$B,B636)&gt;0,"Yes","No")</f>
        <v>No</v>
      </c>
      <c r="S636" s="6"/>
    </row>
    <row r="637" spans="1:19" ht="34.5" customHeight="1" x14ac:dyDescent="0.2">
      <c r="A637" s="2">
        <v>169</v>
      </c>
      <c r="B637" s="2">
        <v>2</v>
      </c>
      <c r="C637" s="2" t="s">
        <v>321</v>
      </c>
      <c r="D637" s="2" t="s">
        <v>13</v>
      </c>
      <c r="E637" s="2">
        <v>20180103</v>
      </c>
      <c r="F637" s="2">
        <v>20180105</v>
      </c>
      <c r="G637" s="2">
        <v>1324.6</v>
      </c>
      <c r="H637" s="2">
        <v>1043</v>
      </c>
      <c r="I637" s="2">
        <v>22</v>
      </c>
      <c r="J637" s="2" t="s">
        <v>250</v>
      </c>
      <c r="K637" s="2" t="s">
        <v>251</v>
      </c>
      <c r="L637" s="2" t="s">
        <v>2369</v>
      </c>
      <c r="M637" s="7" t="s">
        <v>2370</v>
      </c>
      <c r="N637" s="7" t="s">
        <v>2371</v>
      </c>
      <c r="O637" s="2"/>
      <c r="P637" s="2"/>
      <c r="Q637" s="2" t="str">
        <f>IF(SUMPRODUCT(--ISNUMBER(SEARCH('National Domains'!$A$2:$A$48,L637)))&gt;0,"Yes","No")</f>
        <v>No</v>
      </c>
      <c r="R637" s="2" t="str">
        <f>IF(COUNTIFS(Calibration!$A:$A,A637,Calibration!$B:$B,B637)&gt;0,"Yes","No")</f>
        <v>No</v>
      </c>
      <c r="S637" s="6"/>
    </row>
    <row r="638" spans="1:19" ht="34.5" customHeight="1" x14ac:dyDescent="0.2">
      <c r="A638" s="2">
        <v>169</v>
      </c>
      <c r="B638" s="2">
        <v>3</v>
      </c>
      <c r="C638" s="2" t="s">
        <v>321</v>
      </c>
      <c r="D638" s="2" t="s">
        <v>13</v>
      </c>
      <c r="E638" s="2">
        <v>20180103</v>
      </c>
      <c r="F638" s="2">
        <v>20180105</v>
      </c>
      <c r="G638" s="2">
        <v>1324.6</v>
      </c>
      <c r="H638" s="2">
        <v>1043</v>
      </c>
      <c r="I638" s="2">
        <v>22</v>
      </c>
      <c r="J638" s="2" t="s">
        <v>250</v>
      </c>
      <c r="K638" s="2" t="s">
        <v>251</v>
      </c>
      <c r="L638" s="2" t="s">
        <v>2372</v>
      </c>
      <c r="M638" s="7" t="s">
        <v>2373</v>
      </c>
      <c r="N638" s="7" t="s">
        <v>2374</v>
      </c>
      <c r="O638" s="2"/>
      <c r="P638" s="2"/>
      <c r="Q638" s="2" t="str">
        <f>IF(SUMPRODUCT(--ISNUMBER(SEARCH('National Domains'!$A$2:$A$48,L638)))&gt;0,"Yes","No")</f>
        <v>No</v>
      </c>
      <c r="R638" s="2" t="str">
        <f>IF(COUNTIFS(Calibration!$A:$A,A638,Calibration!$B:$B,B638)&gt;0,"Yes","No")</f>
        <v>No</v>
      </c>
      <c r="S638" s="6"/>
    </row>
    <row r="639" spans="1:19" ht="23.25" customHeight="1" x14ac:dyDescent="0.2">
      <c r="A639" s="2">
        <v>169</v>
      </c>
      <c r="B639" s="2">
        <v>4</v>
      </c>
      <c r="C639" s="2" t="s">
        <v>321</v>
      </c>
      <c r="D639" s="2" t="s">
        <v>13</v>
      </c>
      <c r="E639" s="2">
        <v>20180103</v>
      </c>
      <c r="F639" s="2">
        <v>20180105</v>
      </c>
      <c r="G639" s="2">
        <v>1324.6</v>
      </c>
      <c r="H639" s="2">
        <v>1043</v>
      </c>
      <c r="I639" s="2">
        <v>22</v>
      </c>
      <c r="J639" s="2" t="s">
        <v>250</v>
      </c>
      <c r="K639" s="2" t="s">
        <v>251</v>
      </c>
      <c r="L639" s="2" t="s">
        <v>2375</v>
      </c>
      <c r="M639" s="7" t="s">
        <v>2376</v>
      </c>
      <c r="N639" s="7" t="s">
        <v>2377</v>
      </c>
      <c r="O639" s="2"/>
      <c r="P639" s="2"/>
      <c r="Q639" s="2" t="str">
        <f>IF(SUMPRODUCT(--ISNUMBER(SEARCH('National Domains'!$A$2:$A$48,L639)))&gt;0,"Yes","No")</f>
        <v>No</v>
      </c>
      <c r="R639" s="2" t="str">
        <f>IF(COUNTIFS(Calibration!$A:$A,A639,Calibration!$B:$B,B639)&gt;0,"Yes","No")</f>
        <v>No</v>
      </c>
      <c r="S639" s="6"/>
    </row>
    <row r="640" spans="1:19" ht="34.5" customHeight="1" x14ac:dyDescent="0.2">
      <c r="A640" s="2">
        <v>169</v>
      </c>
      <c r="B640" s="2">
        <v>5</v>
      </c>
      <c r="C640" s="2" t="s">
        <v>321</v>
      </c>
      <c r="D640" s="2" t="s">
        <v>13</v>
      </c>
      <c r="E640" s="2">
        <v>20180103</v>
      </c>
      <c r="F640" s="2">
        <v>20180105</v>
      </c>
      <c r="G640" s="2">
        <v>1324.6</v>
      </c>
      <c r="H640" s="2">
        <v>1043</v>
      </c>
      <c r="I640" s="2">
        <v>22</v>
      </c>
      <c r="J640" s="2" t="s">
        <v>250</v>
      </c>
      <c r="K640" s="2" t="s">
        <v>251</v>
      </c>
      <c r="L640" s="2" t="s">
        <v>2378</v>
      </c>
      <c r="M640" s="7" t="s">
        <v>2379</v>
      </c>
      <c r="N640" s="7" t="s">
        <v>2380</v>
      </c>
      <c r="O640" s="2"/>
      <c r="P640" s="2"/>
      <c r="Q640" s="2" t="str">
        <f>IF(SUMPRODUCT(--ISNUMBER(SEARCH('National Domains'!$A$2:$A$48,L640)))&gt;0,"Yes","No")</f>
        <v>No</v>
      </c>
      <c r="R640" s="2" t="str">
        <f>IF(COUNTIFS(Calibration!$A:$A,A640,Calibration!$B:$B,B640)&gt;0,"Yes","No")</f>
        <v>No</v>
      </c>
      <c r="S640" s="6"/>
    </row>
    <row r="641" spans="1:19" ht="34.5" customHeight="1" x14ac:dyDescent="0.2">
      <c r="A641" s="2">
        <v>169</v>
      </c>
      <c r="B641" s="2">
        <v>6</v>
      </c>
      <c r="C641" s="2" t="s">
        <v>321</v>
      </c>
      <c r="D641" s="2" t="s">
        <v>13</v>
      </c>
      <c r="E641" s="2">
        <v>20180103</v>
      </c>
      <c r="F641" s="2">
        <v>20180105</v>
      </c>
      <c r="G641" s="2">
        <v>1324.6</v>
      </c>
      <c r="H641" s="2">
        <v>1043</v>
      </c>
      <c r="I641" s="2">
        <v>22</v>
      </c>
      <c r="J641" s="2" t="s">
        <v>250</v>
      </c>
      <c r="K641" s="2" t="s">
        <v>251</v>
      </c>
      <c r="L641" s="2" t="s">
        <v>2381</v>
      </c>
      <c r="M641" s="7" t="s">
        <v>2382</v>
      </c>
      <c r="N641" s="7" t="s">
        <v>2383</v>
      </c>
      <c r="O641" s="2"/>
      <c r="P641" s="2"/>
      <c r="Q641" s="2" t="str">
        <f>IF(SUMPRODUCT(--ISNUMBER(SEARCH('National Domains'!$A$2:$A$48,L641)))&gt;0,"Yes","No")</f>
        <v>No</v>
      </c>
      <c r="R641" s="2" t="str">
        <f>IF(COUNTIFS(Calibration!$A:$A,A641,Calibration!$B:$B,B641)&gt;0,"Yes","No")</f>
        <v>No</v>
      </c>
      <c r="S641" s="6"/>
    </row>
    <row r="642" spans="1:19" ht="34.5" customHeight="1" x14ac:dyDescent="0.2">
      <c r="A642" s="2">
        <v>169</v>
      </c>
      <c r="B642" s="2">
        <v>7</v>
      </c>
      <c r="C642" s="2" t="s">
        <v>321</v>
      </c>
      <c r="D642" s="2" t="s">
        <v>13</v>
      </c>
      <c r="E642" s="2">
        <v>20180103</v>
      </c>
      <c r="F642" s="2">
        <v>20180105</v>
      </c>
      <c r="G642" s="2">
        <v>1324.6</v>
      </c>
      <c r="H642" s="2">
        <v>1043</v>
      </c>
      <c r="I642" s="2">
        <v>22</v>
      </c>
      <c r="J642" s="2" t="s">
        <v>250</v>
      </c>
      <c r="K642" s="2" t="s">
        <v>251</v>
      </c>
      <c r="L642" s="2" t="s">
        <v>2384</v>
      </c>
      <c r="M642" s="7" t="s">
        <v>2385</v>
      </c>
      <c r="N642" s="7" t="s">
        <v>2386</v>
      </c>
      <c r="O642" s="2"/>
      <c r="P642" s="2"/>
      <c r="Q642" s="2" t="str">
        <f>IF(SUMPRODUCT(--ISNUMBER(SEARCH('National Domains'!$A$2:$A$48,L642)))&gt;0,"Yes","No")</f>
        <v>No</v>
      </c>
      <c r="R642" s="2" t="str">
        <f>IF(COUNTIFS(Calibration!$A:$A,A642,Calibration!$B:$B,B642)&gt;0,"Yes","No")</f>
        <v>No</v>
      </c>
      <c r="S642" s="6"/>
    </row>
    <row r="643" spans="1:19" ht="34.5" customHeight="1" x14ac:dyDescent="0.2">
      <c r="A643" s="2">
        <v>169</v>
      </c>
      <c r="B643" s="2">
        <v>8</v>
      </c>
      <c r="C643" s="2" t="s">
        <v>321</v>
      </c>
      <c r="D643" s="2" t="s">
        <v>13</v>
      </c>
      <c r="E643" s="2">
        <v>20180103</v>
      </c>
      <c r="F643" s="2">
        <v>20180105</v>
      </c>
      <c r="G643" s="2">
        <v>1324.6</v>
      </c>
      <c r="H643" s="2">
        <v>1043</v>
      </c>
      <c r="I643" s="2">
        <v>22</v>
      </c>
      <c r="J643" s="2" t="s">
        <v>250</v>
      </c>
      <c r="K643" s="2" t="s">
        <v>251</v>
      </c>
      <c r="L643" s="2" t="s">
        <v>2387</v>
      </c>
      <c r="M643" s="7" t="s">
        <v>2388</v>
      </c>
      <c r="N643" s="7" t="s">
        <v>2389</v>
      </c>
      <c r="O643" s="2"/>
      <c r="P643" s="2"/>
      <c r="Q643" s="2" t="str">
        <f>IF(SUMPRODUCT(--ISNUMBER(SEARCH('National Domains'!$A$2:$A$48,L643)))&gt;0,"Yes","No")</f>
        <v>No</v>
      </c>
      <c r="R643" s="2" t="str">
        <f>IF(COUNTIFS(Calibration!$A:$A,A643,Calibration!$B:$B,B643)&gt;0,"Yes","No")</f>
        <v>No</v>
      </c>
      <c r="S643" s="6"/>
    </row>
    <row r="644" spans="1:19" ht="23.25" customHeight="1" x14ac:dyDescent="0.2">
      <c r="A644" s="2">
        <v>169</v>
      </c>
      <c r="B644" s="2">
        <v>9</v>
      </c>
      <c r="C644" s="2" t="s">
        <v>321</v>
      </c>
      <c r="D644" s="2" t="s">
        <v>13</v>
      </c>
      <c r="E644" s="2">
        <v>20180103</v>
      </c>
      <c r="F644" s="2">
        <v>20180105</v>
      </c>
      <c r="G644" s="2">
        <v>1324.6</v>
      </c>
      <c r="H644" s="2">
        <v>1043</v>
      </c>
      <c r="I644" s="2">
        <v>22</v>
      </c>
      <c r="J644" s="2" t="s">
        <v>250</v>
      </c>
      <c r="K644" s="2" t="s">
        <v>251</v>
      </c>
      <c r="L644" s="2" t="s">
        <v>2390</v>
      </c>
      <c r="M644" s="7" t="s">
        <v>2391</v>
      </c>
      <c r="N644" s="7" t="s">
        <v>2392</v>
      </c>
      <c r="O644" s="2"/>
      <c r="P644" s="2"/>
      <c r="Q644" s="2" t="str">
        <f>IF(SUMPRODUCT(--ISNUMBER(SEARCH('National Domains'!$A$2:$A$48,L644)))&gt;0,"Yes","No")</f>
        <v>No</v>
      </c>
      <c r="R644" s="2" t="str">
        <f>IF(COUNTIFS(Calibration!$A:$A,A644,Calibration!$B:$B,B644)&gt;0,"Yes","No")</f>
        <v>No</v>
      </c>
      <c r="S644" s="6"/>
    </row>
    <row r="645" spans="1:19" ht="34.5" customHeight="1" x14ac:dyDescent="0.2">
      <c r="A645" s="2">
        <v>169</v>
      </c>
      <c r="B645" s="2">
        <v>10</v>
      </c>
      <c r="C645" s="2" t="s">
        <v>321</v>
      </c>
      <c r="D645" s="2" t="s">
        <v>13</v>
      </c>
      <c r="E645" s="2">
        <v>20180103</v>
      </c>
      <c r="F645" s="2">
        <v>20180105</v>
      </c>
      <c r="G645" s="2">
        <v>1324.6</v>
      </c>
      <c r="H645" s="2">
        <v>1043</v>
      </c>
      <c r="I645" s="2">
        <v>22</v>
      </c>
      <c r="J645" s="2" t="s">
        <v>250</v>
      </c>
      <c r="K645" s="2" t="s">
        <v>251</v>
      </c>
      <c r="L645" s="2" t="s">
        <v>2393</v>
      </c>
      <c r="M645" s="7" t="s">
        <v>2394</v>
      </c>
      <c r="N645" s="7" t="s">
        <v>2395</v>
      </c>
      <c r="O645" s="2"/>
      <c r="P645" s="2"/>
      <c r="Q645" s="2" t="str">
        <f>IF(SUMPRODUCT(--ISNUMBER(SEARCH('National Domains'!$A$2:$A$48,L645)))&gt;0,"Yes","No")</f>
        <v>Yes</v>
      </c>
      <c r="R645" s="2" t="str">
        <f>IF(COUNTIFS(Calibration!$A:$A,A645,Calibration!$B:$B,B645)&gt;0,"Yes","No")</f>
        <v>No</v>
      </c>
      <c r="S645" s="6"/>
    </row>
    <row r="646" spans="1:19" ht="23.25" customHeight="1" x14ac:dyDescent="0.2">
      <c r="A646" s="2">
        <v>169</v>
      </c>
      <c r="B646" s="2">
        <v>11</v>
      </c>
      <c r="C646" s="2" t="s">
        <v>321</v>
      </c>
      <c r="D646" s="2" t="s">
        <v>13</v>
      </c>
      <c r="E646" s="2">
        <v>20180103</v>
      </c>
      <c r="F646" s="2">
        <v>20180105</v>
      </c>
      <c r="G646" s="2">
        <v>1324.6</v>
      </c>
      <c r="H646" s="2">
        <v>1043</v>
      </c>
      <c r="I646" s="2">
        <v>22</v>
      </c>
      <c r="J646" s="2" t="s">
        <v>250</v>
      </c>
      <c r="K646" s="2" t="s">
        <v>251</v>
      </c>
      <c r="L646" s="2" t="s">
        <v>2396</v>
      </c>
      <c r="M646" s="7" t="s">
        <v>2397</v>
      </c>
      <c r="N646" s="7" t="s">
        <v>2398</v>
      </c>
      <c r="O646" s="2"/>
      <c r="P646" s="2"/>
      <c r="Q646" s="2" t="str">
        <f>IF(SUMPRODUCT(--ISNUMBER(SEARCH('National Domains'!$A$2:$A$48,L646)))&gt;0,"Yes","No")</f>
        <v>Yes</v>
      </c>
      <c r="R646" s="2" t="str">
        <f>IF(COUNTIFS(Calibration!$A:$A,A646,Calibration!$B:$B,B646)&gt;0,"Yes","No")</f>
        <v>No</v>
      </c>
      <c r="S646" s="6"/>
    </row>
    <row r="647" spans="1:19" ht="23.25" customHeight="1" x14ac:dyDescent="0.2">
      <c r="A647" s="2">
        <v>169</v>
      </c>
      <c r="B647" s="2">
        <v>12</v>
      </c>
      <c r="C647" s="2" t="s">
        <v>321</v>
      </c>
      <c r="D647" s="2" t="s">
        <v>13</v>
      </c>
      <c r="E647" s="2">
        <v>20180103</v>
      </c>
      <c r="F647" s="2">
        <v>20180105</v>
      </c>
      <c r="G647" s="2">
        <v>1324.6</v>
      </c>
      <c r="H647" s="2">
        <v>1043</v>
      </c>
      <c r="I647" s="2">
        <v>22</v>
      </c>
      <c r="J647" s="2" t="s">
        <v>250</v>
      </c>
      <c r="K647" s="2" t="s">
        <v>251</v>
      </c>
      <c r="L647" s="2" t="s">
        <v>2399</v>
      </c>
      <c r="M647" s="7" t="s">
        <v>2400</v>
      </c>
      <c r="N647" s="7" t="s">
        <v>2401</v>
      </c>
      <c r="O647" s="2"/>
      <c r="P647" s="2"/>
      <c r="Q647" s="2" t="str">
        <f>IF(SUMPRODUCT(--ISNUMBER(SEARCH('National Domains'!$A$2:$A$48,L647)))&gt;0,"Yes","No")</f>
        <v>Yes</v>
      </c>
      <c r="R647" s="2" t="str">
        <f>IF(COUNTIFS(Calibration!$A:$A,A647,Calibration!$B:$B,B647)&gt;0,"Yes","No")</f>
        <v>No</v>
      </c>
      <c r="S647" s="6"/>
    </row>
    <row r="648" spans="1:19" ht="23.25" customHeight="1" x14ac:dyDescent="0.2">
      <c r="A648" s="2">
        <v>169</v>
      </c>
      <c r="B648" s="2">
        <v>13</v>
      </c>
      <c r="C648" s="2" t="s">
        <v>321</v>
      </c>
      <c r="D648" s="2" t="s">
        <v>13</v>
      </c>
      <c r="E648" s="2">
        <v>20180103</v>
      </c>
      <c r="F648" s="2">
        <v>20180105</v>
      </c>
      <c r="G648" s="2">
        <v>1324.6</v>
      </c>
      <c r="H648" s="2">
        <v>1043</v>
      </c>
      <c r="I648" s="2">
        <v>22</v>
      </c>
      <c r="J648" s="2" t="s">
        <v>250</v>
      </c>
      <c r="K648" s="2" t="s">
        <v>251</v>
      </c>
      <c r="L648" s="2" t="s">
        <v>2402</v>
      </c>
      <c r="M648" s="7" t="s">
        <v>2403</v>
      </c>
      <c r="N648" s="7" t="s">
        <v>2404</v>
      </c>
      <c r="O648" s="2"/>
      <c r="P648" s="2"/>
      <c r="Q648" s="2" t="str">
        <f>IF(SUMPRODUCT(--ISNUMBER(SEARCH('National Domains'!$A$2:$A$48,L648)))&gt;0,"Yes","No")</f>
        <v>Yes</v>
      </c>
      <c r="R648" s="2" t="str">
        <f>IF(COUNTIFS(Calibration!$A:$A,A648,Calibration!$B:$B,B648)&gt;0,"Yes","No")</f>
        <v>No</v>
      </c>
      <c r="S648" s="6"/>
    </row>
    <row r="649" spans="1:19" ht="34.5" customHeight="1" x14ac:dyDescent="0.2">
      <c r="A649" s="2">
        <v>169</v>
      </c>
      <c r="B649" s="2">
        <v>14</v>
      </c>
      <c r="C649" s="2" t="s">
        <v>321</v>
      </c>
      <c r="D649" s="2" t="s">
        <v>13</v>
      </c>
      <c r="E649" s="2">
        <v>20180103</v>
      </c>
      <c r="F649" s="2">
        <v>20180105</v>
      </c>
      <c r="G649" s="2">
        <v>1324.6</v>
      </c>
      <c r="H649" s="2">
        <v>1043</v>
      </c>
      <c r="I649" s="2">
        <v>22</v>
      </c>
      <c r="J649" s="2" t="s">
        <v>250</v>
      </c>
      <c r="K649" s="2" t="s">
        <v>251</v>
      </c>
      <c r="L649" s="2" t="s">
        <v>2405</v>
      </c>
      <c r="M649" s="7" t="s">
        <v>2406</v>
      </c>
      <c r="N649" s="7" t="s">
        <v>2407</v>
      </c>
      <c r="O649" s="2"/>
      <c r="P649" s="2"/>
      <c r="Q649" s="2" t="str">
        <f>IF(SUMPRODUCT(--ISNUMBER(SEARCH('National Domains'!$A$2:$A$48,L649)))&gt;0,"Yes","No")</f>
        <v>Yes</v>
      </c>
      <c r="R649" s="2" t="str">
        <f>IF(COUNTIFS(Calibration!$A:$A,A649,Calibration!$B:$B,B649)&gt;0,"Yes","No")</f>
        <v>No</v>
      </c>
      <c r="S649" s="6"/>
    </row>
    <row r="650" spans="1:19" ht="34.5" customHeight="1" x14ac:dyDescent="0.2">
      <c r="A650" s="2">
        <v>169</v>
      </c>
      <c r="B650" s="2">
        <v>15</v>
      </c>
      <c r="C650" s="2" t="s">
        <v>321</v>
      </c>
      <c r="D650" s="2" t="s">
        <v>13</v>
      </c>
      <c r="E650" s="2">
        <v>20180103</v>
      </c>
      <c r="F650" s="2">
        <v>20180105</v>
      </c>
      <c r="G650" s="2">
        <v>1324.6</v>
      </c>
      <c r="H650" s="2">
        <v>1043</v>
      </c>
      <c r="I650" s="2">
        <v>22</v>
      </c>
      <c r="J650" s="2" t="s">
        <v>250</v>
      </c>
      <c r="K650" s="2" t="s">
        <v>251</v>
      </c>
      <c r="L650" s="2" t="s">
        <v>2408</v>
      </c>
      <c r="M650" s="7" t="s">
        <v>2409</v>
      </c>
      <c r="N650" s="7" t="s">
        <v>2410</v>
      </c>
      <c r="O650" s="2"/>
      <c r="P650" s="2"/>
      <c r="Q650" s="2" t="str">
        <f>IF(SUMPRODUCT(--ISNUMBER(SEARCH('National Domains'!$A$2:$A$48,L650)))&gt;0,"Yes","No")</f>
        <v>Yes</v>
      </c>
      <c r="R650" s="2" t="str">
        <f>IF(COUNTIFS(Calibration!$A:$A,A650,Calibration!$B:$B,B650)&gt;0,"Yes","No")</f>
        <v>No</v>
      </c>
      <c r="S650" s="6"/>
    </row>
    <row r="651" spans="1:19" ht="34.5" customHeight="1" x14ac:dyDescent="0.2">
      <c r="A651" s="2">
        <v>169</v>
      </c>
      <c r="B651" s="2">
        <v>16</v>
      </c>
      <c r="C651" s="2" t="s">
        <v>321</v>
      </c>
      <c r="D651" s="2" t="s">
        <v>13</v>
      </c>
      <c r="E651" s="2">
        <v>20180103</v>
      </c>
      <c r="F651" s="2">
        <v>20180105</v>
      </c>
      <c r="G651" s="2">
        <v>1324.6</v>
      </c>
      <c r="H651" s="2">
        <v>1043</v>
      </c>
      <c r="I651" s="2">
        <v>22</v>
      </c>
      <c r="J651" s="2" t="s">
        <v>250</v>
      </c>
      <c r="K651" s="2" t="s">
        <v>251</v>
      </c>
      <c r="L651" s="2" t="s">
        <v>2411</v>
      </c>
      <c r="M651" s="7" t="s">
        <v>2412</v>
      </c>
      <c r="N651" s="7" t="s">
        <v>2413</v>
      </c>
      <c r="O651" s="2"/>
      <c r="P651" s="2"/>
      <c r="Q651" s="2" t="str">
        <f>IF(SUMPRODUCT(--ISNUMBER(SEARCH('National Domains'!$A$2:$A$48,L651)))&gt;0,"Yes","No")</f>
        <v>Yes</v>
      </c>
      <c r="R651" s="2" t="str">
        <f>IF(COUNTIFS(Calibration!$A:$A,A651,Calibration!$B:$B,B651)&gt;0,"Yes","No")</f>
        <v>No</v>
      </c>
      <c r="S651" s="6"/>
    </row>
    <row r="652" spans="1:19" ht="34.5" customHeight="1" x14ac:dyDescent="0.2">
      <c r="A652" s="2">
        <v>170</v>
      </c>
      <c r="B652" s="2">
        <v>1</v>
      </c>
      <c r="C652" s="2" t="s">
        <v>322</v>
      </c>
      <c r="D652" s="2" t="s">
        <v>13</v>
      </c>
      <c r="E652" s="2">
        <v>20180301</v>
      </c>
      <c r="F652" s="2">
        <v>20180303</v>
      </c>
      <c r="G652" s="2">
        <v>2786.4</v>
      </c>
      <c r="H652" s="2">
        <v>2194</v>
      </c>
      <c r="I652" s="2">
        <v>9</v>
      </c>
      <c r="J652" s="2" t="s">
        <v>95</v>
      </c>
      <c r="K652" s="2" t="s">
        <v>96</v>
      </c>
      <c r="L652" s="2" t="s">
        <v>2414</v>
      </c>
      <c r="M652" s="7" t="s">
        <v>2415</v>
      </c>
      <c r="N652" s="7" t="s">
        <v>2416</v>
      </c>
      <c r="O652" s="2"/>
      <c r="P652" s="2"/>
      <c r="Q652" s="2" t="str">
        <f>IF(SUMPRODUCT(--ISNUMBER(SEARCH('National Domains'!$A$2:$A$48,L652)))&gt;0,"Yes","No")</f>
        <v>No</v>
      </c>
      <c r="R652" s="2" t="str">
        <f>IF(COUNTIFS(Calibration!$A:$A,A652,Calibration!$B:$B,B652)&gt;0,"Yes","No")</f>
        <v>No</v>
      </c>
      <c r="S652" s="6"/>
    </row>
    <row r="653" spans="1:19" ht="34.5" customHeight="1" x14ac:dyDescent="0.2">
      <c r="A653" s="4">
        <v>170</v>
      </c>
      <c r="B653" s="4">
        <v>2</v>
      </c>
      <c r="C653" s="4" t="s">
        <v>322</v>
      </c>
      <c r="D653" s="4" t="s">
        <v>13</v>
      </c>
      <c r="E653" s="4">
        <v>20180301</v>
      </c>
      <c r="F653" s="4">
        <v>20180303</v>
      </c>
      <c r="G653" s="4">
        <v>2786.4</v>
      </c>
      <c r="H653" s="4">
        <v>2194</v>
      </c>
      <c r="I653" s="4">
        <v>9</v>
      </c>
      <c r="J653" s="4" t="s">
        <v>95</v>
      </c>
      <c r="K653" s="4" t="s">
        <v>96</v>
      </c>
      <c r="L653" s="4" t="s">
        <v>2417</v>
      </c>
      <c r="M653" s="5" t="s">
        <v>2418</v>
      </c>
      <c r="N653" s="5" t="s">
        <v>2419</v>
      </c>
      <c r="O653" s="4"/>
      <c r="P653" s="4"/>
      <c r="Q653" s="4" t="str">
        <f>IF(SUMPRODUCT(--ISNUMBER(SEARCH('National Domains'!$A$2:$A$48,L653)))&gt;0,"Yes","No")</f>
        <v>No</v>
      </c>
      <c r="R653" s="4" t="str">
        <f>IF(COUNTIFS(Calibration!$A:$A,A653,Calibration!$B:$B,B653)&gt;0,"Yes","No")</f>
        <v>Yes</v>
      </c>
      <c r="S653" s="6"/>
    </row>
    <row r="654" spans="1:19" ht="34.5" customHeight="1" x14ac:dyDescent="0.2">
      <c r="A654" s="2">
        <v>170</v>
      </c>
      <c r="B654" s="2">
        <v>3</v>
      </c>
      <c r="C654" s="2" t="s">
        <v>322</v>
      </c>
      <c r="D654" s="2" t="s">
        <v>13</v>
      </c>
      <c r="E654" s="2">
        <v>20180301</v>
      </c>
      <c r="F654" s="2">
        <v>20180303</v>
      </c>
      <c r="G654" s="2">
        <v>2786.4</v>
      </c>
      <c r="H654" s="2">
        <v>2194</v>
      </c>
      <c r="I654" s="2">
        <v>9</v>
      </c>
      <c r="J654" s="2" t="s">
        <v>95</v>
      </c>
      <c r="K654" s="2" t="s">
        <v>96</v>
      </c>
      <c r="L654" s="2" t="s">
        <v>2420</v>
      </c>
      <c r="M654" s="7" t="s">
        <v>2421</v>
      </c>
      <c r="N654" s="7" t="s">
        <v>2422</v>
      </c>
      <c r="O654" s="2"/>
      <c r="P654" s="2"/>
      <c r="Q654" s="2" t="str">
        <f>IF(SUMPRODUCT(--ISNUMBER(SEARCH('National Domains'!$A$2:$A$48,L654)))&gt;0,"Yes","No")</f>
        <v>No</v>
      </c>
      <c r="R654" s="2" t="str">
        <f>IF(COUNTIFS(Calibration!$A:$A,A654,Calibration!$B:$B,B654)&gt;0,"Yes","No")</f>
        <v>No</v>
      </c>
      <c r="S654" s="6"/>
    </row>
    <row r="655" spans="1:19" ht="34.5" customHeight="1" x14ac:dyDescent="0.2">
      <c r="A655" s="2">
        <v>170</v>
      </c>
      <c r="B655" s="2">
        <v>4</v>
      </c>
      <c r="C655" s="2" t="s">
        <v>322</v>
      </c>
      <c r="D655" s="2" t="s">
        <v>13</v>
      </c>
      <c r="E655" s="2">
        <v>20180301</v>
      </c>
      <c r="F655" s="2">
        <v>20180303</v>
      </c>
      <c r="G655" s="2">
        <v>2786.4</v>
      </c>
      <c r="H655" s="2">
        <v>2194</v>
      </c>
      <c r="I655" s="2">
        <v>9</v>
      </c>
      <c r="J655" s="2" t="s">
        <v>95</v>
      </c>
      <c r="K655" s="2" t="s">
        <v>96</v>
      </c>
      <c r="L655" s="2" t="s">
        <v>2423</v>
      </c>
      <c r="M655" s="7" t="s">
        <v>2424</v>
      </c>
      <c r="N655" s="7" t="s">
        <v>2425</v>
      </c>
      <c r="O655" s="2"/>
      <c r="P655" s="2"/>
      <c r="Q655" s="2" t="str">
        <f>IF(SUMPRODUCT(--ISNUMBER(SEARCH('National Domains'!$A$2:$A$48,L655)))&gt;0,"Yes","No")</f>
        <v>No</v>
      </c>
      <c r="R655" s="2" t="str">
        <f>IF(COUNTIFS(Calibration!$A:$A,A655,Calibration!$B:$B,B655)&gt;0,"Yes","No")</f>
        <v>No</v>
      </c>
      <c r="S655" s="6"/>
    </row>
    <row r="656" spans="1:19" ht="34.5" customHeight="1" x14ac:dyDescent="0.2">
      <c r="A656" s="2">
        <v>170</v>
      </c>
      <c r="B656" s="2">
        <v>5</v>
      </c>
      <c r="C656" s="2" t="s">
        <v>322</v>
      </c>
      <c r="D656" s="2" t="s">
        <v>13</v>
      </c>
      <c r="E656" s="2">
        <v>20180301</v>
      </c>
      <c r="F656" s="2">
        <v>20180303</v>
      </c>
      <c r="G656" s="2">
        <v>2786.4</v>
      </c>
      <c r="H656" s="2">
        <v>2194</v>
      </c>
      <c r="I656" s="2">
        <v>9</v>
      </c>
      <c r="J656" s="2" t="s">
        <v>95</v>
      </c>
      <c r="K656" s="2" t="s">
        <v>96</v>
      </c>
      <c r="L656" s="2" t="s">
        <v>2426</v>
      </c>
      <c r="M656" s="7" t="s">
        <v>2427</v>
      </c>
      <c r="N656" s="7" t="s">
        <v>2428</v>
      </c>
      <c r="O656" s="2"/>
      <c r="P656" s="2"/>
      <c r="Q656" s="2" t="str">
        <f>IF(SUMPRODUCT(--ISNUMBER(SEARCH('National Domains'!$A$2:$A$48,L656)))&gt;0,"Yes","No")</f>
        <v>No</v>
      </c>
      <c r="R656" s="2" t="str">
        <f>IF(COUNTIFS(Calibration!$A:$A,A656,Calibration!$B:$B,B656)&gt;0,"Yes","No")</f>
        <v>No</v>
      </c>
      <c r="S656" s="6"/>
    </row>
    <row r="657" spans="1:19" ht="34.5" customHeight="1" x14ac:dyDescent="0.2">
      <c r="A657" s="2">
        <v>170</v>
      </c>
      <c r="B657" s="2">
        <v>6</v>
      </c>
      <c r="C657" s="2" t="s">
        <v>322</v>
      </c>
      <c r="D657" s="2" t="s">
        <v>13</v>
      </c>
      <c r="E657" s="2">
        <v>20180301</v>
      </c>
      <c r="F657" s="2">
        <v>20180303</v>
      </c>
      <c r="G657" s="2">
        <v>2786.4</v>
      </c>
      <c r="H657" s="2">
        <v>2194</v>
      </c>
      <c r="I657" s="2">
        <v>9</v>
      </c>
      <c r="J657" s="2" t="s">
        <v>95</v>
      </c>
      <c r="K657" s="2" t="s">
        <v>96</v>
      </c>
      <c r="L657" s="2" t="s">
        <v>2429</v>
      </c>
      <c r="M657" s="7" t="s">
        <v>2430</v>
      </c>
      <c r="N657" s="7" t="s">
        <v>2431</v>
      </c>
      <c r="O657" s="2"/>
      <c r="P657" s="2"/>
      <c r="Q657" s="2" t="str">
        <f>IF(SUMPRODUCT(--ISNUMBER(SEARCH('National Domains'!$A$2:$A$48,L657)))&gt;0,"Yes","No")</f>
        <v>Yes</v>
      </c>
      <c r="R657" s="2" t="str">
        <f>IF(COUNTIFS(Calibration!$A:$A,A657,Calibration!$B:$B,B657)&gt;0,"Yes","No")</f>
        <v>No</v>
      </c>
      <c r="S657" s="6"/>
    </row>
    <row r="658" spans="1:19" ht="34.5" customHeight="1" x14ac:dyDescent="0.2">
      <c r="A658" s="2">
        <v>170</v>
      </c>
      <c r="B658" s="2">
        <v>7</v>
      </c>
      <c r="C658" s="2" t="s">
        <v>322</v>
      </c>
      <c r="D658" s="2" t="s">
        <v>13</v>
      </c>
      <c r="E658" s="2">
        <v>20180301</v>
      </c>
      <c r="F658" s="2">
        <v>20180303</v>
      </c>
      <c r="G658" s="2">
        <v>2786.4</v>
      </c>
      <c r="H658" s="2">
        <v>2194</v>
      </c>
      <c r="I658" s="2">
        <v>9</v>
      </c>
      <c r="J658" s="2" t="s">
        <v>95</v>
      </c>
      <c r="K658" s="2" t="s">
        <v>96</v>
      </c>
      <c r="L658" s="2" t="s">
        <v>2432</v>
      </c>
      <c r="M658" s="7" t="s">
        <v>2433</v>
      </c>
      <c r="N658" s="7" t="s">
        <v>2434</v>
      </c>
      <c r="O658" s="2"/>
      <c r="P658" s="2"/>
      <c r="Q658" s="2" t="str">
        <f>IF(SUMPRODUCT(--ISNUMBER(SEARCH('National Domains'!$A$2:$A$48,L658)))&gt;0,"Yes","No")</f>
        <v>Yes</v>
      </c>
      <c r="R658" s="2" t="str">
        <f>IF(COUNTIFS(Calibration!$A:$A,A658,Calibration!$B:$B,B658)&gt;0,"Yes","No")</f>
        <v>No</v>
      </c>
      <c r="S658" s="6"/>
    </row>
    <row r="659" spans="1:19" ht="34.5" customHeight="1" x14ac:dyDescent="0.2">
      <c r="A659" s="2">
        <v>170</v>
      </c>
      <c r="B659" s="2">
        <v>8</v>
      </c>
      <c r="C659" s="2" t="s">
        <v>322</v>
      </c>
      <c r="D659" s="2" t="s">
        <v>13</v>
      </c>
      <c r="E659" s="2">
        <v>20180301</v>
      </c>
      <c r="F659" s="2">
        <v>20180303</v>
      </c>
      <c r="G659" s="2">
        <v>2786.4</v>
      </c>
      <c r="H659" s="2">
        <v>2194</v>
      </c>
      <c r="I659" s="2">
        <v>9</v>
      </c>
      <c r="J659" s="2" t="s">
        <v>95</v>
      </c>
      <c r="K659" s="2" t="s">
        <v>96</v>
      </c>
      <c r="L659" s="2" t="s">
        <v>2435</v>
      </c>
      <c r="M659" s="7" t="s">
        <v>2436</v>
      </c>
      <c r="N659" s="7" t="s">
        <v>2437</v>
      </c>
      <c r="O659" s="2"/>
      <c r="P659" s="2"/>
      <c r="Q659" s="2" t="str">
        <f>IF(SUMPRODUCT(--ISNUMBER(SEARCH('National Domains'!$A$2:$A$48,L659)))&gt;0,"Yes","No")</f>
        <v>Yes</v>
      </c>
      <c r="R659" s="2" t="str">
        <f>IF(COUNTIFS(Calibration!$A:$A,A659,Calibration!$B:$B,B659)&gt;0,"Yes","No")</f>
        <v>No</v>
      </c>
      <c r="S659" s="6"/>
    </row>
    <row r="660" spans="1:19" ht="34.5" customHeight="1" x14ac:dyDescent="0.2">
      <c r="A660" s="2">
        <v>170</v>
      </c>
      <c r="B660" s="2">
        <v>9</v>
      </c>
      <c r="C660" s="2" t="s">
        <v>322</v>
      </c>
      <c r="D660" s="2" t="s">
        <v>13</v>
      </c>
      <c r="E660" s="2">
        <v>20180301</v>
      </c>
      <c r="F660" s="2">
        <v>20180303</v>
      </c>
      <c r="G660" s="2">
        <v>2786.4</v>
      </c>
      <c r="H660" s="2">
        <v>2194</v>
      </c>
      <c r="I660" s="2">
        <v>9</v>
      </c>
      <c r="J660" s="2" t="s">
        <v>95</v>
      </c>
      <c r="K660" s="2" t="s">
        <v>96</v>
      </c>
      <c r="L660" s="2" t="s">
        <v>2438</v>
      </c>
      <c r="M660" s="7" t="s">
        <v>2439</v>
      </c>
      <c r="N660" s="7" t="s">
        <v>2440</v>
      </c>
      <c r="O660" s="2"/>
      <c r="P660" s="2"/>
      <c r="Q660" s="2" t="str">
        <f>IF(SUMPRODUCT(--ISNUMBER(SEARCH('National Domains'!$A$2:$A$48,L660)))&gt;0,"Yes","No")</f>
        <v>Yes</v>
      </c>
      <c r="R660" s="2" t="str">
        <f>IF(COUNTIFS(Calibration!$A:$A,A660,Calibration!$B:$B,B660)&gt;0,"Yes","No")</f>
        <v>No</v>
      </c>
      <c r="S660" s="6"/>
    </row>
    <row r="661" spans="1:19" ht="34.5" customHeight="1" x14ac:dyDescent="0.2">
      <c r="A661" s="2">
        <v>170</v>
      </c>
      <c r="B661" s="2">
        <v>10</v>
      </c>
      <c r="C661" s="2" t="s">
        <v>322</v>
      </c>
      <c r="D661" s="2" t="s">
        <v>13</v>
      </c>
      <c r="E661" s="2">
        <v>20180301</v>
      </c>
      <c r="F661" s="2">
        <v>20180303</v>
      </c>
      <c r="G661" s="2">
        <v>2786.4</v>
      </c>
      <c r="H661" s="2">
        <v>2194</v>
      </c>
      <c r="I661" s="2">
        <v>9</v>
      </c>
      <c r="J661" s="2" t="s">
        <v>95</v>
      </c>
      <c r="K661" s="2" t="s">
        <v>96</v>
      </c>
      <c r="L661" s="2" t="s">
        <v>2441</v>
      </c>
      <c r="M661" s="7" t="s">
        <v>2442</v>
      </c>
      <c r="N661" s="7" t="s">
        <v>2443</v>
      </c>
      <c r="O661" s="2"/>
      <c r="P661" s="2"/>
      <c r="Q661" s="2" t="str">
        <f>IF(SUMPRODUCT(--ISNUMBER(SEARCH('National Domains'!$A$2:$A$48,L661)))&gt;0,"Yes","No")</f>
        <v>Yes</v>
      </c>
      <c r="R661" s="2" t="str">
        <f>IF(COUNTIFS(Calibration!$A:$A,A661,Calibration!$B:$B,B661)&gt;0,"Yes","No")</f>
        <v>No</v>
      </c>
      <c r="S661" s="6"/>
    </row>
    <row r="662" spans="1:19" ht="34.5" customHeight="1" x14ac:dyDescent="0.2">
      <c r="A662" s="2">
        <v>171</v>
      </c>
      <c r="B662" s="2">
        <v>1</v>
      </c>
      <c r="C662" s="2" t="s">
        <v>323</v>
      </c>
      <c r="D662" s="2" t="s">
        <v>17</v>
      </c>
      <c r="E662" s="2">
        <v>20180318</v>
      </c>
      <c r="F662" s="2">
        <v>20180321</v>
      </c>
      <c r="G662" s="2">
        <v>1844.1</v>
      </c>
      <c r="H662" s="2">
        <v>1452</v>
      </c>
      <c r="I662" s="2">
        <v>0</v>
      </c>
      <c r="J662" s="2" t="s">
        <v>14</v>
      </c>
      <c r="K662" s="2" t="s">
        <v>15</v>
      </c>
      <c r="L662" s="2" t="s">
        <v>2444</v>
      </c>
      <c r="M662" s="7" t="s">
        <v>2445</v>
      </c>
      <c r="N662" s="7" t="s">
        <v>2446</v>
      </c>
      <c r="O662" s="2"/>
      <c r="P662" s="2"/>
      <c r="Q662" s="2" t="str">
        <f>IF(SUMPRODUCT(--ISNUMBER(SEARCH('National Domains'!$A$2:$A$48,L662)))&gt;0,"Yes","No")</f>
        <v>No</v>
      </c>
      <c r="R662" s="2" t="str">
        <f>IF(COUNTIFS(Calibration!$A:$A,A662,Calibration!$B:$B,B662)&gt;0,"Yes","No")</f>
        <v>No</v>
      </c>
      <c r="S662" s="6"/>
    </row>
    <row r="663" spans="1:19" ht="34.5" customHeight="1" x14ac:dyDescent="0.2">
      <c r="A663" s="2">
        <v>171</v>
      </c>
      <c r="B663" s="2">
        <v>2</v>
      </c>
      <c r="C663" s="2" t="s">
        <v>323</v>
      </c>
      <c r="D663" s="2" t="s">
        <v>17</v>
      </c>
      <c r="E663" s="2">
        <v>20180318</v>
      </c>
      <c r="F663" s="2">
        <v>20180321</v>
      </c>
      <c r="G663" s="2">
        <v>1844.1</v>
      </c>
      <c r="H663" s="2">
        <v>1452</v>
      </c>
      <c r="I663" s="2">
        <v>0</v>
      </c>
      <c r="J663" s="2" t="s">
        <v>14</v>
      </c>
      <c r="K663" s="2" t="s">
        <v>15</v>
      </c>
      <c r="L663" s="2" t="s">
        <v>2447</v>
      </c>
      <c r="M663" s="7" t="s">
        <v>2448</v>
      </c>
      <c r="N663" s="7" t="s">
        <v>2449</v>
      </c>
      <c r="O663" s="2"/>
      <c r="P663" s="2"/>
      <c r="Q663" s="2" t="str">
        <f>IF(SUMPRODUCT(--ISNUMBER(SEARCH('National Domains'!$A$2:$A$48,L663)))&gt;0,"Yes","No")</f>
        <v>No</v>
      </c>
      <c r="R663" s="2" t="str">
        <f>IF(COUNTIFS(Calibration!$A:$A,A663,Calibration!$B:$B,B663)&gt;0,"Yes","No")</f>
        <v>No</v>
      </c>
      <c r="S663" s="6"/>
    </row>
    <row r="664" spans="1:19" ht="34.5" customHeight="1" x14ac:dyDescent="0.2">
      <c r="A664" s="2">
        <v>171</v>
      </c>
      <c r="B664" s="2">
        <v>3</v>
      </c>
      <c r="C664" s="2" t="s">
        <v>323</v>
      </c>
      <c r="D664" s="2" t="s">
        <v>17</v>
      </c>
      <c r="E664" s="2">
        <v>20180318</v>
      </c>
      <c r="F664" s="2">
        <v>20180321</v>
      </c>
      <c r="G664" s="2">
        <v>1844.1</v>
      </c>
      <c r="H664" s="2">
        <v>1452</v>
      </c>
      <c r="I664" s="2">
        <v>0</v>
      </c>
      <c r="J664" s="2" t="s">
        <v>14</v>
      </c>
      <c r="K664" s="2" t="s">
        <v>15</v>
      </c>
      <c r="L664" s="2" t="s">
        <v>2450</v>
      </c>
      <c r="M664" s="7" t="s">
        <v>2451</v>
      </c>
      <c r="N664" s="7" t="s">
        <v>2452</v>
      </c>
      <c r="O664" s="2"/>
      <c r="P664" s="2"/>
      <c r="Q664" s="2" t="str">
        <f>IF(SUMPRODUCT(--ISNUMBER(SEARCH('National Domains'!$A$2:$A$48,L664)))&gt;0,"Yes","No")</f>
        <v>Yes</v>
      </c>
      <c r="R664" s="2" t="str">
        <f>IF(COUNTIFS(Calibration!$A:$A,A664,Calibration!$B:$B,B664)&gt;0,"Yes","No")</f>
        <v>No</v>
      </c>
      <c r="S664" s="6"/>
    </row>
    <row r="665" spans="1:19" ht="34.5" customHeight="1" x14ac:dyDescent="0.2">
      <c r="A665" s="2">
        <v>171</v>
      </c>
      <c r="B665" s="2">
        <v>4</v>
      </c>
      <c r="C665" s="2" t="s">
        <v>323</v>
      </c>
      <c r="D665" s="2" t="s">
        <v>17</v>
      </c>
      <c r="E665" s="2">
        <v>20180318</v>
      </c>
      <c r="F665" s="2">
        <v>20180321</v>
      </c>
      <c r="G665" s="2">
        <v>1844.1</v>
      </c>
      <c r="H665" s="2">
        <v>1452</v>
      </c>
      <c r="I665" s="2">
        <v>0</v>
      </c>
      <c r="J665" s="2" t="s">
        <v>14</v>
      </c>
      <c r="K665" s="2" t="s">
        <v>15</v>
      </c>
      <c r="L665" s="2" t="s">
        <v>2453</v>
      </c>
      <c r="M665" s="7" t="s">
        <v>2454</v>
      </c>
      <c r="N665" s="7" t="s">
        <v>2455</v>
      </c>
      <c r="O665" s="2"/>
      <c r="P665" s="2"/>
      <c r="Q665" s="2" t="str">
        <f>IF(SUMPRODUCT(--ISNUMBER(SEARCH('National Domains'!$A$2:$A$48,L665)))&gt;0,"Yes","No")</f>
        <v>Yes</v>
      </c>
      <c r="R665" s="2" t="str">
        <f>IF(COUNTIFS(Calibration!$A:$A,A665,Calibration!$B:$B,B665)&gt;0,"Yes","No")</f>
        <v>No</v>
      </c>
      <c r="S665" s="6"/>
    </row>
    <row r="666" spans="1:19" ht="34.5" customHeight="1" x14ac:dyDescent="0.2">
      <c r="A666" s="2">
        <v>172</v>
      </c>
      <c r="B666" s="2">
        <v>1</v>
      </c>
      <c r="C666" s="2" t="s">
        <v>324</v>
      </c>
      <c r="D666" s="2" t="s">
        <v>17</v>
      </c>
      <c r="E666" s="2">
        <v>20180413</v>
      </c>
      <c r="F666" s="2">
        <v>20180416</v>
      </c>
      <c r="G666" s="2">
        <v>1660.7</v>
      </c>
      <c r="H666" s="2">
        <v>1318</v>
      </c>
      <c r="I666" s="2">
        <v>3</v>
      </c>
      <c r="J666" s="2" t="s">
        <v>61</v>
      </c>
      <c r="K666" s="2" t="s">
        <v>62</v>
      </c>
      <c r="L666" s="2" t="s">
        <v>2456</v>
      </c>
      <c r="M666" s="7" t="s">
        <v>2457</v>
      </c>
      <c r="N666" s="7" t="s">
        <v>2458</v>
      </c>
      <c r="O666" s="2"/>
      <c r="P666" s="2"/>
      <c r="Q666" s="2" t="str">
        <f>IF(SUMPRODUCT(--ISNUMBER(SEARCH('National Domains'!$A$2:$A$48,L666)))&gt;0,"Yes","No")</f>
        <v>Yes</v>
      </c>
      <c r="R666" s="2" t="str">
        <f>IF(COUNTIFS(Calibration!$A:$A,A666,Calibration!$B:$B,B666)&gt;0,"Yes","No")</f>
        <v>No</v>
      </c>
      <c r="S666" s="6"/>
    </row>
    <row r="667" spans="1:19" ht="34.5" customHeight="1" x14ac:dyDescent="0.2">
      <c r="A667" s="2">
        <v>172</v>
      </c>
      <c r="B667" s="2">
        <v>2</v>
      </c>
      <c r="C667" s="2" t="s">
        <v>324</v>
      </c>
      <c r="D667" s="2" t="s">
        <v>17</v>
      </c>
      <c r="E667" s="2">
        <v>20180413</v>
      </c>
      <c r="F667" s="2">
        <v>20180416</v>
      </c>
      <c r="G667" s="2">
        <v>1660.7</v>
      </c>
      <c r="H667" s="2">
        <v>1318</v>
      </c>
      <c r="I667" s="2">
        <v>3</v>
      </c>
      <c r="J667" s="2" t="s">
        <v>61</v>
      </c>
      <c r="K667" s="2" t="s">
        <v>62</v>
      </c>
      <c r="L667" s="2" t="s">
        <v>2459</v>
      </c>
      <c r="M667" s="7" t="s">
        <v>2460</v>
      </c>
      <c r="N667" s="7" t="s">
        <v>2461</v>
      </c>
      <c r="O667" s="2"/>
      <c r="P667" s="2"/>
      <c r="Q667" s="2" t="str">
        <f>IF(SUMPRODUCT(--ISNUMBER(SEARCH('National Domains'!$A$2:$A$48,L667)))&gt;0,"Yes","No")</f>
        <v>Yes</v>
      </c>
      <c r="R667" s="2" t="str">
        <f>IF(COUNTIFS(Calibration!$A:$A,A667,Calibration!$B:$B,B667)&gt;0,"Yes","No")</f>
        <v>No</v>
      </c>
      <c r="S667" s="6"/>
    </row>
    <row r="668" spans="1:19" ht="34.5" customHeight="1" x14ac:dyDescent="0.2">
      <c r="A668" s="2">
        <v>173</v>
      </c>
      <c r="B668" s="2">
        <v>1</v>
      </c>
      <c r="C668" s="2" t="s">
        <v>325</v>
      </c>
      <c r="D668" s="2" t="s">
        <v>17</v>
      </c>
      <c r="E668" s="2">
        <v>20180501</v>
      </c>
      <c r="F668" s="2">
        <v>20180504</v>
      </c>
      <c r="G668" s="2">
        <v>1751.3</v>
      </c>
      <c r="H668" s="2">
        <v>1390</v>
      </c>
      <c r="I668" s="2">
        <v>0</v>
      </c>
      <c r="J668" s="2" t="s">
        <v>260</v>
      </c>
      <c r="K668" s="2" t="s">
        <v>261</v>
      </c>
      <c r="L668" s="2" t="s">
        <v>2462</v>
      </c>
      <c r="M668" s="7" t="s">
        <v>2463</v>
      </c>
      <c r="N668" s="7" t="s">
        <v>2464</v>
      </c>
      <c r="O668" s="2"/>
      <c r="P668" s="2"/>
      <c r="Q668" s="2" t="str">
        <f>IF(SUMPRODUCT(--ISNUMBER(SEARCH('National Domains'!$A$2:$A$48,L668)))&gt;0,"Yes","No")</f>
        <v>No</v>
      </c>
      <c r="R668" s="2" t="str">
        <f>IF(COUNTIFS(Calibration!$A:$A,A668,Calibration!$B:$B,B668)&gt;0,"Yes","No")</f>
        <v>No</v>
      </c>
      <c r="S668" s="6"/>
    </row>
    <row r="669" spans="1:19" ht="34.5" customHeight="1" x14ac:dyDescent="0.2">
      <c r="A669" s="2">
        <v>173</v>
      </c>
      <c r="B669" s="2">
        <v>2</v>
      </c>
      <c r="C669" s="2" t="s">
        <v>325</v>
      </c>
      <c r="D669" s="2" t="s">
        <v>17</v>
      </c>
      <c r="E669" s="2">
        <v>20180501</v>
      </c>
      <c r="F669" s="2">
        <v>20180504</v>
      </c>
      <c r="G669" s="2">
        <v>1751.3</v>
      </c>
      <c r="H669" s="2">
        <v>1390</v>
      </c>
      <c r="I669" s="2">
        <v>0</v>
      </c>
      <c r="J669" s="2" t="s">
        <v>260</v>
      </c>
      <c r="K669" s="2" t="s">
        <v>261</v>
      </c>
      <c r="L669" s="2" t="s">
        <v>2465</v>
      </c>
      <c r="M669" s="7" t="s">
        <v>2466</v>
      </c>
      <c r="N669" s="7" t="s">
        <v>2467</v>
      </c>
      <c r="O669" s="2"/>
      <c r="P669" s="2"/>
      <c r="Q669" s="2" t="str">
        <f>IF(SUMPRODUCT(--ISNUMBER(SEARCH('National Domains'!$A$2:$A$48,L669)))&gt;0,"Yes","No")</f>
        <v>Yes</v>
      </c>
      <c r="R669" s="2" t="str">
        <f>IF(COUNTIFS(Calibration!$A:$A,A669,Calibration!$B:$B,B669)&gt;0,"Yes","No")</f>
        <v>No</v>
      </c>
      <c r="S669" s="6"/>
    </row>
    <row r="670" spans="1:19" ht="34.5" customHeight="1" x14ac:dyDescent="0.2">
      <c r="A670" s="2">
        <v>174</v>
      </c>
      <c r="B670" s="2">
        <v>1</v>
      </c>
      <c r="C670" s="2" t="s">
        <v>326</v>
      </c>
      <c r="D670" s="2" t="s">
        <v>17</v>
      </c>
      <c r="E670" s="2">
        <v>20180513</v>
      </c>
      <c r="F670" s="2">
        <v>20180515</v>
      </c>
      <c r="G670" s="2">
        <v>1726.2</v>
      </c>
      <c r="H670" s="2">
        <v>1370</v>
      </c>
      <c r="I670" s="2">
        <v>5</v>
      </c>
      <c r="J670" s="2" t="s">
        <v>250</v>
      </c>
      <c r="K670" s="2" t="s">
        <v>251</v>
      </c>
      <c r="L670" s="2" t="s">
        <v>2468</v>
      </c>
      <c r="M670" s="7" t="s">
        <v>2469</v>
      </c>
      <c r="N670" s="7" t="s">
        <v>2470</v>
      </c>
      <c r="O670" s="2"/>
      <c r="P670" s="2"/>
      <c r="Q670" s="2" t="str">
        <f>IF(SUMPRODUCT(--ISNUMBER(SEARCH('National Domains'!$A$2:$A$48,L670)))&gt;0,"Yes","No")</f>
        <v>Yes</v>
      </c>
      <c r="R670" s="2" t="str">
        <f>IF(COUNTIFS(Calibration!$A:$A,A670,Calibration!$B:$B,B670)&gt;0,"Yes","No")</f>
        <v>No</v>
      </c>
      <c r="S670" s="6"/>
    </row>
    <row r="671" spans="1:19" ht="34.5" customHeight="1" x14ac:dyDescent="0.2">
      <c r="A671" s="2">
        <v>174</v>
      </c>
      <c r="B671" s="2">
        <v>2</v>
      </c>
      <c r="C671" s="2" t="s">
        <v>326</v>
      </c>
      <c r="D671" s="2" t="s">
        <v>17</v>
      </c>
      <c r="E671" s="2">
        <v>20180513</v>
      </c>
      <c r="F671" s="2">
        <v>20180515</v>
      </c>
      <c r="G671" s="2">
        <v>1726.2</v>
      </c>
      <c r="H671" s="2">
        <v>1370</v>
      </c>
      <c r="I671" s="2">
        <v>5</v>
      </c>
      <c r="J671" s="2" t="s">
        <v>250</v>
      </c>
      <c r="K671" s="2" t="s">
        <v>251</v>
      </c>
      <c r="L671" s="2" t="s">
        <v>2471</v>
      </c>
      <c r="M671" s="7" t="s">
        <v>2472</v>
      </c>
      <c r="N671" s="7" t="s">
        <v>2473</v>
      </c>
      <c r="O671" s="2"/>
      <c r="P671" s="2"/>
      <c r="Q671" s="2" t="str">
        <f>IF(SUMPRODUCT(--ISNUMBER(SEARCH('National Domains'!$A$2:$A$48,L671)))&gt;0,"Yes","No")</f>
        <v>No</v>
      </c>
      <c r="R671" s="2" t="str">
        <f>IF(COUNTIFS(Calibration!$A:$A,A671,Calibration!$B:$B,B671)&gt;0,"Yes","No")</f>
        <v>No</v>
      </c>
      <c r="S671" s="6"/>
    </row>
    <row r="672" spans="1:19" ht="34.5" customHeight="1" x14ac:dyDescent="0.2">
      <c r="A672" s="2">
        <v>176</v>
      </c>
      <c r="B672" s="2">
        <v>1</v>
      </c>
      <c r="C672" s="2" t="s">
        <v>328</v>
      </c>
      <c r="D672" s="2" t="s">
        <v>17</v>
      </c>
      <c r="E672" s="2">
        <v>20180613</v>
      </c>
      <c r="F672" s="2">
        <v>20180613</v>
      </c>
      <c r="G672" s="2">
        <v>1193.8</v>
      </c>
      <c r="H672" s="2">
        <v>955</v>
      </c>
      <c r="I672" s="2">
        <v>0</v>
      </c>
      <c r="J672" s="2" t="s">
        <v>73</v>
      </c>
      <c r="K672" s="2" t="s">
        <v>74</v>
      </c>
      <c r="L672" s="2" t="s">
        <v>2474</v>
      </c>
      <c r="M672" s="7" t="s">
        <v>2475</v>
      </c>
      <c r="N672" s="7" t="s">
        <v>2476</v>
      </c>
      <c r="O672" s="2"/>
      <c r="P672" s="2"/>
      <c r="Q672" s="2" t="str">
        <f>IF(SUMPRODUCT(--ISNUMBER(SEARCH('National Domains'!$A$2:$A$48,L672)))&gt;0,"Yes","No")</f>
        <v>No</v>
      </c>
      <c r="R672" s="2" t="str">
        <f>IF(COUNTIFS(Calibration!$A:$A,A672,Calibration!$B:$B,B672)&gt;0,"Yes","No")</f>
        <v>No</v>
      </c>
      <c r="S672" s="6"/>
    </row>
    <row r="673" spans="1:19" ht="34.5" customHeight="1" x14ac:dyDescent="0.2">
      <c r="A673" s="2">
        <v>176</v>
      </c>
      <c r="B673" s="2">
        <v>2</v>
      </c>
      <c r="C673" s="2" t="s">
        <v>328</v>
      </c>
      <c r="D673" s="2" t="s">
        <v>17</v>
      </c>
      <c r="E673" s="2">
        <v>20180613</v>
      </c>
      <c r="F673" s="2">
        <v>20180613</v>
      </c>
      <c r="G673" s="2">
        <v>1193.8</v>
      </c>
      <c r="H673" s="2">
        <v>955</v>
      </c>
      <c r="I673" s="2">
        <v>0</v>
      </c>
      <c r="J673" s="2" t="s">
        <v>73</v>
      </c>
      <c r="K673" s="2" t="s">
        <v>74</v>
      </c>
      <c r="L673" s="2" t="s">
        <v>2477</v>
      </c>
      <c r="M673" s="7" t="s">
        <v>2478</v>
      </c>
      <c r="N673" s="7" t="s">
        <v>2479</v>
      </c>
      <c r="O673" s="2"/>
      <c r="P673" s="2"/>
      <c r="Q673" s="2" t="str">
        <f>IF(SUMPRODUCT(--ISNUMBER(SEARCH('National Domains'!$A$2:$A$48,L673)))&gt;0,"Yes","No")</f>
        <v>No</v>
      </c>
      <c r="R673" s="2" t="str">
        <f>IF(COUNTIFS(Calibration!$A:$A,A673,Calibration!$B:$B,B673)&gt;0,"Yes","No")</f>
        <v>No</v>
      </c>
      <c r="S673" s="6"/>
    </row>
    <row r="674" spans="1:19" ht="34.5" customHeight="1" x14ac:dyDescent="0.2">
      <c r="A674" s="2">
        <v>176</v>
      </c>
      <c r="B674" s="2">
        <v>3</v>
      </c>
      <c r="C674" s="2" t="s">
        <v>328</v>
      </c>
      <c r="D674" s="2" t="s">
        <v>17</v>
      </c>
      <c r="E674" s="2">
        <v>20180613</v>
      </c>
      <c r="F674" s="2">
        <v>20180613</v>
      </c>
      <c r="G674" s="2">
        <v>1193.8</v>
      </c>
      <c r="H674" s="2">
        <v>955</v>
      </c>
      <c r="I674" s="2">
        <v>0</v>
      </c>
      <c r="J674" s="2" t="s">
        <v>73</v>
      </c>
      <c r="K674" s="2" t="s">
        <v>74</v>
      </c>
      <c r="L674" s="2" t="s">
        <v>2480</v>
      </c>
      <c r="M674" s="7" t="s">
        <v>2481</v>
      </c>
      <c r="N674" s="7" t="s">
        <v>2482</v>
      </c>
      <c r="O674" s="2"/>
      <c r="P674" s="2"/>
      <c r="Q674" s="2" t="str">
        <f>IF(SUMPRODUCT(--ISNUMBER(SEARCH('National Domains'!$A$2:$A$48,L674)))&gt;0,"Yes","No")</f>
        <v>No</v>
      </c>
      <c r="R674" s="2" t="str">
        <f>IF(COUNTIFS(Calibration!$A:$A,A674,Calibration!$B:$B,B674)&gt;0,"Yes","No")</f>
        <v>No</v>
      </c>
      <c r="S674" s="6"/>
    </row>
    <row r="675" spans="1:19" ht="34.5" customHeight="1" x14ac:dyDescent="0.2">
      <c r="A675" s="2">
        <v>177</v>
      </c>
      <c r="B675" s="2">
        <v>1</v>
      </c>
      <c r="C675" s="2" t="s">
        <v>328</v>
      </c>
      <c r="D675" s="2" t="s">
        <v>17</v>
      </c>
      <c r="E675" s="2">
        <v>20180618</v>
      </c>
      <c r="F675" s="2">
        <v>20180619</v>
      </c>
      <c r="G675" s="2">
        <v>2778.8</v>
      </c>
      <c r="H675" s="2">
        <v>2223</v>
      </c>
      <c r="I675" s="2">
        <v>0</v>
      </c>
      <c r="J675" s="2" t="s">
        <v>73</v>
      </c>
      <c r="K675" s="2" t="s">
        <v>74</v>
      </c>
      <c r="L675" s="2" t="s">
        <v>2474</v>
      </c>
      <c r="M675" s="7" t="s">
        <v>2475</v>
      </c>
      <c r="N675" s="7" t="s">
        <v>2476</v>
      </c>
      <c r="O675" s="2"/>
      <c r="P675" s="2"/>
      <c r="Q675" s="2" t="str">
        <f>IF(SUMPRODUCT(--ISNUMBER(SEARCH('National Domains'!$A$2:$A$48,L675)))&gt;0,"Yes","No")</f>
        <v>No</v>
      </c>
      <c r="R675" s="2" t="str">
        <f>IF(COUNTIFS(Calibration!$A:$A,A675,Calibration!$B:$B,B675)&gt;0,"Yes","No")</f>
        <v>No</v>
      </c>
      <c r="S675" s="6"/>
    </row>
    <row r="676" spans="1:19" ht="34.5" customHeight="1" x14ac:dyDescent="0.2">
      <c r="A676" s="2">
        <v>177</v>
      </c>
      <c r="B676" s="2">
        <v>2</v>
      </c>
      <c r="C676" s="2" t="s">
        <v>328</v>
      </c>
      <c r="D676" s="2" t="s">
        <v>17</v>
      </c>
      <c r="E676" s="2">
        <v>20180618</v>
      </c>
      <c r="F676" s="2">
        <v>20180619</v>
      </c>
      <c r="G676" s="2">
        <v>2778.8</v>
      </c>
      <c r="H676" s="2">
        <v>2223</v>
      </c>
      <c r="I676" s="2">
        <v>0</v>
      </c>
      <c r="J676" s="2" t="s">
        <v>73</v>
      </c>
      <c r="K676" s="2" t="s">
        <v>74</v>
      </c>
      <c r="L676" s="2" t="s">
        <v>2477</v>
      </c>
      <c r="M676" s="7" t="s">
        <v>2478</v>
      </c>
      <c r="N676" s="7" t="s">
        <v>2479</v>
      </c>
      <c r="O676" s="2"/>
      <c r="P676" s="2"/>
      <c r="Q676" s="2" t="str">
        <f>IF(SUMPRODUCT(--ISNUMBER(SEARCH('National Domains'!$A$2:$A$48,L676)))&gt;0,"Yes","No")</f>
        <v>No</v>
      </c>
      <c r="R676" s="2" t="str">
        <f>IF(COUNTIFS(Calibration!$A:$A,A676,Calibration!$B:$B,B676)&gt;0,"Yes","No")</f>
        <v>No</v>
      </c>
      <c r="S676" s="6"/>
    </row>
    <row r="677" spans="1:19" ht="34.5" customHeight="1" x14ac:dyDescent="0.2">
      <c r="A677" s="2">
        <v>177</v>
      </c>
      <c r="B677" s="2">
        <v>3</v>
      </c>
      <c r="C677" s="2" t="s">
        <v>328</v>
      </c>
      <c r="D677" s="2" t="s">
        <v>17</v>
      </c>
      <c r="E677" s="2">
        <v>20180618</v>
      </c>
      <c r="F677" s="2">
        <v>20180619</v>
      </c>
      <c r="G677" s="2">
        <v>2778.8</v>
      </c>
      <c r="H677" s="2">
        <v>2223</v>
      </c>
      <c r="I677" s="2">
        <v>0</v>
      </c>
      <c r="J677" s="2" t="s">
        <v>73</v>
      </c>
      <c r="K677" s="2" t="s">
        <v>74</v>
      </c>
      <c r="L677" s="2" t="s">
        <v>2480</v>
      </c>
      <c r="M677" s="7" t="s">
        <v>2481</v>
      </c>
      <c r="N677" s="7" t="s">
        <v>2482</v>
      </c>
      <c r="O677" s="2"/>
      <c r="P677" s="2"/>
      <c r="Q677" s="2" t="str">
        <f>IF(SUMPRODUCT(--ISNUMBER(SEARCH('National Domains'!$A$2:$A$48,L677)))&gt;0,"Yes","No")</f>
        <v>No</v>
      </c>
      <c r="R677" s="2" t="str">
        <f>IF(COUNTIFS(Calibration!$A:$A,A677,Calibration!$B:$B,B677)&gt;0,"Yes","No")</f>
        <v>No</v>
      </c>
      <c r="S677" s="6"/>
    </row>
    <row r="678" spans="1:19" ht="34.5" customHeight="1" x14ac:dyDescent="0.2">
      <c r="A678" s="2">
        <v>180</v>
      </c>
      <c r="B678" s="2">
        <v>1</v>
      </c>
      <c r="C678" s="2" t="s">
        <v>331</v>
      </c>
      <c r="D678" s="2" t="s">
        <v>17</v>
      </c>
      <c r="E678" s="2">
        <v>20180806</v>
      </c>
      <c r="F678" s="2">
        <v>20180807</v>
      </c>
      <c r="G678" s="2">
        <v>1281.4000000000001</v>
      </c>
      <c r="H678" s="2">
        <v>1025</v>
      </c>
      <c r="I678" s="2">
        <v>0</v>
      </c>
      <c r="J678" s="2" t="s">
        <v>247</v>
      </c>
      <c r="K678" s="2" t="s">
        <v>146</v>
      </c>
      <c r="L678" s="2" t="s">
        <v>2483</v>
      </c>
      <c r="M678" s="7" t="s">
        <v>2484</v>
      </c>
      <c r="N678" s="7" t="s">
        <v>2485</v>
      </c>
      <c r="O678" s="2"/>
      <c r="P678" s="2"/>
      <c r="Q678" s="2" t="str">
        <f>IF(SUMPRODUCT(--ISNUMBER(SEARCH('National Domains'!$A$2:$A$48,L678)))&gt;0,"Yes","No")</f>
        <v>No</v>
      </c>
      <c r="R678" s="2" t="str">
        <f>IF(COUNTIFS(Calibration!$A:$A,A678,Calibration!$B:$B,B678)&gt;0,"Yes","No")</f>
        <v>No</v>
      </c>
      <c r="S678" s="6"/>
    </row>
    <row r="679" spans="1:19" ht="34.5" customHeight="1" x14ac:dyDescent="0.2">
      <c r="A679" s="2">
        <v>180</v>
      </c>
      <c r="B679" s="2">
        <v>2</v>
      </c>
      <c r="C679" s="2" t="s">
        <v>331</v>
      </c>
      <c r="D679" s="2" t="s">
        <v>17</v>
      </c>
      <c r="E679" s="2">
        <v>20180806</v>
      </c>
      <c r="F679" s="2">
        <v>20180807</v>
      </c>
      <c r="G679" s="2">
        <v>1281.4000000000001</v>
      </c>
      <c r="H679" s="2">
        <v>1025</v>
      </c>
      <c r="I679" s="2">
        <v>0</v>
      </c>
      <c r="J679" s="2" t="s">
        <v>247</v>
      </c>
      <c r="K679" s="2" t="s">
        <v>146</v>
      </c>
      <c r="L679" s="2" t="s">
        <v>2486</v>
      </c>
      <c r="M679" s="7" t="s">
        <v>2487</v>
      </c>
      <c r="N679" s="7" t="s">
        <v>2488</v>
      </c>
      <c r="O679" s="2"/>
      <c r="P679" s="2"/>
      <c r="Q679" s="2" t="str">
        <f>IF(SUMPRODUCT(--ISNUMBER(SEARCH('National Domains'!$A$2:$A$48,L679)))&gt;0,"Yes","No")</f>
        <v>No</v>
      </c>
      <c r="R679" s="2" t="str">
        <f>IF(COUNTIFS(Calibration!$A:$A,A679,Calibration!$B:$B,B679)&gt;0,"Yes","No")</f>
        <v>No</v>
      </c>
      <c r="S679" s="6"/>
    </row>
    <row r="680" spans="1:19" ht="34.5" customHeight="1" x14ac:dyDescent="0.2">
      <c r="A680" s="2">
        <v>180</v>
      </c>
      <c r="B680" s="2">
        <v>3</v>
      </c>
      <c r="C680" s="2" t="s">
        <v>331</v>
      </c>
      <c r="D680" s="2" t="s">
        <v>17</v>
      </c>
      <c r="E680" s="2">
        <v>20180806</v>
      </c>
      <c r="F680" s="2">
        <v>20180807</v>
      </c>
      <c r="G680" s="2">
        <v>1281.4000000000001</v>
      </c>
      <c r="H680" s="2">
        <v>1025</v>
      </c>
      <c r="I680" s="2">
        <v>0</v>
      </c>
      <c r="J680" s="2" t="s">
        <v>247</v>
      </c>
      <c r="K680" s="2" t="s">
        <v>146</v>
      </c>
      <c r="L680" s="2" t="s">
        <v>2489</v>
      </c>
      <c r="M680" s="7" t="s">
        <v>2490</v>
      </c>
      <c r="N680" s="7" t="s">
        <v>2491</v>
      </c>
      <c r="O680" s="2"/>
      <c r="P680" s="2"/>
      <c r="Q680" s="2" t="str">
        <f>IF(SUMPRODUCT(--ISNUMBER(SEARCH('National Domains'!$A$2:$A$48,L680)))&gt;0,"Yes","No")</f>
        <v>No</v>
      </c>
      <c r="R680" s="2" t="str">
        <f>IF(COUNTIFS(Calibration!$A:$A,A680,Calibration!$B:$B,B680)&gt;0,"Yes","No")</f>
        <v>No</v>
      </c>
      <c r="S680" s="6"/>
    </row>
    <row r="681" spans="1:19" ht="23.25" customHeight="1" x14ac:dyDescent="0.2">
      <c r="A681" s="2">
        <v>181</v>
      </c>
      <c r="B681" s="2">
        <v>1</v>
      </c>
      <c r="C681" s="2" t="s">
        <v>332</v>
      </c>
      <c r="D681" s="2" t="s">
        <v>39</v>
      </c>
      <c r="E681" s="2">
        <v>20180913</v>
      </c>
      <c r="F681" s="2">
        <v>20180916</v>
      </c>
      <c r="G681" s="2">
        <v>30000</v>
      </c>
      <c r="H681" s="2">
        <v>24000</v>
      </c>
      <c r="I681" s="2">
        <v>53</v>
      </c>
      <c r="J681" s="2" t="s">
        <v>333</v>
      </c>
      <c r="K681" s="2" t="s">
        <v>27</v>
      </c>
      <c r="L681" s="2" t="s">
        <v>2492</v>
      </c>
      <c r="M681" s="7" t="s">
        <v>2493</v>
      </c>
      <c r="N681" s="7" t="s">
        <v>2494</v>
      </c>
      <c r="O681" s="2"/>
      <c r="P681" s="2"/>
      <c r="Q681" s="2" t="str">
        <f>IF(SUMPRODUCT(--ISNUMBER(SEARCH('National Domains'!$A$2:$A$48,L681)))&gt;0,"Yes","No")</f>
        <v>No</v>
      </c>
      <c r="R681" s="2" t="str">
        <f>IF(COUNTIFS(Calibration!$A:$A,A681,Calibration!$B:$B,B681)&gt;0,"Yes","No")</f>
        <v>No</v>
      </c>
      <c r="S681" s="6"/>
    </row>
    <row r="682" spans="1:19" ht="34.5" customHeight="1" x14ac:dyDescent="0.2">
      <c r="A682" s="2">
        <v>181</v>
      </c>
      <c r="B682" s="2">
        <v>2</v>
      </c>
      <c r="C682" s="2" t="s">
        <v>332</v>
      </c>
      <c r="D682" s="2" t="s">
        <v>39</v>
      </c>
      <c r="E682" s="2">
        <v>20180913</v>
      </c>
      <c r="F682" s="2">
        <v>20180916</v>
      </c>
      <c r="G682" s="2">
        <v>30000</v>
      </c>
      <c r="H682" s="2">
        <v>24000</v>
      </c>
      <c r="I682" s="2">
        <v>53</v>
      </c>
      <c r="J682" s="2" t="s">
        <v>333</v>
      </c>
      <c r="K682" s="2" t="s">
        <v>27</v>
      </c>
      <c r="L682" s="2" t="s">
        <v>2495</v>
      </c>
      <c r="M682" s="7" t="s">
        <v>2496</v>
      </c>
      <c r="N682" s="7" t="s">
        <v>2497</v>
      </c>
      <c r="O682" s="2"/>
      <c r="P682" s="2"/>
      <c r="Q682" s="2" t="str">
        <f>IF(SUMPRODUCT(--ISNUMBER(SEARCH('National Domains'!$A$2:$A$48,L682)))&gt;0,"Yes","No")</f>
        <v>No</v>
      </c>
      <c r="R682" s="2" t="str">
        <f>IF(COUNTIFS(Calibration!$A:$A,A682,Calibration!$B:$B,B682)&gt;0,"Yes","No")</f>
        <v>No</v>
      </c>
      <c r="S682" s="6"/>
    </row>
    <row r="683" spans="1:19" ht="34.5" customHeight="1" x14ac:dyDescent="0.2">
      <c r="A683" s="2">
        <v>181</v>
      </c>
      <c r="B683" s="2">
        <v>3</v>
      </c>
      <c r="C683" s="2" t="s">
        <v>332</v>
      </c>
      <c r="D683" s="2" t="s">
        <v>39</v>
      </c>
      <c r="E683" s="2">
        <v>20180913</v>
      </c>
      <c r="F683" s="2">
        <v>20180916</v>
      </c>
      <c r="G683" s="2">
        <v>30000</v>
      </c>
      <c r="H683" s="2">
        <v>24000</v>
      </c>
      <c r="I683" s="2">
        <v>53</v>
      </c>
      <c r="J683" s="2" t="s">
        <v>333</v>
      </c>
      <c r="K683" s="2" t="s">
        <v>27</v>
      </c>
      <c r="L683" s="2" t="s">
        <v>2498</v>
      </c>
      <c r="M683" s="7" t="s">
        <v>2499</v>
      </c>
      <c r="N683" s="7" t="s">
        <v>2500</v>
      </c>
      <c r="O683" s="2"/>
      <c r="P683" s="2"/>
      <c r="Q683" s="2" t="str">
        <f>IF(SUMPRODUCT(--ISNUMBER(SEARCH('National Domains'!$A$2:$A$48,L683)))&gt;0,"Yes","No")</f>
        <v>No</v>
      </c>
      <c r="R683" s="2" t="str">
        <f>IF(COUNTIFS(Calibration!$A:$A,A683,Calibration!$B:$B,B683)&gt;0,"Yes","No")</f>
        <v>No</v>
      </c>
      <c r="S683" s="6"/>
    </row>
    <row r="684" spans="1:19" ht="34.5" customHeight="1" x14ac:dyDescent="0.2">
      <c r="A684" s="2">
        <v>181</v>
      </c>
      <c r="B684" s="2">
        <v>4</v>
      </c>
      <c r="C684" s="2" t="s">
        <v>332</v>
      </c>
      <c r="D684" s="2" t="s">
        <v>39</v>
      </c>
      <c r="E684" s="2">
        <v>20180913</v>
      </c>
      <c r="F684" s="2">
        <v>20180916</v>
      </c>
      <c r="G684" s="2">
        <v>30000</v>
      </c>
      <c r="H684" s="2">
        <v>24000</v>
      </c>
      <c r="I684" s="2">
        <v>53</v>
      </c>
      <c r="J684" s="2" t="s">
        <v>333</v>
      </c>
      <c r="K684" s="2" t="s">
        <v>27</v>
      </c>
      <c r="L684" s="2" t="s">
        <v>2501</v>
      </c>
      <c r="M684" s="7" t="s">
        <v>2502</v>
      </c>
      <c r="N684" s="7" t="s">
        <v>2503</v>
      </c>
      <c r="O684" s="2"/>
      <c r="P684" s="2"/>
      <c r="Q684" s="2" t="str">
        <f>IF(SUMPRODUCT(--ISNUMBER(SEARCH('National Domains'!$A$2:$A$48,L684)))&gt;0,"Yes","No")</f>
        <v>No</v>
      </c>
      <c r="R684" s="2" t="str">
        <f>IF(COUNTIFS(Calibration!$A:$A,A684,Calibration!$B:$B,B684)&gt;0,"Yes","No")</f>
        <v>No</v>
      </c>
      <c r="S684" s="6"/>
    </row>
    <row r="685" spans="1:19" ht="34.5" customHeight="1" x14ac:dyDescent="0.2">
      <c r="A685" s="2">
        <v>181</v>
      </c>
      <c r="B685" s="2">
        <v>5</v>
      </c>
      <c r="C685" s="2" t="s">
        <v>332</v>
      </c>
      <c r="D685" s="2" t="s">
        <v>39</v>
      </c>
      <c r="E685" s="2">
        <v>20180913</v>
      </c>
      <c r="F685" s="2">
        <v>20180916</v>
      </c>
      <c r="G685" s="2">
        <v>30000</v>
      </c>
      <c r="H685" s="2">
        <v>24000</v>
      </c>
      <c r="I685" s="2">
        <v>53</v>
      </c>
      <c r="J685" s="2" t="s">
        <v>333</v>
      </c>
      <c r="K685" s="2" t="s">
        <v>27</v>
      </c>
      <c r="L685" s="2" t="s">
        <v>2504</v>
      </c>
      <c r="M685" s="7" t="s">
        <v>2505</v>
      </c>
      <c r="N685" s="7" t="s">
        <v>2506</v>
      </c>
      <c r="O685" s="2"/>
      <c r="P685" s="2"/>
      <c r="Q685" s="2" t="str">
        <f>IF(SUMPRODUCT(--ISNUMBER(SEARCH('National Domains'!$A$2:$A$48,L685)))&gt;0,"Yes","No")</f>
        <v>No</v>
      </c>
      <c r="R685" s="2" t="str">
        <f>IF(COUNTIFS(Calibration!$A:$A,A685,Calibration!$B:$B,B685)&gt;0,"Yes","No")</f>
        <v>No</v>
      </c>
      <c r="S685" s="6"/>
    </row>
    <row r="686" spans="1:19" ht="34.5" customHeight="1" x14ac:dyDescent="0.2">
      <c r="A686" s="2">
        <v>181</v>
      </c>
      <c r="B686" s="2">
        <v>6</v>
      </c>
      <c r="C686" s="2" t="s">
        <v>332</v>
      </c>
      <c r="D686" s="2" t="s">
        <v>39</v>
      </c>
      <c r="E686" s="2">
        <v>20180913</v>
      </c>
      <c r="F686" s="2">
        <v>20180916</v>
      </c>
      <c r="G686" s="2">
        <v>30000</v>
      </c>
      <c r="H686" s="2">
        <v>24000</v>
      </c>
      <c r="I686" s="2">
        <v>53</v>
      </c>
      <c r="J686" s="2" t="s">
        <v>333</v>
      </c>
      <c r="K686" s="2" t="s">
        <v>27</v>
      </c>
      <c r="L686" s="2" t="s">
        <v>2507</v>
      </c>
      <c r="M686" s="7" t="s">
        <v>2508</v>
      </c>
      <c r="N686" s="7" t="s">
        <v>2509</v>
      </c>
      <c r="O686" s="2"/>
      <c r="P686" s="2"/>
      <c r="Q686" s="2" t="str">
        <f>IF(SUMPRODUCT(--ISNUMBER(SEARCH('National Domains'!$A$2:$A$48,L686)))&gt;0,"Yes","No")</f>
        <v>Yes</v>
      </c>
      <c r="R686" s="2" t="str">
        <f>IF(COUNTIFS(Calibration!$A:$A,A686,Calibration!$B:$B,B686)&gt;0,"Yes","No")</f>
        <v>No</v>
      </c>
      <c r="S686" s="6"/>
    </row>
    <row r="687" spans="1:19" ht="34.5" customHeight="1" x14ac:dyDescent="0.2">
      <c r="A687" s="2">
        <v>181</v>
      </c>
      <c r="B687" s="2">
        <v>7</v>
      </c>
      <c r="C687" s="2" t="s">
        <v>332</v>
      </c>
      <c r="D687" s="2" t="s">
        <v>39</v>
      </c>
      <c r="E687" s="2">
        <v>20180913</v>
      </c>
      <c r="F687" s="2">
        <v>20180916</v>
      </c>
      <c r="G687" s="2">
        <v>30000</v>
      </c>
      <c r="H687" s="2">
        <v>24000</v>
      </c>
      <c r="I687" s="2">
        <v>53</v>
      </c>
      <c r="J687" s="2" t="s">
        <v>333</v>
      </c>
      <c r="K687" s="2" t="s">
        <v>27</v>
      </c>
      <c r="L687" s="2" t="s">
        <v>2510</v>
      </c>
      <c r="M687" s="7" t="s">
        <v>2511</v>
      </c>
      <c r="N687" s="7" t="s">
        <v>2512</v>
      </c>
      <c r="O687" s="2"/>
      <c r="P687" s="2"/>
      <c r="Q687" s="2" t="str">
        <f>IF(SUMPRODUCT(--ISNUMBER(SEARCH('National Domains'!$A$2:$A$48,L687)))&gt;0,"Yes","No")</f>
        <v>Yes</v>
      </c>
      <c r="R687" s="2" t="str">
        <f>IF(COUNTIFS(Calibration!$A:$A,A687,Calibration!$B:$B,B687)&gt;0,"Yes","No")</f>
        <v>No</v>
      </c>
      <c r="S687" s="6"/>
    </row>
    <row r="688" spans="1:19" ht="34.5" customHeight="1" x14ac:dyDescent="0.2">
      <c r="A688" s="4">
        <v>181</v>
      </c>
      <c r="B688" s="4">
        <v>8</v>
      </c>
      <c r="C688" s="4" t="s">
        <v>332</v>
      </c>
      <c r="D688" s="4" t="s">
        <v>39</v>
      </c>
      <c r="E688" s="4">
        <v>20180913</v>
      </c>
      <c r="F688" s="4">
        <v>20180916</v>
      </c>
      <c r="G688" s="4">
        <v>30000</v>
      </c>
      <c r="H688" s="4">
        <v>24000</v>
      </c>
      <c r="I688" s="4">
        <v>53</v>
      </c>
      <c r="J688" s="4" t="s">
        <v>333</v>
      </c>
      <c r="K688" s="4" t="s">
        <v>27</v>
      </c>
      <c r="L688" s="4" t="s">
        <v>2513</v>
      </c>
      <c r="M688" s="5" t="s">
        <v>2514</v>
      </c>
      <c r="N688" s="5" t="s">
        <v>2515</v>
      </c>
      <c r="O688" s="4"/>
      <c r="P688" s="4"/>
      <c r="Q688" s="4" t="str">
        <f>IF(SUMPRODUCT(--ISNUMBER(SEARCH('National Domains'!$A$2:$A$48,L688)))&gt;0,"Yes","No")</f>
        <v>No</v>
      </c>
      <c r="R688" s="4" t="str">
        <f>IF(COUNTIFS(Calibration!$A:$A,A688,Calibration!$B:$B,B688)&gt;0,"Yes","No")</f>
        <v>Yes</v>
      </c>
      <c r="S688" s="6"/>
    </row>
    <row r="689" spans="1:19" ht="34.5" customHeight="1" x14ac:dyDescent="0.2">
      <c r="A689" s="2">
        <v>181</v>
      </c>
      <c r="B689" s="2">
        <v>9</v>
      </c>
      <c r="C689" s="2" t="s">
        <v>332</v>
      </c>
      <c r="D689" s="2" t="s">
        <v>39</v>
      </c>
      <c r="E689" s="2">
        <v>20180913</v>
      </c>
      <c r="F689" s="2">
        <v>20180916</v>
      </c>
      <c r="G689" s="2">
        <v>30000</v>
      </c>
      <c r="H689" s="2">
        <v>24000</v>
      </c>
      <c r="I689" s="2">
        <v>53</v>
      </c>
      <c r="J689" s="2" t="s">
        <v>333</v>
      </c>
      <c r="K689" s="2" t="s">
        <v>27</v>
      </c>
      <c r="L689" s="2" t="s">
        <v>2516</v>
      </c>
      <c r="M689" s="7" t="s">
        <v>2517</v>
      </c>
      <c r="N689" s="7" t="s">
        <v>2518</v>
      </c>
      <c r="O689" s="2"/>
      <c r="P689" s="2"/>
      <c r="Q689" s="2" t="str">
        <f>IF(SUMPRODUCT(--ISNUMBER(SEARCH('National Domains'!$A$2:$A$48,L689)))&gt;0,"Yes","No")</f>
        <v>No</v>
      </c>
      <c r="R689" s="2" t="str">
        <f>IF(COUNTIFS(Calibration!$A:$A,A689,Calibration!$B:$B,B689)&gt;0,"Yes","No")</f>
        <v>No</v>
      </c>
      <c r="S689" s="6"/>
    </row>
    <row r="690" spans="1:19" ht="34.5" customHeight="1" x14ac:dyDescent="0.2">
      <c r="A690" s="2">
        <v>181</v>
      </c>
      <c r="B690" s="2">
        <v>10</v>
      </c>
      <c r="C690" s="2" t="s">
        <v>332</v>
      </c>
      <c r="D690" s="2" t="s">
        <v>39</v>
      </c>
      <c r="E690" s="2">
        <v>20180913</v>
      </c>
      <c r="F690" s="2">
        <v>20180916</v>
      </c>
      <c r="G690" s="2">
        <v>30000</v>
      </c>
      <c r="H690" s="2">
        <v>24000</v>
      </c>
      <c r="I690" s="2">
        <v>53</v>
      </c>
      <c r="J690" s="2" t="s">
        <v>333</v>
      </c>
      <c r="K690" s="2" t="s">
        <v>27</v>
      </c>
      <c r="L690" s="2" t="s">
        <v>2519</v>
      </c>
      <c r="M690" s="7" t="s">
        <v>2520</v>
      </c>
      <c r="N690" s="7" t="s">
        <v>2521</v>
      </c>
      <c r="O690" s="2"/>
      <c r="P690" s="2"/>
      <c r="Q690" s="2" t="str">
        <f>IF(SUMPRODUCT(--ISNUMBER(SEARCH('National Domains'!$A$2:$A$48,L690)))&gt;0,"Yes","No")</f>
        <v>No</v>
      </c>
      <c r="R690" s="2" t="str">
        <f>IF(COUNTIFS(Calibration!$A:$A,A690,Calibration!$B:$B,B690)&gt;0,"Yes","No")</f>
        <v>No</v>
      </c>
      <c r="S690" s="6"/>
    </row>
    <row r="691" spans="1:19" ht="34.5" customHeight="1" x14ac:dyDescent="0.2">
      <c r="A691" s="2">
        <v>182</v>
      </c>
      <c r="B691" s="2">
        <v>1</v>
      </c>
      <c r="C691" s="2" t="s">
        <v>334</v>
      </c>
      <c r="D691" s="2" t="s">
        <v>39</v>
      </c>
      <c r="E691" s="2">
        <v>20181010</v>
      </c>
      <c r="F691" s="2">
        <v>20181011</v>
      </c>
      <c r="G691" s="2">
        <v>31218.799999999999</v>
      </c>
      <c r="H691" s="2">
        <v>24975</v>
      </c>
      <c r="I691" s="2">
        <v>49</v>
      </c>
      <c r="J691" s="2" t="s">
        <v>335</v>
      </c>
      <c r="K691" s="2" t="s">
        <v>15</v>
      </c>
      <c r="L691" s="2" t="s">
        <v>2522</v>
      </c>
      <c r="M691" s="7" t="s">
        <v>2523</v>
      </c>
      <c r="N691" s="7" t="s">
        <v>2524</v>
      </c>
      <c r="O691" s="2"/>
      <c r="P691" s="2"/>
      <c r="Q691" s="2" t="str">
        <f>IF(SUMPRODUCT(--ISNUMBER(SEARCH('National Domains'!$A$2:$A$48,L691)))&gt;0,"Yes","No")</f>
        <v>No</v>
      </c>
      <c r="R691" s="2" t="str">
        <f>IF(COUNTIFS(Calibration!$A:$A,A691,Calibration!$B:$B,B691)&gt;0,"Yes","No")</f>
        <v>No</v>
      </c>
      <c r="S691" s="6"/>
    </row>
    <row r="692" spans="1:19" ht="34.5" customHeight="1" x14ac:dyDescent="0.2">
      <c r="A692" s="2">
        <v>182</v>
      </c>
      <c r="B692" s="2">
        <v>2</v>
      </c>
      <c r="C692" s="2" t="s">
        <v>334</v>
      </c>
      <c r="D692" s="2" t="s">
        <v>39</v>
      </c>
      <c r="E692" s="2">
        <v>20181010</v>
      </c>
      <c r="F692" s="2">
        <v>20181011</v>
      </c>
      <c r="G692" s="2">
        <v>31218.799999999999</v>
      </c>
      <c r="H692" s="2">
        <v>24975</v>
      </c>
      <c r="I692" s="2">
        <v>49</v>
      </c>
      <c r="J692" s="2" t="s">
        <v>335</v>
      </c>
      <c r="K692" s="2" t="s">
        <v>15</v>
      </c>
      <c r="L692" s="2" t="s">
        <v>2525</v>
      </c>
      <c r="M692" s="7" t="s">
        <v>2526</v>
      </c>
      <c r="N692" s="7" t="s">
        <v>2527</v>
      </c>
      <c r="O692" s="2"/>
      <c r="P692" s="2"/>
      <c r="Q692" s="2" t="str">
        <f>IF(SUMPRODUCT(--ISNUMBER(SEARCH('National Domains'!$A$2:$A$48,L692)))&gt;0,"Yes","No")</f>
        <v>No</v>
      </c>
      <c r="R692" s="2" t="str">
        <f>IF(COUNTIFS(Calibration!$A:$A,A692,Calibration!$B:$B,B692)&gt;0,"Yes","No")</f>
        <v>No</v>
      </c>
      <c r="S692" s="6"/>
    </row>
    <row r="693" spans="1:19" ht="34.5" customHeight="1" x14ac:dyDescent="0.2">
      <c r="A693" s="2">
        <v>182</v>
      </c>
      <c r="B693" s="2">
        <v>3</v>
      </c>
      <c r="C693" s="2" t="s">
        <v>334</v>
      </c>
      <c r="D693" s="2" t="s">
        <v>39</v>
      </c>
      <c r="E693" s="2">
        <v>20181010</v>
      </c>
      <c r="F693" s="2">
        <v>20181011</v>
      </c>
      <c r="G693" s="2">
        <v>31218.799999999999</v>
      </c>
      <c r="H693" s="2">
        <v>24975</v>
      </c>
      <c r="I693" s="2">
        <v>49</v>
      </c>
      <c r="J693" s="2" t="s">
        <v>335</v>
      </c>
      <c r="K693" s="2" t="s">
        <v>15</v>
      </c>
      <c r="L693" s="2" t="s">
        <v>2528</v>
      </c>
      <c r="M693" s="7" t="s">
        <v>2529</v>
      </c>
      <c r="N693" s="7" t="s">
        <v>2530</v>
      </c>
      <c r="O693" s="2"/>
      <c r="P693" s="2"/>
      <c r="Q693" s="2" t="str">
        <f>IF(SUMPRODUCT(--ISNUMBER(SEARCH('National Domains'!$A$2:$A$48,L693)))&gt;0,"Yes","No")</f>
        <v>No</v>
      </c>
      <c r="R693" s="2" t="str">
        <f>IF(COUNTIFS(Calibration!$A:$A,A693,Calibration!$B:$B,B693)&gt;0,"Yes","No")</f>
        <v>No</v>
      </c>
      <c r="S693" s="6"/>
    </row>
    <row r="694" spans="1:19" ht="34.5" customHeight="1" x14ac:dyDescent="0.2">
      <c r="A694" s="2">
        <v>182</v>
      </c>
      <c r="B694" s="2">
        <v>4</v>
      </c>
      <c r="C694" s="2" t="s">
        <v>334</v>
      </c>
      <c r="D694" s="2" t="s">
        <v>39</v>
      </c>
      <c r="E694" s="2">
        <v>20181010</v>
      </c>
      <c r="F694" s="2">
        <v>20181011</v>
      </c>
      <c r="G694" s="2">
        <v>31218.799999999999</v>
      </c>
      <c r="H694" s="2">
        <v>24975</v>
      </c>
      <c r="I694" s="2">
        <v>49</v>
      </c>
      <c r="J694" s="2" t="s">
        <v>335</v>
      </c>
      <c r="K694" s="2" t="s">
        <v>15</v>
      </c>
      <c r="L694" s="2" t="s">
        <v>2531</v>
      </c>
      <c r="M694" s="7" t="s">
        <v>2532</v>
      </c>
      <c r="N694" s="7" t="s">
        <v>2533</v>
      </c>
      <c r="O694" s="2"/>
      <c r="P694" s="2"/>
      <c r="Q694" s="2" t="str">
        <f>IF(SUMPRODUCT(--ISNUMBER(SEARCH('National Domains'!$A$2:$A$48,L694)))&gt;0,"Yes","No")</f>
        <v>No</v>
      </c>
      <c r="R694" s="2" t="str">
        <f>IF(COUNTIFS(Calibration!$A:$A,A694,Calibration!$B:$B,B694)&gt;0,"Yes","No")</f>
        <v>No</v>
      </c>
      <c r="S694" s="6"/>
    </row>
    <row r="695" spans="1:19" ht="34.5" customHeight="1" x14ac:dyDescent="0.2">
      <c r="A695" s="2">
        <v>182</v>
      </c>
      <c r="B695" s="2">
        <v>5</v>
      </c>
      <c r="C695" s="2" t="s">
        <v>334</v>
      </c>
      <c r="D695" s="2" t="s">
        <v>39</v>
      </c>
      <c r="E695" s="2">
        <v>20181010</v>
      </c>
      <c r="F695" s="2">
        <v>20181011</v>
      </c>
      <c r="G695" s="2">
        <v>31218.799999999999</v>
      </c>
      <c r="H695" s="2">
        <v>24975</v>
      </c>
      <c r="I695" s="2">
        <v>49</v>
      </c>
      <c r="J695" s="2" t="s">
        <v>335</v>
      </c>
      <c r="K695" s="2" t="s">
        <v>15</v>
      </c>
      <c r="L695" s="2" t="s">
        <v>2534</v>
      </c>
      <c r="M695" s="7" t="s">
        <v>2535</v>
      </c>
      <c r="N695" s="7" t="s">
        <v>2536</v>
      </c>
      <c r="O695" s="2"/>
      <c r="P695" s="2"/>
      <c r="Q695" s="2" t="str">
        <f>IF(SUMPRODUCT(--ISNUMBER(SEARCH('National Domains'!$A$2:$A$48,L695)))&gt;0,"Yes","No")</f>
        <v>No</v>
      </c>
      <c r="R695" s="2" t="str">
        <f>IF(COUNTIFS(Calibration!$A:$A,A695,Calibration!$B:$B,B695)&gt;0,"Yes","No")</f>
        <v>No</v>
      </c>
      <c r="S695" s="6"/>
    </row>
    <row r="696" spans="1:19" ht="23.25" customHeight="1" x14ac:dyDescent="0.2">
      <c r="A696" s="2">
        <v>182</v>
      </c>
      <c r="B696" s="2">
        <v>6</v>
      </c>
      <c r="C696" s="2" t="s">
        <v>334</v>
      </c>
      <c r="D696" s="2" t="s">
        <v>39</v>
      </c>
      <c r="E696" s="2">
        <v>20181010</v>
      </c>
      <c r="F696" s="2">
        <v>20181011</v>
      </c>
      <c r="G696" s="2">
        <v>31218.799999999999</v>
      </c>
      <c r="H696" s="2">
        <v>24975</v>
      </c>
      <c r="I696" s="2">
        <v>49</v>
      </c>
      <c r="J696" s="2" t="s">
        <v>335</v>
      </c>
      <c r="K696" s="2" t="s">
        <v>15</v>
      </c>
      <c r="L696" s="2" t="s">
        <v>2537</v>
      </c>
      <c r="M696" s="7" t="s">
        <v>2538</v>
      </c>
      <c r="N696" s="7" t="s">
        <v>2539</v>
      </c>
      <c r="O696" s="2"/>
      <c r="P696" s="2"/>
      <c r="Q696" s="2" t="str">
        <f>IF(SUMPRODUCT(--ISNUMBER(SEARCH('National Domains'!$A$2:$A$48,L696)))&gt;0,"Yes","No")</f>
        <v>No</v>
      </c>
      <c r="R696" s="2" t="str">
        <f>IF(COUNTIFS(Calibration!$A:$A,A696,Calibration!$B:$B,B696)&gt;0,"Yes","No")</f>
        <v>No</v>
      </c>
      <c r="S696" s="6"/>
    </row>
    <row r="697" spans="1:19" ht="34.5" customHeight="1" x14ac:dyDescent="0.2">
      <c r="A697" s="2">
        <v>182</v>
      </c>
      <c r="B697" s="2">
        <v>7</v>
      </c>
      <c r="C697" s="2" t="s">
        <v>334</v>
      </c>
      <c r="D697" s="2" t="s">
        <v>39</v>
      </c>
      <c r="E697" s="2">
        <v>20181010</v>
      </c>
      <c r="F697" s="2">
        <v>20181011</v>
      </c>
      <c r="G697" s="2">
        <v>31218.799999999999</v>
      </c>
      <c r="H697" s="2">
        <v>24975</v>
      </c>
      <c r="I697" s="2">
        <v>49</v>
      </c>
      <c r="J697" s="2" t="s">
        <v>335</v>
      </c>
      <c r="K697" s="2" t="s">
        <v>15</v>
      </c>
      <c r="L697" s="2" t="s">
        <v>2540</v>
      </c>
      <c r="M697" s="7" t="s">
        <v>2541</v>
      </c>
      <c r="N697" s="7" t="s">
        <v>2542</v>
      </c>
      <c r="O697" s="2"/>
      <c r="P697" s="2"/>
      <c r="Q697" s="2" t="str">
        <f>IF(SUMPRODUCT(--ISNUMBER(SEARCH('National Domains'!$A$2:$A$48,L697)))&gt;0,"Yes","No")</f>
        <v>No</v>
      </c>
      <c r="R697" s="2" t="str">
        <f>IF(COUNTIFS(Calibration!$A:$A,A697,Calibration!$B:$B,B697)&gt;0,"Yes","No")</f>
        <v>No</v>
      </c>
      <c r="S697" s="6"/>
    </row>
    <row r="698" spans="1:19" ht="34.5" customHeight="1" x14ac:dyDescent="0.2">
      <c r="A698" s="2">
        <v>182</v>
      </c>
      <c r="B698" s="2">
        <v>8</v>
      </c>
      <c r="C698" s="2" t="s">
        <v>334</v>
      </c>
      <c r="D698" s="2" t="s">
        <v>39</v>
      </c>
      <c r="E698" s="2">
        <v>20181010</v>
      </c>
      <c r="F698" s="2">
        <v>20181011</v>
      </c>
      <c r="G698" s="2">
        <v>31218.799999999999</v>
      </c>
      <c r="H698" s="2">
        <v>24975</v>
      </c>
      <c r="I698" s="2">
        <v>49</v>
      </c>
      <c r="J698" s="2" t="s">
        <v>335</v>
      </c>
      <c r="K698" s="2" t="s">
        <v>15</v>
      </c>
      <c r="L698" s="2" t="s">
        <v>2543</v>
      </c>
      <c r="M698" s="7" t="s">
        <v>2544</v>
      </c>
      <c r="N698" s="7" t="s">
        <v>2545</v>
      </c>
      <c r="O698" s="2"/>
      <c r="P698" s="2"/>
      <c r="Q698" s="2" t="str">
        <f>IF(SUMPRODUCT(--ISNUMBER(SEARCH('National Domains'!$A$2:$A$48,L698)))&gt;0,"Yes","No")</f>
        <v>No</v>
      </c>
      <c r="R698" s="2" t="str">
        <f>IF(COUNTIFS(Calibration!$A:$A,A698,Calibration!$B:$B,B698)&gt;0,"Yes","No")</f>
        <v>No</v>
      </c>
      <c r="S698" s="6"/>
    </row>
    <row r="699" spans="1:19" ht="34.5" customHeight="1" x14ac:dyDescent="0.2">
      <c r="A699" s="2">
        <v>182</v>
      </c>
      <c r="B699" s="2">
        <v>9</v>
      </c>
      <c r="C699" s="2" t="s">
        <v>334</v>
      </c>
      <c r="D699" s="2" t="s">
        <v>39</v>
      </c>
      <c r="E699" s="2">
        <v>20181010</v>
      </c>
      <c r="F699" s="2">
        <v>20181011</v>
      </c>
      <c r="G699" s="2">
        <v>31218.799999999999</v>
      </c>
      <c r="H699" s="2">
        <v>24975</v>
      </c>
      <c r="I699" s="2">
        <v>49</v>
      </c>
      <c r="J699" s="2" t="s">
        <v>335</v>
      </c>
      <c r="K699" s="2" t="s">
        <v>15</v>
      </c>
      <c r="L699" s="2" t="s">
        <v>2546</v>
      </c>
      <c r="M699" s="7" t="s">
        <v>2547</v>
      </c>
      <c r="N699" s="7" t="s">
        <v>2548</v>
      </c>
      <c r="O699" s="2"/>
      <c r="P699" s="2"/>
      <c r="Q699" s="2" t="str">
        <f>IF(SUMPRODUCT(--ISNUMBER(SEARCH('National Domains'!$A$2:$A$48,L699)))&gt;0,"Yes","No")</f>
        <v>No</v>
      </c>
      <c r="R699" s="2" t="str">
        <f>IF(COUNTIFS(Calibration!$A:$A,A699,Calibration!$B:$B,B699)&gt;0,"Yes","No")</f>
        <v>No</v>
      </c>
      <c r="S699" s="6"/>
    </row>
    <row r="700" spans="1:19" ht="34.5" customHeight="1" x14ac:dyDescent="0.2">
      <c r="A700" s="2">
        <v>182</v>
      </c>
      <c r="B700" s="2">
        <v>10</v>
      </c>
      <c r="C700" s="2" t="s">
        <v>334</v>
      </c>
      <c r="D700" s="2" t="s">
        <v>39</v>
      </c>
      <c r="E700" s="2">
        <v>20181010</v>
      </c>
      <c r="F700" s="2">
        <v>20181011</v>
      </c>
      <c r="G700" s="2">
        <v>31218.799999999999</v>
      </c>
      <c r="H700" s="2">
        <v>24975</v>
      </c>
      <c r="I700" s="2">
        <v>49</v>
      </c>
      <c r="J700" s="2" t="s">
        <v>335</v>
      </c>
      <c r="K700" s="2" t="s">
        <v>15</v>
      </c>
      <c r="L700" s="2" t="s">
        <v>2549</v>
      </c>
      <c r="M700" s="7" t="s">
        <v>2550</v>
      </c>
      <c r="N700" s="7" t="s">
        <v>2551</v>
      </c>
      <c r="O700" s="2"/>
      <c r="P700" s="2"/>
      <c r="Q700" s="2" t="str">
        <f>IF(SUMPRODUCT(--ISNUMBER(SEARCH('National Domains'!$A$2:$A$48,L700)))&gt;0,"Yes","No")</f>
        <v>No</v>
      </c>
      <c r="R700" s="2" t="str">
        <f>IF(COUNTIFS(Calibration!$A:$A,A700,Calibration!$B:$B,B700)&gt;0,"Yes","No")</f>
        <v>No</v>
      </c>
      <c r="S700" s="6"/>
    </row>
    <row r="701" spans="1:19" ht="34.5" customHeight="1" x14ac:dyDescent="0.2">
      <c r="A701" s="2">
        <v>182</v>
      </c>
      <c r="B701" s="2">
        <v>11</v>
      </c>
      <c r="C701" s="2" t="s">
        <v>334</v>
      </c>
      <c r="D701" s="2" t="s">
        <v>39</v>
      </c>
      <c r="E701" s="2">
        <v>20181010</v>
      </c>
      <c r="F701" s="2">
        <v>20181011</v>
      </c>
      <c r="G701" s="2">
        <v>31218.799999999999</v>
      </c>
      <c r="H701" s="2">
        <v>24975</v>
      </c>
      <c r="I701" s="2">
        <v>49</v>
      </c>
      <c r="J701" s="2" t="s">
        <v>335</v>
      </c>
      <c r="K701" s="2" t="s">
        <v>15</v>
      </c>
      <c r="L701" s="2" t="s">
        <v>2552</v>
      </c>
      <c r="M701" s="7" t="s">
        <v>2553</v>
      </c>
      <c r="N701" s="7" t="s">
        <v>2554</v>
      </c>
      <c r="O701" s="2"/>
      <c r="P701" s="2"/>
      <c r="Q701" s="2" t="str">
        <f>IF(SUMPRODUCT(--ISNUMBER(SEARCH('National Domains'!$A$2:$A$48,L701)))&gt;0,"Yes","No")</f>
        <v>No</v>
      </c>
      <c r="R701" s="2" t="str">
        <f>IF(COUNTIFS(Calibration!$A:$A,A701,Calibration!$B:$B,B701)&gt;0,"Yes","No")</f>
        <v>No</v>
      </c>
      <c r="S701" s="6"/>
    </row>
    <row r="702" spans="1:19" ht="34.5" customHeight="1" x14ac:dyDescent="0.2">
      <c r="A702" s="2">
        <v>182</v>
      </c>
      <c r="B702" s="2">
        <v>12</v>
      </c>
      <c r="C702" s="2" t="s">
        <v>334</v>
      </c>
      <c r="D702" s="2" t="s">
        <v>39</v>
      </c>
      <c r="E702" s="2">
        <v>20181010</v>
      </c>
      <c r="F702" s="2">
        <v>20181011</v>
      </c>
      <c r="G702" s="2">
        <v>31218.799999999999</v>
      </c>
      <c r="H702" s="2">
        <v>24975</v>
      </c>
      <c r="I702" s="2">
        <v>49</v>
      </c>
      <c r="J702" s="2" t="s">
        <v>335</v>
      </c>
      <c r="K702" s="2" t="s">
        <v>15</v>
      </c>
      <c r="L702" s="2" t="s">
        <v>2555</v>
      </c>
      <c r="M702" s="7" t="s">
        <v>2556</v>
      </c>
      <c r="N702" s="7" t="s">
        <v>2557</v>
      </c>
      <c r="O702" s="2"/>
      <c r="P702" s="2"/>
      <c r="Q702" s="2" t="str">
        <f>IF(SUMPRODUCT(--ISNUMBER(SEARCH('National Domains'!$A$2:$A$48,L702)))&gt;0,"Yes","No")</f>
        <v>No</v>
      </c>
      <c r="R702" s="2" t="str">
        <f>IF(COUNTIFS(Calibration!$A:$A,A702,Calibration!$B:$B,B702)&gt;0,"Yes","No")</f>
        <v>No</v>
      </c>
      <c r="S702" s="6"/>
    </row>
    <row r="703" spans="1:19" ht="23.25" customHeight="1" x14ac:dyDescent="0.2">
      <c r="A703" s="2">
        <v>182</v>
      </c>
      <c r="B703" s="2">
        <v>13</v>
      </c>
      <c r="C703" s="2" t="s">
        <v>334</v>
      </c>
      <c r="D703" s="2" t="s">
        <v>39</v>
      </c>
      <c r="E703" s="2">
        <v>20181010</v>
      </c>
      <c r="F703" s="2">
        <v>20181011</v>
      </c>
      <c r="G703" s="2">
        <v>31218.799999999999</v>
      </c>
      <c r="H703" s="2">
        <v>24975</v>
      </c>
      <c r="I703" s="2">
        <v>49</v>
      </c>
      <c r="J703" s="2" t="s">
        <v>335</v>
      </c>
      <c r="K703" s="2" t="s">
        <v>15</v>
      </c>
      <c r="L703" s="2" t="s">
        <v>2558</v>
      </c>
      <c r="M703" s="7" t="s">
        <v>2559</v>
      </c>
      <c r="N703" s="7" t="s">
        <v>2560</v>
      </c>
      <c r="O703" s="2"/>
      <c r="P703" s="2"/>
      <c r="Q703" s="2" t="str">
        <f>IF(SUMPRODUCT(--ISNUMBER(SEARCH('National Domains'!$A$2:$A$48,L703)))&gt;0,"Yes","No")</f>
        <v>No</v>
      </c>
      <c r="R703" s="2" t="str">
        <f>IF(COUNTIFS(Calibration!$A:$A,A703,Calibration!$B:$B,B703)&gt;0,"Yes","No")</f>
        <v>No</v>
      </c>
      <c r="S703" s="6"/>
    </row>
    <row r="704" spans="1:19" ht="34.5" customHeight="1" x14ac:dyDescent="0.2">
      <c r="A704" s="2">
        <v>182</v>
      </c>
      <c r="B704" s="2">
        <v>14</v>
      </c>
      <c r="C704" s="2" t="s">
        <v>334</v>
      </c>
      <c r="D704" s="2" t="s">
        <v>39</v>
      </c>
      <c r="E704" s="2">
        <v>20181010</v>
      </c>
      <c r="F704" s="2">
        <v>20181011</v>
      </c>
      <c r="G704" s="2">
        <v>31218.799999999999</v>
      </c>
      <c r="H704" s="2">
        <v>24975</v>
      </c>
      <c r="I704" s="2">
        <v>49</v>
      </c>
      <c r="J704" s="2" t="s">
        <v>335</v>
      </c>
      <c r="K704" s="2" t="s">
        <v>15</v>
      </c>
      <c r="L704" s="2" t="s">
        <v>2561</v>
      </c>
      <c r="M704" s="7" t="s">
        <v>2562</v>
      </c>
      <c r="N704" s="7" t="s">
        <v>2563</v>
      </c>
      <c r="O704" s="2"/>
      <c r="P704" s="2"/>
      <c r="Q704" s="2" t="str">
        <f>IF(SUMPRODUCT(--ISNUMBER(SEARCH('National Domains'!$A$2:$A$48,L704)))&gt;0,"Yes","No")</f>
        <v>No</v>
      </c>
      <c r="R704" s="2" t="str">
        <f>IF(COUNTIFS(Calibration!$A:$A,A704,Calibration!$B:$B,B704)&gt;0,"Yes","No")</f>
        <v>No</v>
      </c>
      <c r="S704" s="6"/>
    </row>
    <row r="705" spans="1:19" ht="34.5" customHeight="1" x14ac:dyDescent="0.2">
      <c r="A705" s="2">
        <v>182</v>
      </c>
      <c r="B705" s="2">
        <v>15</v>
      </c>
      <c r="C705" s="2" t="s">
        <v>334</v>
      </c>
      <c r="D705" s="2" t="s">
        <v>39</v>
      </c>
      <c r="E705" s="2">
        <v>20181010</v>
      </c>
      <c r="F705" s="2">
        <v>20181011</v>
      </c>
      <c r="G705" s="2">
        <v>31218.799999999999</v>
      </c>
      <c r="H705" s="2">
        <v>24975</v>
      </c>
      <c r="I705" s="2">
        <v>49</v>
      </c>
      <c r="J705" s="2" t="s">
        <v>335</v>
      </c>
      <c r="K705" s="2" t="s">
        <v>15</v>
      </c>
      <c r="L705" s="2" t="s">
        <v>2564</v>
      </c>
      <c r="M705" s="7" t="s">
        <v>2565</v>
      </c>
      <c r="N705" s="7" t="s">
        <v>2566</v>
      </c>
      <c r="O705" s="2"/>
      <c r="P705" s="2"/>
      <c r="Q705" s="2" t="str">
        <f>IF(SUMPRODUCT(--ISNUMBER(SEARCH('National Domains'!$A$2:$A$48,L705)))&gt;0,"Yes","No")</f>
        <v>No</v>
      </c>
      <c r="R705" s="2" t="str">
        <f>IF(COUNTIFS(Calibration!$A:$A,A705,Calibration!$B:$B,B705)&gt;0,"Yes","No")</f>
        <v>No</v>
      </c>
      <c r="S705" s="6"/>
    </row>
    <row r="706" spans="1:19" ht="34.5" customHeight="1" x14ac:dyDescent="0.2">
      <c r="A706" s="2">
        <v>182</v>
      </c>
      <c r="B706" s="2">
        <v>16</v>
      </c>
      <c r="C706" s="2" t="s">
        <v>334</v>
      </c>
      <c r="D706" s="2" t="s">
        <v>39</v>
      </c>
      <c r="E706" s="2">
        <v>20181010</v>
      </c>
      <c r="F706" s="2">
        <v>20181011</v>
      </c>
      <c r="G706" s="2">
        <v>31218.799999999999</v>
      </c>
      <c r="H706" s="2">
        <v>24975</v>
      </c>
      <c r="I706" s="2">
        <v>49</v>
      </c>
      <c r="J706" s="2" t="s">
        <v>335</v>
      </c>
      <c r="K706" s="2" t="s">
        <v>15</v>
      </c>
      <c r="L706" s="2" t="s">
        <v>2567</v>
      </c>
      <c r="M706" s="7" t="s">
        <v>2568</v>
      </c>
      <c r="N706" s="7" t="s">
        <v>2569</v>
      </c>
      <c r="O706" s="2"/>
      <c r="P706" s="2"/>
      <c r="Q706" s="2" t="str">
        <f>IF(SUMPRODUCT(--ISNUMBER(SEARCH('National Domains'!$A$2:$A$48,L706)))&gt;0,"Yes","No")</f>
        <v>No</v>
      </c>
      <c r="R706" s="2" t="str">
        <f>IF(COUNTIFS(Calibration!$A:$A,A706,Calibration!$B:$B,B706)&gt;0,"Yes","No")</f>
        <v>No</v>
      </c>
      <c r="S706" s="6"/>
    </row>
    <row r="707" spans="1:19" ht="34.5" customHeight="1" x14ac:dyDescent="0.2">
      <c r="A707" s="2">
        <v>182</v>
      </c>
      <c r="B707" s="2">
        <v>17</v>
      </c>
      <c r="C707" s="2" t="s">
        <v>334</v>
      </c>
      <c r="D707" s="2" t="s">
        <v>39</v>
      </c>
      <c r="E707" s="2">
        <v>20181010</v>
      </c>
      <c r="F707" s="2">
        <v>20181011</v>
      </c>
      <c r="G707" s="2">
        <v>31218.799999999999</v>
      </c>
      <c r="H707" s="2">
        <v>24975</v>
      </c>
      <c r="I707" s="2">
        <v>49</v>
      </c>
      <c r="J707" s="2" t="s">
        <v>335</v>
      </c>
      <c r="K707" s="2" t="s">
        <v>15</v>
      </c>
      <c r="L707" s="2" t="s">
        <v>2570</v>
      </c>
      <c r="M707" s="7" t="s">
        <v>2571</v>
      </c>
      <c r="N707" s="7" t="s">
        <v>2572</v>
      </c>
      <c r="O707" s="2"/>
      <c r="P707" s="2"/>
      <c r="Q707" s="2" t="str">
        <f>IF(SUMPRODUCT(--ISNUMBER(SEARCH('National Domains'!$A$2:$A$48,L707)))&gt;0,"Yes","No")</f>
        <v>No</v>
      </c>
      <c r="R707" s="2" t="str">
        <f>IF(COUNTIFS(Calibration!$A:$A,A707,Calibration!$B:$B,B707)&gt;0,"Yes","No")</f>
        <v>No</v>
      </c>
      <c r="S707" s="6"/>
    </row>
    <row r="708" spans="1:19" ht="34.5" customHeight="1" x14ac:dyDescent="0.2">
      <c r="A708" s="2">
        <v>182</v>
      </c>
      <c r="B708" s="2">
        <v>18</v>
      </c>
      <c r="C708" s="2" t="s">
        <v>334</v>
      </c>
      <c r="D708" s="2" t="s">
        <v>39</v>
      </c>
      <c r="E708" s="2">
        <v>20181010</v>
      </c>
      <c r="F708" s="2">
        <v>20181011</v>
      </c>
      <c r="G708" s="2">
        <v>31218.799999999999</v>
      </c>
      <c r="H708" s="2">
        <v>24975</v>
      </c>
      <c r="I708" s="2">
        <v>49</v>
      </c>
      <c r="J708" s="2" t="s">
        <v>335</v>
      </c>
      <c r="K708" s="2" t="s">
        <v>15</v>
      </c>
      <c r="L708" s="2" t="s">
        <v>2573</v>
      </c>
      <c r="M708" s="7" t="s">
        <v>2574</v>
      </c>
      <c r="N708" s="7" t="s">
        <v>2575</v>
      </c>
      <c r="O708" s="2"/>
      <c r="P708" s="2"/>
      <c r="Q708" s="2" t="str">
        <f>IF(SUMPRODUCT(--ISNUMBER(SEARCH('National Domains'!$A$2:$A$48,L708)))&gt;0,"Yes","No")</f>
        <v>Yes</v>
      </c>
      <c r="R708" s="2" t="str">
        <f>IF(COUNTIFS(Calibration!$A:$A,A708,Calibration!$B:$B,B708)&gt;0,"Yes","No")</f>
        <v>No</v>
      </c>
      <c r="S708" s="6"/>
    </row>
    <row r="709" spans="1:19" ht="23.25" customHeight="1" x14ac:dyDescent="0.2">
      <c r="A709" s="2">
        <v>182</v>
      </c>
      <c r="B709" s="2">
        <v>19</v>
      </c>
      <c r="C709" s="2" t="s">
        <v>334</v>
      </c>
      <c r="D709" s="2" t="s">
        <v>39</v>
      </c>
      <c r="E709" s="2">
        <v>20181010</v>
      </c>
      <c r="F709" s="2">
        <v>20181011</v>
      </c>
      <c r="G709" s="2">
        <v>31218.799999999999</v>
      </c>
      <c r="H709" s="2">
        <v>24975</v>
      </c>
      <c r="I709" s="2">
        <v>49</v>
      </c>
      <c r="J709" s="2" t="s">
        <v>335</v>
      </c>
      <c r="K709" s="2" t="s">
        <v>15</v>
      </c>
      <c r="L709" s="2" t="s">
        <v>2576</v>
      </c>
      <c r="M709" s="7" t="s">
        <v>2577</v>
      </c>
      <c r="N709" s="7" t="s">
        <v>2578</v>
      </c>
      <c r="O709" s="2"/>
      <c r="P709" s="2"/>
      <c r="Q709" s="2" t="str">
        <f>IF(SUMPRODUCT(--ISNUMBER(SEARCH('National Domains'!$A$2:$A$48,L709)))&gt;0,"Yes","No")</f>
        <v>Yes</v>
      </c>
      <c r="R709" s="2" t="str">
        <f>IF(COUNTIFS(Calibration!$A:$A,A709,Calibration!$B:$B,B709)&gt;0,"Yes","No")</f>
        <v>No</v>
      </c>
      <c r="S709" s="6"/>
    </row>
    <row r="710" spans="1:19" ht="34.5" customHeight="1" x14ac:dyDescent="0.2">
      <c r="A710" s="2">
        <v>182</v>
      </c>
      <c r="B710" s="2">
        <v>20</v>
      </c>
      <c r="C710" s="2" t="s">
        <v>334</v>
      </c>
      <c r="D710" s="2" t="s">
        <v>39</v>
      </c>
      <c r="E710" s="2">
        <v>20181010</v>
      </c>
      <c r="F710" s="2">
        <v>20181011</v>
      </c>
      <c r="G710" s="2">
        <v>31218.799999999999</v>
      </c>
      <c r="H710" s="2">
        <v>24975</v>
      </c>
      <c r="I710" s="2">
        <v>49</v>
      </c>
      <c r="J710" s="2" t="s">
        <v>335</v>
      </c>
      <c r="K710" s="2" t="s">
        <v>15</v>
      </c>
      <c r="L710" s="2" t="s">
        <v>2579</v>
      </c>
      <c r="M710" s="7" t="s">
        <v>2580</v>
      </c>
      <c r="N710" s="7" t="s">
        <v>2581</v>
      </c>
      <c r="O710" s="2"/>
      <c r="P710" s="2"/>
      <c r="Q710" s="2" t="str">
        <f>IF(SUMPRODUCT(--ISNUMBER(SEARCH('National Domains'!$A$2:$A$48,L710)))&gt;0,"Yes","No")</f>
        <v>Yes</v>
      </c>
      <c r="R710" s="2" t="str">
        <f>IF(COUNTIFS(Calibration!$A:$A,A710,Calibration!$B:$B,B710)&gt;0,"Yes","No")</f>
        <v>No</v>
      </c>
      <c r="S710" s="6"/>
    </row>
    <row r="711" spans="1:19" ht="34.5" customHeight="1" x14ac:dyDescent="0.2">
      <c r="A711" s="2">
        <v>182</v>
      </c>
      <c r="B711" s="2">
        <v>21</v>
      </c>
      <c r="C711" s="2" t="s">
        <v>334</v>
      </c>
      <c r="D711" s="2" t="s">
        <v>39</v>
      </c>
      <c r="E711" s="2">
        <v>20181010</v>
      </c>
      <c r="F711" s="2">
        <v>20181011</v>
      </c>
      <c r="G711" s="2">
        <v>31218.799999999999</v>
      </c>
      <c r="H711" s="2">
        <v>24975</v>
      </c>
      <c r="I711" s="2">
        <v>49</v>
      </c>
      <c r="J711" s="2" t="s">
        <v>335</v>
      </c>
      <c r="K711" s="2" t="s">
        <v>15</v>
      </c>
      <c r="L711" s="2" t="s">
        <v>2582</v>
      </c>
      <c r="M711" s="7" t="s">
        <v>2583</v>
      </c>
      <c r="N711" s="7" t="s">
        <v>2584</v>
      </c>
      <c r="O711" s="2"/>
      <c r="P711" s="2"/>
      <c r="Q711" s="2" t="str">
        <f>IF(SUMPRODUCT(--ISNUMBER(SEARCH('National Domains'!$A$2:$A$48,L711)))&gt;0,"Yes","No")</f>
        <v>Yes</v>
      </c>
      <c r="R711" s="2" t="str">
        <f>IF(COUNTIFS(Calibration!$A:$A,A711,Calibration!$B:$B,B711)&gt;0,"Yes","No")</f>
        <v>No</v>
      </c>
      <c r="S711" s="6"/>
    </row>
    <row r="712" spans="1:19" ht="34.5" customHeight="1" x14ac:dyDescent="0.2">
      <c r="A712" s="2">
        <v>182</v>
      </c>
      <c r="B712" s="2">
        <v>22</v>
      </c>
      <c r="C712" s="2" t="s">
        <v>334</v>
      </c>
      <c r="D712" s="2" t="s">
        <v>39</v>
      </c>
      <c r="E712" s="2">
        <v>20181010</v>
      </c>
      <c r="F712" s="2">
        <v>20181011</v>
      </c>
      <c r="G712" s="2">
        <v>31218.799999999999</v>
      </c>
      <c r="H712" s="2">
        <v>24975</v>
      </c>
      <c r="I712" s="2">
        <v>49</v>
      </c>
      <c r="J712" s="2" t="s">
        <v>335</v>
      </c>
      <c r="K712" s="2" t="s">
        <v>15</v>
      </c>
      <c r="L712" s="2" t="s">
        <v>2585</v>
      </c>
      <c r="M712" s="7" t="s">
        <v>2586</v>
      </c>
      <c r="N712" s="7" t="s">
        <v>2587</v>
      </c>
      <c r="O712" s="2"/>
      <c r="P712" s="2"/>
      <c r="Q712" s="2" t="str">
        <f>IF(SUMPRODUCT(--ISNUMBER(SEARCH('National Domains'!$A$2:$A$48,L712)))&gt;0,"Yes","No")</f>
        <v>Yes</v>
      </c>
      <c r="R712" s="2" t="str">
        <f>IF(COUNTIFS(Calibration!$A:$A,A712,Calibration!$B:$B,B712)&gt;0,"Yes","No")</f>
        <v>No</v>
      </c>
      <c r="S712" s="6"/>
    </row>
    <row r="713" spans="1:19" ht="34.5" customHeight="1" x14ac:dyDescent="0.2">
      <c r="A713" s="2">
        <v>182</v>
      </c>
      <c r="B713" s="2">
        <v>23</v>
      </c>
      <c r="C713" s="2" t="s">
        <v>334</v>
      </c>
      <c r="D713" s="2" t="s">
        <v>39</v>
      </c>
      <c r="E713" s="2">
        <v>20181010</v>
      </c>
      <c r="F713" s="2">
        <v>20181011</v>
      </c>
      <c r="G713" s="2">
        <v>31218.799999999999</v>
      </c>
      <c r="H713" s="2">
        <v>24975</v>
      </c>
      <c r="I713" s="2">
        <v>49</v>
      </c>
      <c r="J713" s="2" t="s">
        <v>335</v>
      </c>
      <c r="K713" s="2" t="s">
        <v>15</v>
      </c>
      <c r="L713" s="2" t="s">
        <v>2588</v>
      </c>
      <c r="M713" s="7" t="s">
        <v>2589</v>
      </c>
      <c r="N713" s="7" t="s">
        <v>2590</v>
      </c>
      <c r="O713" s="2"/>
      <c r="P713" s="2"/>
      <c r="Q713" s="2" t="str">
        <f>IF(SUMPRODUCT(--ISNUMBER(SEARCH('National Domains'!$A$2:$A$48,L713)))&gt;0,"Yes","No")</f>
        <v>Yes</v>
      </c>
      <c r="R713" s="2" t="str">
        <f>IF(COUNTIFS(Calibration!$A:$A,A713,Calibration!$B:$B,B713)&gt;0,"Yes","No")</f>
        <v>No</v>
      </c>
      <c r="S713" s="6"/>
    </row>
    <row r="714" spans="1:19" ht="34.5" customHeight="1" x14ac:dyDescent="0.2">
      <c r="A714" s="2">
        <v>182</v>
      </c>
      <c r="B714" s="2">
        <v>24</v>
      </c>
      <c r="C714" s="2" t="s">
        <v>334</v>
      </c>
      <c r="D714" s="2" t="s">
        <v>39</v>
      </c>
      <c r="E714" s="2">
        <v>20181010</v>
      </c>
      <c r="F714" s="2">
        <v>20181011</v>
      </c>
      <c r="G714" s="2">
        <v>31218.799999999999</v>
      </c>
      <c r="H714" s="2">
        <v>24975</v>
      </c>
      <c r="I714" s="2">
        <v>49</v>
      </c>
      <c r="J714" s="2" t="s">
        <v>335</v>
      </c>
      <c r="K714" s="2" t="s">
        <v>15</v>
      </c>
      <c r="L714" s="2" t="s">
        <v>2591</v>
      </c>
      <c r="M714" s="7" t="s">
        <v>2592</v>
      </c>
      <c r="N714" s="7" t="s">
        <v>2593</v>
      </c>
      <c r="O714" s="2"/>
      <c r="P714" s="2"/>
      <c r="Q714" s="2" t="str">
        <f>IF(SUMPRODUCT(--ISNUMBER(SEARCH('National Domains'!$A$2:$A$48,L714)))&gt;0,"Yes","No")</f>
        <v>No</v>
      </c>
      <c r="R714" s="2" t="str">
        <f>IF(COUNTIFS(Calibration!$A:$A,A714,Calibration!$B:$B,B714)&gt;0,"Yes","No")</f>
        <v>No</v>
      </c>
      <c r="S714" s="6"/>
    </row>
    <row r="715" spans="1:19" ht="34.5" customHeight="1" x14ac:dyDescent="0.2">
      <c r="A715" s="2">
        <v>182</v>
      </c>
      <c r="B715" s="2">
        <v>25</v>
      </c>
      <c r="C715" s="2" t="s">
        <v>334</v>
      </c>
      <c r="D715" s="2" t="s">
        <v>39</v>
      </c>
      <c r="E715" s="2">
        <v>20181010</v>
      </c>
      <c r="F715" s="2">
        <v>20181011</v>
      </c>
      <c r="G715" s="2">
        <v>31218.799999999999</v>
      </c>
      <c r="H715" s="2">
        <v>24975</v>
      </c>
      <c r="I715" s="2">
        <v>49</v>
      </c>
      <c r="J715" s="2" t="s">
        <v>335</v>
      </c>
      <c r="K715" s="2" t="s">
        <v>15</v>
      </c>
      <c r="L715" s="2" t="s">
        <v>2594</v>
      </c>
      <c r="M715" s="7" t="s">
        <v>2595</v>
      </c>
      <c r="N715" s="7" t="s">
        <v>2596</v>
      </c>
      <c r="O715" s="2"/>
      <c r="P715" s="2"/>
      <c r="Q715" s="2" t="str">
        <f>IF(SUMPRODUCT(--ISNUMBER(SEARCH('National Domains'!$A$2:$A$48,L715)))&gt;0,"Yes","No")</f>
        <v>No</v>
      </c>
      <c r="R715" s="2" t="str">
        <f>IF(COUNTIFS(Calibration!$A:$A,A715,Calibration!$B:$B,B715)&gt;0,"Yes","No")</f>
        <v>No</v>
      </c>
      <c r="S715" s="6"/>
    </row>
    <row r="716" spans="1:19" ht="34.5" customHeight="1" x14ac:dyDescent="0.2">
      <c r="A716" s="2">
        <v>182</v>
      </c>
      <c r="B716" s="2">
        <v>26</v>
      </c>
      <c r="C716" s="2" t="s">
        <v>334</v>
      </c>
      <c r="D716" s="2" t="s">
        <v>39</v>
      </c>
      <c r="E716" s="2">
        <v>20181010</v>
      </c>
      <c r="F716" s="2">
        <v>20181011</v>
      </c>
      <c r="G716" s="2">
        <v>31218.799999999999</v>
      </c>
      <c r="H716" s="2">
        <v>24975</v>
      </c>
      <c r="I716" s="2">
        <v>49</v>
      </c>
      <c r="J716" s="2" t="s">
        <v>335</v>
      </c>
      <c r="K716" s="2" t="s">
        <v>15</v>
      </c>
      <c r="L716" s="2" t="s">
        <v>2597</v>
      </c>
      <c r="M716" s="7" t="s">
        <v>2598</v>
      </c>
      <c r="N716" s="7" t="s">
        <v>2599</v>
      </c>
      <c r="O716" s="2"/>
      <c r="P716" s="2"/>
      <c r="Q716" s="2" t="str">
        <f>IF(SUMPRODUCT(--ISNUMBER(SEARCH('National Domains'!$A$2:$A$48,L716)))&gt;0,"Yes","No")</f>
        <v>No</v>
      </c>
      <c r="R716" s="2" t="str">
        <f>IF(COUNTIFS(Calibration!$A:$A,A716,Calibration!$B:$B,B716)&gt;0,"Yes","No")</f>
        <v>No</v>
      </c>
      <c r="S716" s="6"/>
    </row>
    <row r="717" spans="1:19" ht="34.5" customHeight="1" x14ac:dyDescent="0.2">
      <c r="A717" s="2">
        <v>182</v>
      </c>
      <c r="B717" s="2">
        <v>27</v>
      </c>
      <c r="C717" s="2" t="s">
        <v>334</v>
      </c>
      <c r="D717" s="2" t="s">
        <v>39</v>
      </c>
      <c r="E717" s="2">
        <v>20181010</v>
      </c>
      <c r="F717" s="2">
        <v>20181011</v>
      </c>
      <c r="G717" s="2">
        <v>31218.799999999999</v>
      </c>
      <c r="H717" s="2">
        <v>24975</v>
      </c>
      <c r="I717" s="2">
        <v>49</v>
      </c>
      <c r="J717" s="2" t="s">
        <v>335</v>
      </c>
      <c r="K717" s="2" t="s">
        <v>15</v>
      </c>
      <c r="L717" s="2" t="s">
        <v>2600</v>
      </c>
      <c r="M717" s="7" t="s">
        <v>2601</v>
      </c>
      <c r="N717" s="7" t="s">
        <v>2602</v>
      </c>
      <c r="O717" s="2"/>
      <c r="P717" s="2"/>
      <c r="Q717" s="2" t="str">
        <f>IF(SUMPRODUCT(--ISNUMBER(SEARCH('National Domains'!$A$2:$A$48,L717)))&gt;0,"Yes","No")</f>
        <v>No</v>
      </c>
      <c r="R717" s="2" t="str">
        <f>IF(COUNTIFS(Calibration!$A:$A,A717,Calibration!$B:$B,B717)&gt;0,"Yes","No")</f>
        <v>No</v>
      </c>
      <c r="S717" s="6"/>
    </row>
    <row r="718" spans="1:19" ht="34.5" customHeight="1" x14ac:dyDescent="0.2">
      <c r="A718" s="2">
        <v>182</v>
      </c>
      <c r="B718" s="2">
        <v>28</v>
      </c>
      <c r="C718" s="2" t="s">
        <v>334</v>
      </c>
      <c r="D718" s="2" t="s">
        <v>39</v>
      </c>
      <c r="E718" s="2">
        <v>20181010</v>
      </c>
      <c r="F718" s="2">
        <v>20181011</v>
      </c>
      <c r="G718" s="2">
        <v>31218.799999999999</v>
      </c>
      <c r="H718" s="2">
        <v>24975</v>
      </c>
      <c r="I718" s="2">
        <v>49</v>
      </c>
      <c r="J718" s="2" t="s">
        <v>335</v>
      </c>
      <c r="K718" s="2" t="s">
        <v>15</v>
      </c>
      <c r="L718" s="2" t="s">
        <v>2603</v>
      </c>
      <c r="M718" s="7" t="s">
        <v>2604</v>
      </c>
      <c r="N718" s="7" t="s">
        <v>2605</v>
      </c>
      <c r="O718" s="2"/>
      <c r="P718" s="2"/>
      <c r="Q718" s="2" t="str">
        <f>IF(SUMPRODUCT(--ISNUMBER(SEARCH('National Domains'!$A$2:$A$48,L718)))&gt;0,"Yes","No")</f>
        <v>No</v>
      </c>
      <c r="R718" s="2" t="str">
        <f>IF(COUNTIFS(Calibration!$A:$A,A718,Calibration!$B:$B,B718)&gt;0,"Yes","No")</f>
        <v>No</v>
      </c>
      <c r="S718" s="6"/>
    </row>
    <row r="719" spans="1:19" ht="34.5" customHeight="1" x14ac:dyDescent="0.2">
      <c r="A719" s="2">
        <v>182</v>
      </c>
      <c r="B719" s="2">
        <v>29</v>
      </c>
      <c r="C719" s="2" t="s">
        <v>334</v>
      </c>
      <c r="D719" s="2" t="s">
        <v>39</v>
      </c>
      <c r="E719" s="2">
        <v>20181010</v>
      </c>
      <c r="F719" s="2">
        <v>20181011</v>
      </c>
      <c r="G719" s="2">
        <v>31218.799999999999</v>
      </c>
      <c r="H719" s="2">
        <v>24975</v>
      </c>
      <c r="I719" s="2">
        <v>49</v>
      </c>
      <c r="J719" s="2" t="s">
        <v>335</v>
      </c>
      <c r="K719" s="2" t="s">
        <v>15</v>
      </c>
      <c r="L719" s="2" t="s">
        <v>2606</v>
      </c>
      <c r="M719" s="7" t="s">
        <v>2607</v>
      </c>
      <c r="N719" s="7" t="s">
        <v>2608</v>
      </c>
      <c r="O719" s="2"/>
      <c r="P719" s="2"/>
      <c r="Q719" s="2" t="str">
        <f>IF(SUMPRODUCT(--ISNUMBER(SEARCH('National Domains'!$A$2:$A$48,L719)))&gt;0,"Yes","No")</f>
        <v>Yes</v>
      </c>
      <c r="R719" s="2" t="str">
        <f>IF(COUNTIFS(Calibration!$A:$A,A719,Calibration!$B:$B,B719)&gt;0,"Yes","No")</f>
        <v>No</v>
      </c>
      <c r="S719" s="6"/>
    </row>
    <row r="720" spans="1:19" ht="34.5" customHeight="1" x14ac:dyDescent="0.2">
      <c r="A720" s="2">
        <v>182</v>
      </c>
      <c r="B720" s="2">
        <v>30</v>
      </c>
      <c r="C720" s="2" t="s">
        <v>334</v>
      </c>
      <c r="D720" s="2" t="s">
        <v>39</v>
      </c>
      <c r="E720" s="2">
        <v>20181010</v>
      </c>
      <c r="F720" s="2">
        <v>20181011</v>
      </c>
      <c r="G720" s="2">
        <v>31218.799999999999</v>
      </c>
      <c r="H720" s="2">
        <v>24975</v>
      </c>
      <c r="I720" s="2">
        <v>49</v>
      </c>
      <c r="J720" s="2" t="s">
        <v>335</v>
      </c>
      <c r="K720" s="2" t="s">
        <v>15</v>
      </c>
      <c r="L720" s="2" t="s">
        <v>2609</v>
      </c>
      <c r="M720" s="7" t="s">
        <v>2610</v>
      </c>
      <c r="N720" s="7" t="s">
        <v>2611</v>
      </c>
      <c r="O720" s="2"/>
      <c r="P720" s="2"/>
      <c r="Q720" s="2" t="str">
        <f>IF(SUMPRODUCT(--ISNUMBER(SEARCH('National Domains'!$A$2:$A$48,L720)))&gt;0,"Yes","No")</f>
        <v>Yes</v>
      </c>
      <c r="R720" s="2" t="str">
        <f>IF(COUNTIFS(Calibration!$A:$A,A720,Calibration!$B:$B,B720)&gt;0,"Yes","No")</f>
        <v>No</v>
      </c>
      <c r="S720" s="6"/>
    </row>
    <row r="721" spans="1:19" ht="34.5" customHeight="1" x14ac:dyDescent="0.2">
      <c r="A721" s="2">
        <v>183</v>
      </c>
      <c r="B721" s="2">
        <v>1</v>
      </c>
      <c r="C721" s="2" t="s">
        <v>336</v>
      </c>
      <c r="D721" s="2" t="s">
        <v>29</v>
      </c>
      <c r="E721" s="2">
        <v>20180601</v>
      </c>
      <c r="F721" s="2">
        <v>20181230</v>
      </c>
      <c r="G721" s="2">
        <v>3797.4</v>
      </c>
      <c r="H721" s="2">
        <v>2990</v>
      </c>
      <c r="I721" s="2">
        <v>0</v>
      </c>
      <c r="J721" s="2" t="s">
        <v>185</v>
      </c>
      <c r="K721" s="2" t="s">
        <v>186</v>
      </c>
      <c r="L721" s="2" t="s">
        <v>2612</v>
      </c>
      <c r="M721" s="7" t="s">
        <v>2613</v>
      </c>
      <c r="N721" s="7" t="s">
        <v>2614</v>
      </c>
      <c r="O721" s="2"/>
      <c r="P721" s="2"/>
      <c r="Q721" s="2" t="str">
        <f>IF(SUMPRODUCT(--ISNUMBER(SEARCH('National Domains'!$A$2:$A$48,L721)))&gt;0,"Yes","No")</f>
        <v>Yes</v>
      </c>
      <c r="R721" s="2" t="str">
        <f>IF(COUNTIFS(Calibration!$A:$A,A721,Calibration!$B:$B,B721)&gt;0,"Yes","No")</f>
        <v>No</v>
      </c>
      <c r="S721" s="6"/>
    </row>
    <row r="722" spans="1:19" ht="34.5" customHeight="1" x14ac:dyDescent="0.2">
      <c r="A722" s="2">
        <v>184</v>
      </c>
      <c r="B722" s="2">
        <v>1</v>
      </c>
      <c r="C722" s="2" t="s">
        <v>337</v>
      </c>
      <c r="D722" s="2" t="s">
        <v>21</v>
      </c>
      <c r="E722" s="2">
        <v>20180601</v>
      </c>
      <c r="F722" s="2">
        <v>20181231</v>
      </c>
      <c r="G722" s="2">
        <v>30000</v>
      </c>
      <c r="H722" s="2">
        <v>24000</v>
      </c>
      <c r="I722" s="2">
        <v>106</v>
      </c>
      <c r="J722" s="2" t="s">
        <v>22</v>
      </c>
      <c r="K722" s="2" t="s">
        <v>23</v>
      </c>
      <c r="L722" s="2" t="s">
        <v>2615</v>
      </c>
      <c r="M722" s="7" t="s">
        <v>2616</v>
      </c>
      <c r="N722" s="7" t="s">
        <v>2617</v>
      </c>
      <c r="O722" s="2"/>
      <c r="P722" s="2"/>
      <c r="Q722" s="2" t="str">
        <f>IF(SUMPRODUCT(--ISNUMBER(SEARCH('National Domains'!$A$2:$A$48,L722)))&gt;0,"Yes","No")</f>
        <v>No</v>
      </c>
      <c r="R722" s="2" t="str">
        <f>IF(COUNTIFS(Calibration!$A:$A,A722,Calibration!$B:$B,B722)&gt;0,"Yes","No")</f>
        <v>No</v>
      </c>
      <c r="S722" s="6"/>
    </row>
    <row r="723" spans="1:19" ht="34.5" customHeight="1" x14ac:dyDescent="0.2">
      <c r="A723" s="2">
        <v>184</v>
      </c>
      <c r="B723" s="2">
        <v>2</v>
      </c>
      <c r="C723" s="2" t="s">
        <v>337</v>
      </c>
      <c r="D723" s="2" t="s">
        <v>21</v>
      </c>
      <c r="E723" s="2">
        <v>20180601</v>
      </c>
      <c r="F723" s="2">
        <v>20181231</v>
      </c>
      <c r="G723" s="2">
        <v>30000</v>
      </c>
      <c r="H723" s="2">
        <v>24000</v>
      </c>
      <c r="I723" s="2">
        <v>106</v>
      </c>
      <c r="J723" s="2" t="s">
        <v>22</v>
      </c>
      <c r="K723" s="2" t="s">
        <v>23</v>
      </c>
      <c r="L723" s="2" t="s">
        <v>2618</v>
      </c>
      <c r="M723" s="7" t="s">
        <v>2619</v>
      </c>
      <c r="N723" s="7" t="s">
        <v>2620</v>
      </c>
      <c r="O723" s="2"/>
      <c r="P723" s="2"/>
      <c r="Q723" s="2" t="str">
        <f>IF(SUMPRODUCT(--ISNUMBER(SEARCH('National Domains'!$A$2:$A$48,L723)))&gt;0,"Yes","No")</f>
        <v>No</v>
      </c>
      <c r="R723" s="2" t="str">
        <f>IF(COUNTIFS(Calibration!$A:$A,A723,Calibration!$B:$B,B723)&gt;0,"Yes","No")</f>
        <v>No</v>
      </c>
      <c r="S723" s="6"/>
    </row>
    <row r="724" spans="1:19" ht="34.5" customHeight="1" x14ac:dyDescent="0.2">
      <c r="A724" s="2">
        <v>184</v>
      </c>
      <c r="B724" s="2">
        <v>3</v>
      </c>
      <c r="C724" s="2" t="s">
        <v>337</v>
      </c>
      <c r="D724" s="2" t="s">
        <v>21</v>
      </c>
      <c r="E724" s="2">
        <v>20180601</v>
      </c>
      <c r="F724" s="2">
        <v>20181231</v>
      </c>
      <c r="G724" s="2">
        <v>30000</v>
      </c>
      <c r="H724" s="2">
        <v>24000</v>
      </c>
      <c r="I724" s="2">
        <v>106</v>
      </c>
      <c r="J724" s="2" t="s">
        <v>22</v>
      </c>
      <c r="K724" s="2" t="s">
        <v>23</v>
      </c>
      <c r="L724" s="2" t="s">
        <v>2621</v>
      </c>
      <c r="M724" s="7" t="s">
        <v>2622</v>
      </c>
      <c r="N724" s="7" t="s">
        <v>2623</v>
      </c>
      <c r="O724" s="2"/>
      <c r="P724" s="2"/>
      <c r="Q724" s="2" t="str">
        <f>IF(SUMPRODUCT(--ISNUMBER(SEARCH('National Domains'!$A$2:$A$48,L724)))&gt;0,"Yes","No")</f>
        <v>No</v>
      </c>
      <c r="R724" s="2" t="str">
        <f>IF(COUNTIFS(Calibration!$A:$A,A724,Calibration!$B:$B,B724)&gt;0,"Yes","No")</f>
        <v>No</v>
      </c>
      <c r="S724" s="6"/>
    </row>
    <row r="725" spans="1:19" ht="34.5" customHeight="1" x14ac:dyDescent="0.2">
      <c r="A725" s="2">
        <v>184</v>
      </c>
      <c r="B725" s="2">
        <v>4</v>
      </c>
      <c r="C725" s="2" t="s">
        <v>337</v>
      </c>
      <c r="D725" s="2" t="s">
        <v>21</v>
      </c>
      <c r="E725" s="2">
        <v>20180601</v>
      </c>
      <c r="F725" s="2">
        <v>20181231</v>
      </c>
      <c r="G725" s="2">
        <v>30000</v>
      </c>
      <c r="H725" s="2">
        <v>24000</v>
      </c>
      <c r="I725" s="2">
        <v>106</v>
      </c>
      <c r="J725" s="2" t="s">
        <v>22</v>
      </c>
      <c r="K725" s="2" t="s">
        <v>23</v>
      </c>
      <c r="L725" s="2" t="s">
        <v>2624</v>
      </c>
      <c r="M725" s="7" t="s">
        <v>2625</v>
      </c>
      <c r="N725" s="7" t="s">
        <v>2626</v>
      </c>
      <c r="O725" s="2"/>
      <c r="P725" s="2"/>
      <c r="Q725" s="2" t="str">
        <f>IF(SUMPRODUCT(--ISNUMBER(SEARCH('National Domains'!$A$2:$A$48,L725)))&gt;0,"Yes","No")</f>
        <v>No</v>
      </c>
      <c r="R725" s="2" t="str">
        <f>IF(COUNTIFS(Calibration!$A:$A,A725,Calibration!$B:$B,B725)&gt;0,"Yes","No")</f>
        <v>No</v>
      </c>
      <c r="S725" s="6"/>
    </row>
    <row r="726" spans="1:19" ht="34.5" customHeight="1" x14ac:dyDescent="0.2">
      <c r="A726" s="2">
        <v>184</v>
      </c>
      <c r="B726" s="2">
        <v>5</v>
      </c>
      <c r="C726" s="2" t="s">
        <v>337</v>
      </c>
      <c r="D726" s="2" t="s">
        <v>21</v>
      </c>
      <c r="E726" s="2">
        <v>20180601</v>
      </c>
      <c r="F726" s="2">
        <v>20181231</v>
      </c>
      <c r="G726" s="2">
        <v>30000</v>
      </c>
      <c r="H726" s="2">
        <v>24000</v>
      </c>
      <c r="I726" s="2">
        <v>106</v>
      </c>
      <c r="J726" s="2" t="s">
        <v>22</v>
      </c>
      <c r="K726" s="2" t="s">
        <v>23</v>
      </c>
      <c r="L726" s="2" t="s">
        <v>2627</v>
      </c>
      <c r="M726" s="7" t="s">
        <v>2628</v>
      </c>
      <c r="N726" s="7" t="s">
        <v>2629</v>
      </c>
      <c r="O726" s="2"/>
      <c r="P726" s="2"/>
      <c r="Q726" s="2" t="str">
        <f>IF(SUMPRODUCT(--ISNUMBER(SEARCH('National Domains'!$A$2:$A$48,L726)))&gt;0,"Yes","No")</f>
        <v>No</v>
      </c>
      <c r="R726" s="2" t="str">
        <f>IF(COUNTIFS(Calibration!$A:$A,A726,Calibration!$B:$B,B726)&gt;0,"Yes","No")</f>
        <v>No</v>
      </c>
      <c r="S726" s="6"/>
    </row>
    <row r="727" spans="1:19" ht="34.5" customHeight="1" x14ac:dyDescent="0.2">
      <c r="A727" s="2">
        <v>184</v>
      </c>
      <c r="B727" s="2">
        <v>6</v>
      </c>
      <c r="C727" s="2" t="s">
        <v>337</v>
      </c>
      <c r="D727" s="2" t="s">
        <v>21</v>
      </c>
      <c r="E727" s="2">
        <v>20180601</v>
      </c>
      <c r="F727" s="2">
        <v>20181231</v>
      </c>
      <c r="G727" s="2">
        <v>30000</v>
      </c>
      <c r="H727" s="2">
        <v>24000</v>
      </c>
      <c r="I727" s="2">
        <v>106</v>
      </c>
      <c r="J727" s="2" t="s">
        <v>22</v>
      </c>
      <c r="K727" s="2" t="s">
        <v>23</v>
      </c>
      <c r="L727" s="2" t="s">
        <v>2630</v>
      </c>
      <c r="M727" s="7" t="s">
        <v>2631</v>
      </c>
      <c r="N727" s="7" t="s">
        <v>2632</v>
      </c>
      <c r="O727" s="2"/>
      <c r="P727" s="2"/>
      <c r="Q727" s="2" t="str">
        <f>IF(SUMPRODUCT(--ISNUMBER(SEARCH('National Domains'!$A$2:$A$48,L727)))&gt;0,"Yes","No")</f>
        <v>Yes</v>
      </c>
      <c r="R727" s="2" t="str">
        <f>IF(COUNTIFS(Calibration!$A:$A,A727,Calibration!$B:$B,B727)&gt;0,"Yes","No")</f>
        <v>No</v>
      </c>
      <c r="S727" s="6"/>
    </row>
    <row r="728" spans="1:19" ht="34.5" customHeight="1" x14ac:dyDescent="0.2">
      <c r="A728" s="2">
        <v>184</v>
      </c>
      <c r="B728" s="2">
        <v>7</v>
      </c>
      <c r="C728" s="2" t="s">
        <v>337</v>
      </c>
      <c r="D728" s="2" t="s">
        <v>21</v>
      </c>
      <c r="E728" s="2">
        <v>20180601</v>
      </c>
      <c r="F728" s="2">
        <v>20181231</v>
      </c>
      <c r="G728" s="2">
        <v>30000</v>
      </c>
      <c r="H728" s="2">
        <v>24000</v>
      </c>
      <c r="I728" s="2">
        <v>106</v>
      </c>
      <c r="J728" s="2" t="s">
        <v>22</v>
      </c>
      <c r="K728" s="2" t="s">
        <v>23</v>
      </c>
      <c r="L728" s="2" t="s">
        <v>2633</v>
      </c>
      <c r="M728" s="7" t="s">
        <v>2634</v>
      </c>
      <c r="N728" s="7" t="s">
        <v>2635</v>
      </c>
      <c r="O728" s="2"/>
      <c r="P728" s="2"/>
      <c r="Q728" s="2" t="str">
        <f>IF(SUMPRODUCT(--ISNUMBER(SEARCH('National Domains'!$A$2:$A$48,L728)))&gt;0,"Yes","No")</f>
        <v>Yes</v>
      </c>
      <c r="R728" s="2" t="str">
        <f>IF(COUNTIFS(Calibration!$A:$A,A728,Calibration!$B:$B,B728)&gt;0,"Yes","No")</f>
        <v>No</v>
      </c>
      <c r="S728" s="6"/>
    </row>
    <row r="729" spans="1:19" ht="34.5" customHeight="1" x14ac:dyDescent="0.2">
      <c r="A729" s="2">
        <v>184</v>
      </c>
      <c r="B729" s="2">
        <v>8</v>
      </c>
      <c r="C729" s="2" t="s">
        <v>337</v>
      </c>
      <c r="D729" s="2" t="s">
        <v>21</v>
      </c>
      <c r="E729" s="2">
        <v>20180601</v>
      </c>
      <c r="F729" s="2">
        <v>20181231</v>
      </c>
      <c r="G729" s="2">
        <v>30000</v>
      </c>
      <c r="H729" s="2">
        <v>24000</v>
      </c>
      <c r="I729" s="2">
        <v>106</v>
      </c>
      <c r="J729" s="2" t="s">
        <v>22</v>
      </c>
      <c r="K729" s="2" t="s">
        <v>23</v>
      </c>
      <c r="L729" s="2" t="s">
        <v>2636</v>
      </c>
      <c r="M729" s="7" t="s">
        <v>2637</v>
      </c>
      <c r="N729" s="7" t="s">
        <v>2638</v>
      </c>
      <c r="O729" s="2"/>
      <c r="P729" s="2"/>
      <c r="Q729" s="2" t="str">
        <f>IF(SUMPRODUCT(--ISNUMBER(SEARCH('National Domains'!$A$2:$A$48,L729)))&gt;0,"Yes","No")</f>
        <v>Yes</v>
      </c>
      <c r="R729" s="2" t="str">
        <f>IF(COUNTIFS(Calibration!$A:$A,A729,Calibration!$B:$B,B729)&gt;0,"Yes","No")</f>
        <v>No</v>
      </c>
      <c r="S729" s="6"/>
    </row>
    <row r="730" spans="1:19" ht="34.5" customHeight="1" x14ac:dyDescent="0.2">
      <c r="A730" s="2">
        <v>184</v>
      </c>
      <c r="B730" s="2">
        <v>9</v>
      </c>
      <c r="C730" s="2" t="s">
        <v>337</v>
      </c>
      <c r="D730" s="2" t="s">
        <v>21</v>
      </c>
      <c r="E730" s="2">
        <v>20180601</v>
      </c>
      <c r="F730" s="2">
        <v>20181231</v>
      </c>
      <c r="G730" s="2">
        <v>30000</v>
      </c>
      <c r="H730" s="2">
        <v>24000</v>
      </c>
      <c r="I730" s="2">
        <v>106</v>
      </c>
      <c r="J730" s="2" t="s">
        <v>22</v>
      </c>
      <c r="K730" s="2" t="s">
        <v>23</v>
      </c>
      <c r="L730" s="2" t="s">
        <v>2639</v>
      </c>
      <c r="M730" s="7" t="s">
        <v>2640</v>
      </c>
      <c r="N730" s="7" t="s">
        <v>2641</v>
      </c>
      <c r="O730" s="2"/>
      <c r="P730" s="2"/>
      <c r="Q730" s="2" t="str">
        <f>IF(SUMPRODUCT(--ISNUMBER(SEARCH('National Domains'!$A$2:$A$48,L730)))&gt;0,"Yes","No")</f>
        <v>Yes</v>
      </c>
      <c r="R730" s="2" t="str">
        <f>IF(COUNTIFS(Calibration!$A:$A,A730,Calibration!$B:$B,B730)&gt;0,"Yes","No")</f>
        <v>No</v>
      </c>
      <c r="S730" s="6"/>
    </row>
    <row r="731" spans="1:19" ht="34.5" customHeight="1" x14ac:dyDescent="0.2">
      <c r="A731" s="2">
        <v>184</v>
      </c>
      <c r="B731" s="2">
        <v>10</v>
      </c>
      <c r="C731" s="2" t="s">
        <v>337</v>
      </c>
      <c r="D731" s="2" t="s">
        <v>21</v>
      </c>
      <c r="E731" s="2">
        <v>20180601</v>
      </c>
      <c r="F731" s="2">
        <v>20181231</v>
      </c>
      <c r="G731" s="2">
        <v>30000</v>
      </c>
      <c r="H731" s="2">
        <v>24000</v>
      </c>
      <c r="I731" s="2">
        <v>106</v>
      </c>
      <c r="J731" s="2" t="s">
        <v>22</v>
      </c>
      <c r="K731" s="2" t="s">
        <v>23</v>
      </c>
      <c r="L731" s="2" t="s">
        <v>2642</v>
      </c>
      <c r="M731" s="7" t="s">
        <v>2643</v>
      </c>
      <c r="N731" s="7" t="s">
        <v>2644</v>
      </c>
      <c r="O731" s="2"/>
      <c r="P731" s="2"/>
      <c r="Q731" s="2" t="str">
        <f>IF(SUMPRODUCT(--ISNUMBER(SEARCH('National Domains'!$A$2:$A$48,L731)))&gt;0,"Yes","No")</f>
        <v>No</v>
      </c>
      <c r="R731" s="2" t="str">
        <f>IF(COUNTIFS(Calibration!$A:$A,A731,Calibration!$B:$B,B731)&gt;0,"Yes","No")</f>
        <v>No</v>
      </c>
      <c r="S731" s="6"/>
    </row>
    <row r="732" spans="1:19" ht="34.5" customHeight="1" x14ac:dyDescent="0.2">
      <c r="A732" s="2">
        <v>184</v>
      </c>
      <c r="B732" s="2">
        <v>11</v>
      </c>
      <c r="C732" s="2" t="s">
        <v>337</v>
      </c>
      <c r="D732" s="2" t="s">
        <v>21</v>
      </c>
      <c r="E732" s="2">
        <v>20180601</v>
      </c>
      <c r="F732" s="2">
        <v>20181231</v>
      </c>
      <c r="G732" s="2">
        <v>30000</v>
      </c>
      <c r="H732" s="2">
        <v>24000</v>
      </c>
      <c r="I732" s="2">
        <v>106</v>
      </c>
      <c r="J732" s="2" t="s">
        <v>22</v>
      </c>
      <c r="K732" s="2" t="s">
        <v>23</v>
      </c>
      <c r="L732" s="2" t="s">
        <v>2645</v>
      </c>
      <c r="M732" s="7" t="s">
        <v>2646</v>
      </c>
      <c r="N732" s="7" t="s">
        <v>2647</v>
      </c>
      <c r="O732" s="2"/>
      <c r="P732" s="2"/>
      <c r="Q732" s="2" t="str">
        <f>IF(SUMPRODUCT(--ISNUMBER(SEARCH('National Domains'!$A$2:$A$48,L732)))&gt;0,"Yes","No")</f>
        <v>No</v>
      </c>
      <c r="R732" s="2" t="str">
        <f>IF(COUNTIFS(Calibration!$A:$A,A732,Calibration!$B:$B,B732)&gt;0,"Yes","No")</f>
        <v>No</v>
      </c>
      <c r="S732" s="6"/>
    </row>
    <row r="733" spans="1:19" ht="34.5" customHeight="1" x14ac:dyDescent="0.2">
      <c r="A733" s="2">
        <v>184</v>
      </c>
      <c r="B733" s="2">
        <v>12</v>
      </c>
      <c r="C733" s="2" t="s">
        <v>337</v>
      </c>
      <c r="D733" s="2" t="s">
        <v>21</v>
      </c>
      <c r="E733" s="2">
        <v>20180601</v>
      </c>
      <c r="F733" s="2">
        <v>20181231</v>
      </c>
      <c r="G733" s="2">
        <v>30000</v>
      </c>
      <c r="H733" s="2">
        <v>24000</v>
      </c>
      <c r="I733" s="2">
        <v>106</v>
      </c>
      <c r="J733" s="2" t="s">
        <v>22</v>
      </c>
      <c r="K733" s="2" t="s">
        <v>23</v>
      </c>
      <c r="L733" s="2" t="s">
        <v>2648</v>
      </c>
      <c r="M733" s="7" t="s">
        <v>2649</v>
      </c>
      <c r="N733" s="7" t="s">
        <v>2650</v>
      </c>
      <c r="O733" s="2"/>
      <c r="P733" s="2"/>
      <c r="Q733" s="2" t="str">
        <f>IF(SUMPRODUCT(--ISNUMBER(SEARCH('National Domains'!$A$2:$A$48,L733)))&gt;0,"Yes","No")</f>
        <v>Yes</v>
      </c>
      <c r="R733" s="2" t="str">
        <f>IF(COUNTIFS(Calibration!$A:$A,A733,Calibration!$B:$B,B733)&gt;0,"Yes","No")</f>
        <v>No</v>
      </c>
      <c r="S733" s="6"/>
    </row>
    <row r="734" spans="1:19" ht="34.5" customHeight="1" x14ac:dyDescent="0.2">
      <c r="A734" s="2">
        <v>184</v>
      </c>
      <c r="B734" s="2">
        <v>13</v>
      </c>
      <c r="C734" s="2" t="s">
        <v>337</v>
      </c>
      <c r="D734" s="2" t="s">
        <v>21</v>
      </c>
      <c r="E734" s="2">
        <v>20180601</v>
      </c>
      <c r="F734" s="2">
        <v>20181231</v>
      </c>
      <c r="G734" s="2">
        <v>30000</v>
      </c>
      <c r="H734" s="2">
        <v>24000</v>
      </c>
      <c r="I734" s="2">
        <v>106</v>
      </c>
      <c r="J734" s="2" t="s">
        <v>22</v>
      </c>
      <c r="K734" s="2" t="s">
        <v>23</v>
      </c>
      <c r="L734" s="2" t="s">
        <v>2651</v>
      </c>
      <c r="M734" s="7" t="s">
        <v>2652</v>
      </c>
      <c r="N734" s="7" t="s">
        <v>2653</v>
      </c>
      <c r="O734" s="2"/>
      <c r="P734" s="2"/>
      <c r="Q734" s="2" t="str">
        <f>IF(SUMPRODUCT(--ISNUMBER(SEARCH('National Domains'!$A$2:$A$48,L734)))&gt;0,"Yes","No")</f>
        <v>Yes</v>
      </c>
      <c r="R734" s="2" t="str">
        <f>IF(COUNTIFS(Calibration!$A:$A,A734,Calibration!$B:$B,B734)&gt;0,"Yes","No")</f>
        <v>No</v>
      </c>
      <c r="S734" s="6"/>
    </row>
    <row r="735" spans="1:19" ht="34.5" customHeight="1" x14ac:dyDescent="0.2">
      <c r="A735" s="2">
        <v>184</v>
      </c>
      <c r="B735" s="2">
        <v>14</v>
      </c>
      <c r="C735" s="2" t="s">
        <v>337</v>
      </c>
      <c r="D735" s="2" t="s">
        <v>21</v>
      </c>
      <c r="E735" s="2">
        <v>20180601</v>
      </c>
      <c r="F735" s="2">
        <v>20181231</v>
      </c>
      <c r="G735" s="2">
        <v>30000</v>
      </c>
      <c r="H735" s="2">
        <v>24000</v>
      </c>
      <c r="I735" s="2">
        <v>106</v>
      </c>
      <c r="J735" s="2" t="s">
        <v>22</v>
      </c>
      <c r="K735" s="2" t="s">
        <v>23</v>
      </c>
      <c r="L735" s="2" t="s">
        <v>2654</v>
      </c>
      <c r="M735" s="7" t="s">
        <v>2655</v>
      </c>
      <c r="N735" s="7" t="s">
        <v>2656</v>
      </c>
      <c r="O735" s="2"/>
      <c r="P735" s="2"/>
      <c r="Q735" s="2" t="str">
        <f>IF(SUMPRODUCT(--ISNUMBER(SEARCH('National Domains'!$A$2:$A$48,L735)))&gt;0,"Yes","No")</f>
        <v>Yes</v>
      </c>
      <c r="R735" s="2" t="str">
        <f>IF(COUNTIFS(Calibration!$A:$A,A735,Calibration!$B:$B,B735)&gt;0,"Yes","No")</f>
        <v>No</v>
      </c>
      <c r="S735" s="6"/>
    </row>
    <row r="736" spans="1:19" ht="34.5" customHeight="1" x14ac:dyDescent="0.2">
      <c r="A736" s="2">
        <v>187</v>
      </c>
      <c r="B736" s="2">
        <v>1</v>
      </c>
      <c r="C736" s="2" t="s">
        <v>341</v>
      </c>
      <c r="D736" s="2" t="s">
        <v>25</v>
      </c>
      <c r="E736" s="2">
        <v>20190314</v>
      </c>
      <c r="F736" s="2">
        <v>20190331</v>
      </c>
      <c r="G736" s="2">
        <v>13408.9</v>
      </c>
      <c r="H736" s="2">
        <v>10727</v>
      </c>
      <c r="I736" s="2">
        <v>3</v>
      </c>
      <c r="J736" s="2" t="s">
        <v>36</v>
      </c>
      <c r="K736" s="2" t="s">
        <v>37</v>
      </c>
      <c r="L736" s="2" t="s">
        <v>2657</v>
      </c>
      <c r="M736" s="7" t="s">
        <v>2658</v>
      </c>
      <c r="N736" s="7" t="s">
        <v>2659</v>
      </c>
      <c r="O736" s="2"/>
      <c r="P736" s="2"/>
      <c r="Q736" s="2" t="str">
        <f>IF(SUMPRODUCT(--ISNUMBER(SEARCH('National Domains'!$A$2:$A$48,L736)))&gt;0,"Yes","No")</f>
        <v>Yes</v>
      </c>
      <c r="R736" s="2" t="str">
        <f>IF(COUNTIFS(Calibration!$A:$A,A736,Calibration!$B:$B,B736)&gt;0,"Yes","No")</f>
        <v>No</v>
      </c>
      <c r="S736" s="6"/>
    </row>
    <row r="737" spans="1:19" ht="34.5" customHeight="1" x14ac:dyDescent="0.2">
      <c r="A737" s="2">
        <v>187</v>
      </c>
      <c r="B737" s="2">
        <v>2</v>
      </c>
      <c r="C737" s="2" t="s">
        <v>341</v>
      </c>
      <c r="D737" s="2" t="s">
        <v>25</v>
      </c>
      <c r="E737" s="2">
        <v>20190314</v>
      </c>
      <c r="F737" s="2">
        <v>20190331</v>
      </c>
      <c r="G737" s="2">
        <v>13408.9</v>
      </c>
      <c r="H737" s="2">
        <v>10727</v>
      </c>
      <c r="I737" s="2">
        <v>3</v>
      </c>
      <c r="J737" s="2" t="s">
        <v>36</v>
      </c>
      <c r="K737" s="2" t="s">
        <v>37</v>
      </c>
      <c r="L737" s="2" t="s">
        <v>2660</v>
      </c>
      <c r="M737" s="7" t="s">
        <v>2661</v>
      </c>
      <c r="N737" s="7" t="s">
        <v>2662</v>
      </c>
      <c r="O737" s="2"/>
      <c r="P737" s="2"/>
      <c r="Q737" s="2" t="str">
        <f>IF(SUMPRODUCT(--ISNUMBER(SEARCH('National Domains'!$A$2:$A$48,L737)))&gt;0,"Yes","No")</f>
        <v>No</v>
      </c>
      <c r="R737" s="2" t="str">
        <f>IF(COUNTIFS(Calibration!$A:$A,A737,Calibration!$B:$B,B737)&gt;0,"Yes","No")</f>
        <v>No</v>
      </c>
      <c r="S737" s="6"/>
    </row>
    <row r="738" spans="1:19" ht="34.5" customHeight="1" x14ac:dyDescent="0.2">
      <c r="A738" s="2">
        <v>188</v>
      </c>
      <c r="B738" s="2">
        <v>1</v>
      </c>
      <c r="C738" s="2" t="s">
        <v>342</v>
      </c>
      <c r="D738" s="2" t="s">
        <v>17</v>
      </c>
      <c r="E738" s="2">
        <v>20190413</v>
      </c>
      <c r="F738" s="2">
        <v>20190414</v>
      </c>
      <c r="G738" s="2">
        <v>1540</v>
      </c>
      <c r="H738" s="2">
        <v>1252</v>
      </c>
      <c r="I738" s="2">
        <v>7</v>
      </c>
      <c r="J738" s="2" t="s">
        <v>61</v>
      </c>
      <c r="K738" s="2" t="s">
        <v>62</v>
      </c>
      <c r="L738" s="2" t="s">
        <v>2663</v>
      </c>
      <c r="M738" s="7" t="s">
        <v>2664</v>
      </c>
      <c r="N738" s="7" t="s">
        <v>2665</v>
      </c>
      <c r="O738" s="2"/>
      <c r="P738" s="2"/>
      <c r="Q738" s="2" t="str">
        <f>IF(SUMPRODUCT(--ISNUMBER(SEARCH('National Domains'!$A$2:$A$48,L738)))&gt;0,"Yes","No")</f>
        <v>Yes</v>
      </c>
      <c r="R738" s="2" t="str">
        <f>IF(COUNTIFS(Calibration!$A:$A,A738,Calibration!$B:$B,B738)&gt;0,"Yes","No")</f>
        <v>No</v>
      </c>
      <c r="S738" s="6"/>
    </row>
    <row r="739" spans="1:19" ht="34.5" customHeight="1" x14ac:dyDescent="0.2">
      <c r="A739" s="2">
        <v>188</v>
      </c>
      <c r="B739" s="2">
        <v>2</v>
      </c>
      <c r="C739" s="2" t="s">
        <v>342</v>
      </c>
      <c r="D739" s="2" t="s">
        <v>17</v>
      </c>
      <c r="E739" s="2">
        <v>20190413</v>
      </c>
      <c r="F739" s="2">
        <v>20190414</v>
      </c>
      <c r="G739" s="2">
        <v>1540</v>
      </c>
      <c r="H739" s="2">
        <v>1252</v>
      </c>
      <c r="I739" s="2">
        <v>7</v>
      </c>
      <c r="J739" s="2" t="s">
        <v>61</v>
      </c>
      <c r="K739" s="2" t="s">
        <v>62</v>
      </c>
      <c r="L739" s="2" t="s">
        <v>2666</v>
      </c>
      <c r="M739" s="7" t="s">
        <v>2667</v>
      </c>
      <c r="N739" s="7" t="s">
        <v>2668</v>
      </c>
      <c r="O739" s="2"/>
      <c r="P739" s="2"/>
      <c r="Q739" s="2" t="str">
        <f>IF(SUMPRODUCT(--ISNUMBER(SEARCH('National Domains'!$A$2:$A$48,L739)))&gt;0,"Yes","No")</f>
        <v>No</v>
      </c>
      <c r="R739" s="2" t="str">
        <f>IF(COUNTIFS(Calibration!$A:$A,A739,Calibration!$B:$B,B739)&gt;0,"Yes","No")</f>
        <v>No</v>
      </c>
      <c r="S739" s="6"/>
    </row>
    <row r="740" spans="1:19" ht="34.5" customHeight="1" x14ac:dyDescent="0.2">
      <c r="A740" s="2">
        <v>188</v>
      </c>
      <c r="B740" s="2">
        <v>3</v>
      </c>
      <c r="C740" s="2" t="s">
        <v>342</v>
      </c>
      <c r="D740" s="2" t="s">
        <v>17</v>
      </c>
      <c r="E740" s="2">
        <v>20190413</v>
      </c>
      <c r="F740" s="2">
        <v>20190414</v>
      </c>
      <c r="G740" s="2">
        <v>1540</v>
      </c>
      <c r="H740" s="2">
        <v>1252</v>
      </c>
      <c r="I740" s="2">
        <v>7</v>
      </c>
      <c r="J740" s="2" t="s">
        <v>61</v>
      </c>
      <c r="K740" s="2" t="s">
        <v>62</v>
      </c>
      <c r="L740" s="2" t="s">
        <v>2669</v>
      </c>
      <c r="M740" s="7" t="s">
        <v>2670</v>
      </c>
      <c r="N740" s="7" t="s">
        <v>2671</v>
      </c>
      <c r="O740" s="2"/>
      <c r="P740" s="2"/>
      <c r="Q740" s="2" t="str">
        <f>IF(SUMPRODUCT(--ISNUMBER(SEARCH('National Domains'!$A$2:$A$48,L740)))&gt;0,"Yes","No")</f>
        <v>No</v>
      </c>
      <c r="R740" s="2" t="str">
        <f>IF(COUNTIFS(Calibration!$A:$A,A740,Calibration!$B:$B,B740)&gt;0,"Yes","No")</f>
        <v>No</v>
      </c>
      <c r="S740" s="6"/>
    </row>
    <row r="741" spans="1:19" ht="34.5" customHeight="1" x14ac:dyDescent="0.2">
      <c r="A741" s="2">
        <v>190</v>
      </c>
      <c r="B741" s="2">
        <v>1</v>
      </c>
      <c r="C741" s="2" t="s">
        <v>344</v>
      </c>
      <c r="D741" s="2" t="s">
        <v>17</v>
      </c>
      <c r="E741" s="2">
        <v>20190516</v>
      </c>
      <c r="F741" s="2">
        <v>20190518</v>
      </c>
      <c r="G741" s="2">
        <v>1196.9000000000001</v>
      </c>
      <c r="H741" s="2">
        <v>973</v>
      </c>
      <c r="I741" s="2">
        <v>0</v>
      </c>
      <c r="J741" s="2" t="s">
        <v>102</v>
      </c>
      <c r="K741" s="2" t="s">
        <v>103</v>
      </c>
      <c r="L741" s="2" t="s">
        <v>2672</v>
      </c>
      <c r="M741" s="7" t="s">
        <v>2673</v>
      </c>
      <c r="N741" s="7" t="s">
        <v>2674</v>
      </c>
      <c r="O741" s="2"/>
      <c r="P741" s="2"/>
      <c r="Q741" s="2" t="str">
        <f>IF(SUMPRODUCT(--ISNUMBER(SEARCH('National Domains'!$A$2:$A$48,L741)))&gt;0,"Yes","No")</f>
        <v>Yes</v>
      </c>
      <c r="R741" s="2" t="str">
        <f>IF(COUNTIFS(Calibration!$A:$A,A741,Calibration!$B:$B,B741)&gt;0,"Yes","No")</f>
        <v>No</v>
      </c>
      <c r="S741" s="6"/>
    </row>
    <row r="742" spans="1:19" ht="34.5" customHeight="1" x14ac:dyDescent="0.2">
      <c r="A742" s="2">
        <v>190</v>
      </c>
      <c r="B742" s="2">
        <v>2</v>
      </c>
      <c r="C742" s="2" t="s">
        <v>344</v>
      </c>
      <c r="D742" s="2" t="s">
        <v>17</v>
      </c>
      <c r="E742" s="2">
        <v>20190516</v>
      </c>
      <c r="F742" s="2">
        <v>20190518</v>
      </c>
      <c r="G742" s="2">
        <v>1196.9000000000001</v>
      </c>
      <c r="H742" s="2">
        <v>973</v>
      </c>
      <c r="I742" s="2">
        <v>0</v>
      </c>
      <c r="J742" s="2" t="s">
        <v>102</v>
      </c>
      <c r="K742" s="2" t="s">
        <v>103</v>
      </c>
      <c r="L742" s="2" t="s">
        <v>2675</v>
      </c>
      <c r="M742" s="7" t="s">
        <v>2676</v>
      </c>
      <c r="N742" s="7" t="s">
        <v>2677</v>
      </c>
      <c r="O742" s="2"/>
      <c r="P742" s="2"/>
      <c r="Q742" s="2" t="str">
        <f>IF(SUMPRODUCT(--ISNUMBER(SEARCH('National Domains'!$A$2:$A$48,L742)))&gt;0,"Yes","No")</f>
        <v>Yes</v>
      </c>
      <c r="R742" s="2" t="str">
        <f>IF(COUNTIFS(Calibration!$A:$A,A742,Calibration!$B:$B,B742)&gt;0,"Yes","No")</f>
        <v>No</v>
      </c>
      <c r="S742" s="6"/>
    </row>
    <row r="743" spans="1:19" ht="34.5" customHeight="1" x14ac:dyDescent="0.2">
      <c r="A743" s="2">
        <v>190</v>
      </c>
      <c r="B743" s="2">
        <v>3</v>
      </c>
      <c r="C743" s="2" t="s">
        <v>344</v>
      </c>
      <c r="D743" s="2" t="s">
        <v>17</v>
      </c>
      <c r="E743" s="2">
        <v>20190516</v>
      </c>
      <c r="F743" s="2">
        <v>20190518</v>
      </c>
      <c r="G743" s="2">
        <v>1196.9000000000001</v>
      </c>
      <c r="H743" s="2">
        <v>973</v>
      </c>
      <c r="I743" s="2">
        <v>0</v>
      </c>
      <c r="J743" s="2" t="s">
        <v>102</v>
      </c>
      <c r="K743" s="2" t="s">
        <v>103</v>
      </c>
      <c r="L743" s="2" t="s">
        <v>2678</v>
      </c>
      <c r="M743" s="7" t="s">
        <v>2679</v>
      </c>
      <c r="N743" s="7" t="s">
        <v>2680</v>
      </c>
      <c r="O743" s="2"/>
      <c r="P743" s="2"/>
      <c r="Q743" s="2" t="str">
        <f>IF(SUMPRODUCT(--ISNUMBER(SEARCH('National Domains'!$A$2:$A$48,L743)))&gt;0,"Yes","No")</f>
        <v>No</v>
      </c>
      <c r="R743" s="2" t="str">
        <f>IF(COUNTIFS(Calibration!$A:$A,A743,Calibration!$B:$B,B743)&gt;0,"Yes","No")</f>
        <v>No</v>
      </c>
      <c r="S743" s="6"/>
    </row>
    <row r="744" spans="1:19" ht="34.5" customHeight="1" x14ac:dyDescent="0.2">
      <c r="A744" s="2">
        <v>190</v>
      </c>
      <c r="B744" s="2">
        <v>4</v>
      </c>
      <c r="C744" s="2" t="s">
        <v>344</v>
      </c>
      <c r="D744" s="2" t="s">
        <v>17</v>
      </c>
      <c r="E744" s="2">
        <v>20190516</v>
      </c>
      <c r="F744" s="2">
        <v>20190518</v>
      </c>
      <c r="G744" s="2">
        <v>1196.9000000000001</v>
      </c>
      <c r="H744" s="2">
        <v>973</v>
      </c>
      <c r="I744" s="2">
        <v>0</v>
      </c>
      <c r="J744" s="2" t="s">
        <v>102</v>
      </c>
      <c r="K744" s="2" t="s">
        <v>103</v>
      </c>
      <c r="L744" s="2" t="s">
        <v>2681</v>
      </c>
      <c r="M744" s="7" t="s">
        <v>2682</v>
      </c>
      <c r="N744" s="7" t="s">
        <v>2683</v>
      </c>
      <c r="O744" s="2"/>
      <c r="P744" s="2"/>
      <c r="Q744" s="2" t="str">
        <f>IF(SUMPRODUCT(--ISNUMBER(SEARCH('National Domains'!$A$2:$A$48,L744)))&gt;0,"Yes","No")</f>
        <v>No</v>
      </c>
      <c r="R744" s="2" t="str">
        <f>IF(COUNTIFS(Calibration!$A:$A,A744,Calibration!$B:$B,B744)&gt;0,"Yes","No")</f>
        <v>No</v>
      </c>
      <c r="S744" s="6"/>
    </row>
    <row r="745" spans="1:19" ht="34.5" customHeight="1" x14ac:dyDescent="0.2">
      <c r="A745" s="2">
        <v>190</v>
      </c>
      <c r="B745" s="2">
        <v>5</v>
      </c>
      <c r="C745" s="2" t="s">
        <v>344</v>
      </c>
      <c r="D745" s="2" t="s">
        <v>17</v>
      </c>
      <c r="E745" s="2">
        <v>20190516</v>
      </c>
      <c r="F745" s="2">
        <v>20190518</v>
      </c>
      <c r="G745" s="2">
        <v>1196.9000000000001</v>
      </c>
      <c r="H745" s="2">
        <v>973</v>
      </c>
      <c r="I745" s="2">
        <v>0</v>
      </c>
      <c r="J745" s="2" t="s">
        <v>102</v>
      </c>
      <c r="K745" s="2" t="s">
        <v>103</v>
      </c>
      <c r="L745" s="2" t="s">
        <v>2684</v>
      </c>
      <c r="M745" s="7" t="s">
        <v>2685</v>
      </c>
      <c r="N745" s="7" t="s">
        <v>2686</v>
      </c>
      <c r="O745" s="2"/>
      <c r="P745" s="2"/>
      <c r="Q745" s="2" t="str">
        <f>IF(SUMPRODUCT(--ISNUMBER(SEARCH('National Domains'!$A$2:$A$48,L745)))&gt;0,"Yes","No")</f>
        <v>No</v>
      </c>
      <c r="R745" s="2" t="str">
        <f>IF(COUNTIFS(Calibration!$A:$A,A745,Calibration!$B:$B,B745)&gt;0,"Yes","No")</f>
        <v>No</v>
      </c>
      <c r="S745" s="6"/>
    </row>
    <row r="746" spans="1:19" ht="34.5" customHeight="1" x14ac:dyDescent="0.2">
      <c r="A746" s="2">
        <v>190</v>
      </c>
      <c r="B746" s="2">
        <v>6</v>
      </c>
      <c r="C746" s="2" t="s">
        <v>344</v>
      </c>
      <c r="D746" s="2" t="s">
        <v>17</v>
      </c>
      <c r="E746" s="2">
        <v>20190516</v>
      </c>
      <c r="F746" s="2">
        <v>20190518</v>
      </c>
      <c r="G746" s="2">
        <v>1196.9000000000001</v>
      </c>
      <c r="H746" s="2">
        <v>973</v>
      </c>
      <c r="I746" s="2">
        <v>0</v>
      </c>
      <c r="J746" s="2" t="s">
        <v>102</v>
      </c>
      <c r="K746" s="2" t="s">
        <v>103</v>
      </c>
      <c r="L746" s="2" t="s">
        <v>2687</v>
      </c>
      <c r="M746" s="7" t="s">
        <v>2688</v>
      </c>
      <c r="N746" s="7" t="s">
        <v>2689</v>
      </c>
      <c r="O746" s="2"/>
      <c r="P746" s="2"/>
      <c r="Q746" s="2" t="str">
        <f>IF(SUMPRODUCT(--ISNUMBER(SEARCH('National Domains'!$A$2:$A$48,L746)))&gt;0,"Yes","No")</f>
        <v>Yes</v>
      </c>
      <c r="R746" s="2" t="str">
        <f>IF(COUNTIFS(Calibration!$A:$A,A746,Calibration!$B:$B,B746)&gt;0,"Yes","No")</f>
        <v>No</v>
      </c>
      <c r="S746" s="6"/>
    </row>
    <row r="747" spans="1:19" ht="34.5" customHeight="1" x14ac:dyDescent="0.2">
      <c r="A747" s="2">
        <v>191</v>
      </c>
      <c r="B747" s="2">
        <v>1</v>
      </c>
      <c r="C747" s="2" t="s">
        <v>345</v>
      </c>
      <c r="D747" s="2" t="s">
        <v>17</v>
      </c>
      <c r="E747" s="2">
        <v>20190526</v>
      </c>
      <c r="F747" s="2">
        <v>20190529</v>
      </c>
      <c r="G747" s="2">
        <v>5655.6</v>
      </c>
      <c r="H747" s="2">
        <v>4598</v>
      </c>
      <c r="I747" s="2">
        <v>3</v>
      </c>
      <c r="J747" s="2" t="s">
        <v>346</v>
      </c>
      <c r="K747" s="2" t="s">
        <v>223</v>
      </c>
      <c r="L747" s="2" t="s">
        <v>2690</v>
      </c>
      <c r="M747" s="7" t="s">
        <v>2691</v>
      </c>
      <c r="N747" s="7" t="s">
        <v>2692</v>
      </c>
      <c r="O747" s="2"/>
      <c r="P747" s="2"/>
      <c r="Q747" s="2" t="str">
        <f>IF(SUMPRODUCT(--ISNUMBER(SEARCH('National Domains'!$A$2:$A$48,L747)))&gt;0,"Yes","No")</f>
        <v>No</v>
      </c>
      <c r="R747" s="2" t="str">
        <f>IF(COUNTIFS(Calibration!$A:$A,A747,Calibration!$B:$B,B747)&gt;0,"Yes","No")</f>
        <v>No</v>
      </c>
      <c r="S747" s="6"/>
    </row>
    <row r="748" spans="1:19" ht="34.5" customHeight="1" x14ac:dyDescent="0.2">
      <c r="A748" s="2">
        <v>191</v>
      </c>
      <c r="B748" s="2">
        <v>2</v>
      </c>
      <c r="C748" s="2" t="s">
        <v>345</v>
      </c>
      <c r="D748" s="2" t="s">
        <v>17</v>
      </c>
      <c r="E748" s="2">
        <v>20190526</v>
      </c>
      <c r="F748" s="2">
        <v>20190529</v>
      </c>
      <c r="G748" s="2">
        <v>5655.6</v>
      </c>
      <c r="H748" s="2">
        <v>4598</v>
      </c>
      <c r="I748" s="2">
        <v>3</v>
      </c>
      <c r="J748" s="2" t="s">
        <v>346</v>
      </c>
      <c r="K748" s="2" t="s">
        <v>223</v>
      </c>
      <c r="L748" s="2" t="s">
        <v>2693</v>
      </c>
      <c r="M748" s="7" t="s">
        <v>2694</v>
      </c>
      <c r="N748" s="7" t="s">
        <v>2695</v>
      </c>
      <c r="O748" s="2"/>
      <c r="P748" s="2"/>
      <c r="Q748" s="2" t="str">
        <f>IF(SUMPRODUCT(--ISNUMBER(SEARCH('National Domains'!$A$2:$A$48,L748)))&gt;0,"Yes","No")</f>
        <v>No</v>
      </c>
      <c r="R748" s="2" t="str">
        <f>IF(COUNTIFS(Calibration!$A:$A,A748,Calibration!$B:$B,B748)&gt;0,"Yes","No")</f>
        <v>No</v>
      </c>
      <c r="S748" s="6"/>
    </row>
    <row r="749" spans="1:19" ht="34.5" customHeight="1" x14ac:dyDescent="0.2">
      <c r="A749" s="2">
        <v>191</v>
      </c>
      <c r="B749" s="2">
        <v>3</v>
      </c>
      <c r="C749" s="2" t="s">
        <v>345</v>
      </c>
      <c r="D749" s="2" t="s">
        <v>17</v>
      </c>
      <c r="E749" s="2">
        <v>20190526</v>
      </c>
      <c r="F749" s="2">
        <v>20190529</v>
      </c>
      <c r="G749" s="2">
        <v>5655.6</v>
      </c>
      <c r="H749" s="2">
        <v>4598</v>
      </c>
      <c r="I749" s="2">
        <v>3</v>
      </c>
      <c r="J749" s="2" t="s">
        <v>346</v>
      </c>
      <c r="K749" s="2" t="s">
        <v>223</v>
      </c>
      <c r="L749" s="2" t="s">
        <v>2696</v>
      </c>
      <c r="M749" s="7" t="s">
        <v>2697</v>
      </c>
      <c r="N749" s="7" t="s">
        <v>2698</v>
      </c>
      <c r="O749" s="2"/>
      <c r="P749" s="2"/>
      <c r="Q749" s="2" t="str">
        <f>IF(SUMPRODUCT(--ISNUMBER(SEARCH('National Domains'!$A$2:$A$48,L749)))&gt;0,"Yes","No")</f>
        <v>No</v>
      </c>
      <c r="R749" s="2" t="str">
        <f>IF(COUNTIFS(Calibration!$A:$A,A749,Calibration!$B:$B,B749)&gt;0,"Yes","No")</f>
        <v>No</v>
      </c>
      <c r="S749" s="6"/>
    </row>
    <row r="750" spans="1:19" ht="34.5" customHeight="1" x14ac:dyDescent="0.2">
      <c r="A750" s="2">
        <v>192</v>
      </c>
      <c r="B750" s="2">
        <v>1</v>
      </c>
      <c r="C750" s="2" t="s">
        <v>347</v>
      </c>
      <c r="D750" s="2" t="s">
        <v>25</v>
      </c>
      <c r="E750" s="2">
        <v>20190520</v>
      </c>
      <c r="F750" s="2">
        <v>20190614</v>
      </c>
      <c r="G750" s="2">
        <v>3720.8</v>
      </c>
      <c r="H750" s="2">
        <v>3025</v>
      </c>
      <c r="I750" s="2">
        <v>5</v>
      </c>
      <c r="J750" s="2" t="s">
        <v>348</v>
      </c>
      <c r="K750" s="2" t="s">
        <v>41</v>
      </c>
      <c r="L750" s="2" t="s">
        <v>2699</v>
      </c>
      <c r="M750" s="7" t="s">
        <v>2700</v>
      </c>
      <c r="N750" s="7" t="s">
        <v>2701</v>
      </c>
      <c r="O750" s="2"/>
      <c r="P750" s="2"/>
      <c r="Q750" s="2" t="str">
        <f>IF(SUMPRODUCT(--ISNUMBER(SEARCH('National Domains'!$A$2:$A$48,L750)))&gt;0,"Yes","No")</f>
        <v>No</v>
      </c>
      <c r="R750" s="2" t="str">
        <f>IF(COUNTIFS(Calibration!$A:$A,A750,Calibration!$B:$B,B750)&gt;0,"Yes","No")</f>
        <v>No</v>
      </c>
      <c r="S750" s="6"/>
    </row>
    <row r="751" spans="1:19" ht="34.5" customHeight="1" x14ac:dyDescent="0.2">
      <c r="A751" s="2">
        <v>192</v>
      </c>
      <c r="B751" s="2">
        <v>2</v>
      </c>
      <c r="C751" s="2" t="s">
        <v>347</v>
      </c>
      <c r="D751" s="2" t="s">
        <v>25</v>
      </c>
      <c r="E751" s="2">
        <v>20190520</v>
      </c>
      <c r="F751" s="2">
        <v>20190614</v>
      </c>
      <c r="G751" s="2">
        <v>3720.8</v>
      </c>
      <c r="H751" s="2">
        <v>3025</v>
      </c>
      <c r="I751" s="2">
        <v>5</v>
      </c>
      <c r="J751" s="2" t="s">
        <v>348</v>
      </c>
      <c r="K751" s="2" t="s">
        <v>41</v>
      </c>
      <c r="L751" s="2" t="s">
        <v>2702</v>
      </c>
      <c r="M751" s="7" t="s">
        <v>2703</v>
      </c>
      <c r="N751" s="7" t="s">
        <v>2704</v>
      </c>
      <c r="O751" s="2"/>
      <c r="P751" s="2"/>
      <c r="Q751" s="2" t="str">
        <f>IF(SUMPRODUCT(--ISNUMBER(SEARCH('National Domains'!$A$2:$A$48,L751)))&gt;0,"Yes","No")</f>
        <v>No</v>
      </c>
      <c r="R751" s="2" t="str">
        <f>IF(COUNTIFS(Calibration!$A:$A,A751,Calibration!$B:$B,B751)&gt;0,"Yes","No")</f>
        <v>No</v>
      </c>
      <c r="S751" s="6"/>
    </row>
    <row r="752" spans="1:19" ht="34.5" customHeight="1" x14ac:dyDescent="0.2">
      <c r="A752" s="2">
        <v>192</v>
      </c>
      <c r="B752" s="2">
        <v>3</v>
      </c>
      <c r="C752" s="2" t="s">
        <v>347</v>
      </c>
      <c r="D752" s="2" t="s">
        <v>25</v>
      </c>
      <c r="E752" s="2">
        <v>20190520</v>
      </c>
      <c r="F752" s="2">
        <v>20190614</v>
      </c>
      <c r="G752" s="2">
        <v>3720.8</v>
      </c>
      <c r="H752" s="2">
        <v>3025</v>
      </c>
      <c r="I752" s="2">
        <v>5</v>
      </c>
      <c r="J752" s="2" t="s">
        <v>348</v>
      </c>
      <c r="K752" s="2" t="s">
        <v>41</v>
      </c>
      <c r="L752" s="2" t="s">
        <v>2705</v>
      </c>
      <c r="M752" s="7" t="s">
        <v>2706</v>
      </c>
      <c r="N752" s="7" t="s">
        <v>2707</v>
      </c>
      <c r="O752" s="2"/>
      <c r="P752" s="2"/>
      <c r="Q752" s="2" t="str">
        <f>IF(SUMPRODUCT(--ISNUMBER(SEARCH('National Domains'!$A$2:$A$48,L752)))&gt;0,"Yes","No")</f>
        <v>No</v>
      </c>
      <c r="R752" s="2" t="str">
        <f>IF(COUNTIFS(Calibration!$A:$A,A752,Calibration!$B:$B,B752)&gt;0,"Yes","No")</f>
        <v>No</v>
      </c>
      <c r="S752" s="6"/>
    </row>
    <row r="753" spans="1:19" ht="34.5" customHeight="1" x14ac:dyDescent="0.2">
      <c r="A753" s="2">
        <v>192</v>
      </c>
      <c r="B753" s="2">
        <v>4</v>
      </c>
      <c r="C753" s="2" t="s">
        <v>347</v>
      </c>
      <c r="D753" s="2" t="s">
        <v>25</v>
      </c>
      <c r="E753" s="2">
        <v>20190520</v>
      </c>
      <c r="F753" s="2">
        <v>20190614</v>
      </c>
      <c r="G753" s="2">
        <v>3720.8</v>
      </c>
      <c r="H753" s="2">
        <v>3025</v>
      </c>
      <c r="I753" s="2">
        <v>5</v>
      </c>
      <c r="J753" s="2" t="s">
        <v>348</v>
      </c>
      <c r="K753" s="2" t="s">
        <v>41</v>
      </c>
      <c r="L753" s="2" t="s">
        <v>2708</v>
      </c>
      <c r="M753" s="7" t="s">
        <v>2709</v>
      </c>
      <c r="N753" s="7" t="s">
        <v>2710</v>
      </c>
      <c r="O753" s="2"/>
      <c r="P753" s="2"/>
      <c r="Q753" s="2" t="str">
        <f>IF(SUMPRODUCT(--ISNUMBER(SEARCH('National Domains'!$A$2:$A$48,L753)))&gt;0,"Yes","No")</f>
        <v>No</v>
      </c>
      <c r="R753" s="2" t="str">
        <f>IF(COUNTIFS(Calibration!$A:$A,A753,Calibration!$B:$B,B753)&gt;0,"Yes","No")</f>
        <v>No</v>
      </c>
      <c r="S753" s="6"/>
    </row>
    <row r="754" spans="1:19" ht="34.5" customHeight="1" x14ac:dyDescent="0.2">
      <c r="A754" s="2">
        <v>192</v>
      </c>
      <c r="B754" s="2">
        <v>5</v>
      </c>
      <c r="C754" s="2" t="s">
        <v>347</v>
      </c>
      <c r="D754" s="2" t="s">
        <v>25</v>
      </c>
      <c r="E754" s="2">
        <v>20190520</v>
      </c>
      <c r="F754" s="2">
        <v>20190614</v>
      </c>
      <c r="G754" s="2">
        <v>3720.8</v>
      </c>
      <c r="H754" s="2">
        <v>3025</v>
      </c>
      <c r="I754" s="2">
        <v>5</v>
      </c>
      <c r="J754" s="2" t="s">
        <v>348</v>
      </c>
      <c r="K754" s="2" t="s">
        <v>41</v>
      </c>
      <c r="L754" s="2" t="s">
        <v>2711</v>
      </c>
      <c r="M754" s="7" t="s">
        <v>2712</v>
      </c>
      <c r="N754" s="7" t="s">
        <v>2713</v>
      </c>
      <c r="O754" s="2"/>
      <c r="P754" s="2"/>
      <c r="Q754" s="2" t="str">
        <f>IF(SUMPRODUCT(--ISNUMBER(SEARCH('National Domains'!$A$2:$A$48,L754)))&gt;0,"Yes","No")</f>
        <v>Yes</v>
      </c>
      <c r="R754" s="2" t="str">
        <f>IF(COUNTIFS(Calibration!$A:$A,A754,Calibration!$B:$B,B754)&gt;0,"Yes","No")</f>
        <v>No</v>
      </c>
      <c r="S754" s="6"/>
    </row>
    <row r="755" spans="1:19" ht="34.5" customHeight="1" x14ac:dyDescent="0.2">
      <c r="A755" s="2">
        <v>192</v>
      </c>
      <c r="B755" s="2">
        <v>6</v>
      </c>
      <c r="C755" s="2" t="s">
        <v>347</v>
      </c>
      <c r="D755" s="2" t="s">
        <v>25</v>
      </c>
      <c r="E755" s="2">
        <v>20190520</v>
      </c>
      <c r="F755" s="2">
        <v>20190614</v>
      </c>
      <c r="G755" s="2">
        <v>3720.8</v>
      </c>
      <c r="H755" s="2">
        <v>3025</v>
      </c>
      <c r="I755" s="2">
        <v>5</v>
      </c>
      <c r="J755" s="2" t="s">
        <v>348</v>
      </c>
      <c r="K755" s="2" t="s">
        <v>41</v>
      </c>
      <c r="L755" s="2" t="s">
        <v>2714</v>
      </c>
      <c r="M755" s="7" t="s">
        <v>2715</v>
      </c>
      <c r="N755" s="7" t="s">
        <v>2716</v>
      </c>
      <c r="O755" s="2"/>
      <c r="P755" s="2"/>
      <c r="Q755" s="2" t="str">
        <f>IF(SUMPRODUCT(--ISNUMBER(SEARCH('National Domains'!$A$2:$A$48,L755)))&gt;0,"Yes","No")</f>
        <v>No</v>
      </c>
      <c r="R755" s="2" t="str">
        <f>IF(COUNTIFS(Calibration!$A:$A,A755,Calibration!$B:$B,B755)&gt;0,"Yes","No")</f>
        <v>No</v>
      </c>
      <c r="S755" s="6"/>
    </row>
    <row r="756" spans="1:19" ht="34.5" customHeight="1" x14ac:dyDescent="0.2">
      <c r="A756" s="2">
        <v>194</v>
      </c>
      <c r="B756" s="2">
        <v>1</v>
      </c>
      <c r="C756" s="2" t="s">
        <v>350</v>
      </c>
      <c r="D756" s="2" t="s">
        <v>25</v>
      </c>
      <c r="E756" s="2">
        <v>20190315</v>
      </c>
      <c r="F756" s="2">
        <v>20190731</v>
      </c>
      <c r="G756" s="2">
        <v>7649.6</v>
      </c>
      <c r="H756" s="2">
        <v>6169</v>
      </c>
      <c r="I756" s="2">
        <v>4</v>
      </c>
      <c r="J756" s="2" t="s">
        <v>351</v>
      </c>
      <c r="K756" s="2" t="s">
        <v>109</v>
      </c>
      <c r="L756" s="2" t="s">
        <v>2717</v>
      </c>
      <c r="M756" s="7" t="s">
        <v>2718</v>
      </c>
      <c r="N756" s="7" t="s">
        <v>2719</v>
      </c>
      <c r="O756" s="2"/>
      <c r="P756" s="2"/>
      <c r="Q756" s="2" t="str">
        <f>IF(SUMPRODUCT(--ISNUMBER(SEARCH('National Domains'!$A$2:$A$48,L756)))&gt;0,"Yes","No")</f>
        <v>No</v>
      </c>
      <c r="R756" s="2" t="str">
        <f>IF(COUNTIFS(Calibration!$A:$A,A756,Calibration!$B:$B,B756)&gt;0,"Yes","No")</f>
        <v>No</v>
      </c>
      <c r="S756" s="6"/>
    </row>
    <row r="757" spans="1:19" ht="34.5" customHeight="1" x14ac:dyDescent="0.2">
      <c r="A757" s="2">
        <v>194</v>
      </c>
      <c r="B757" s="2">
        <v>2</v>
      </c>
      <c r="C757" s="2" t="s">
        <v>350</v>
      </c>
      <c r="D757" s="2" t="s">
        <v>25</v>
      </c>
      <c r="E757" s="2">
        <v>20190315</v>
      </c>
      <c r="F757" s="2">
        <v>20190731</v>
      </c>
      <c r="G757" s="2">
        <v>7649.6</v>
      </c>
      <c r="H757" s="2">
        <v>6169</v>
      </c>
      <c r="I757" s="2">
        <v>4</v>
      </c>
      <c r="J757" s="2" t="s">
        <v>351</v>
      </c>
      <c r="K757" s="2" t="s">
        <v>109</v>
      </c>
      <c r="L757" s="2" t="s">
        <v>2720</v>
      </c>
      <c r="M757" s="7" t="s">
        <v>2721</v>
      </c>
      <c r="N757" s="7" t="s">
        <v>2722</v>
      </c>
      <c r="O757" s="2"/>
      <c r="P757" s="2"/>
      <c r="Q757" s="2" t="str">
        <f>IF(SUMPRODUCT(--ISNUMBER(SEARCH('National Domains'!$A$2:$A$48,L757)))&gt;0,"Yes","No")</f>
        <v>No</v>
      </c>
      <c r="R757" s="2" t="str">
        <f>IF(COUNTIFS(Calibration!$A:$A,A757,Calibration!$B:$B,B757)&gt;0,"Yes","No")</f>
        <v>No</v>
      </c>
      <c r="S757" s="6"/>
    </row>
    <row r="758" spans="1:19" ht="34.5" customHeight="1" x14ac:dyDescent="0.2">
      <c r="A758" s="2">
        <v>194</v>
      </c>
      <c r="B758" s="2">
        <v>3</v>
      </c>
      <c r="C758" s="2" t="s">
        <v>350</v>
      </c>
      <c r="D758" s="2" t="s">
        <v>25</v>
      </c>
      <c r="E758" s="2">
        <v>20190315</v>
      </c>
      <c r="F758" s="2">
        <v>20190731</v>
      </c>
      <c r="G758" s="2">
        <v>7649.6</v>
      </c>
      <c r="H758" s="2">
        <v>6169</v>
      </c>
      <c r="I758" s="2">
        <v>4</v>
      </c>
      <c r="J758" s="2" t="s">
        <v>351</v>
      </c>
      <c r="K758" s="2" t="s">
        <v>109</v>
      </c>
      <c r="L758" s="2" t="s">
        <v>2660</v>
      </c>
      <c r="M758" s="7" t="s">
        <v>2661</v>
      </c>
      <c r="N758" s="7" t="s">
        <v>2723</v>
      </c>
      <c r="O758" s="2"/>
      <c r="P758" s="2"/>
      <c r="Q758" s="2" t="str">
        <f>IF(SUMPRODUCT(--ISNUMBER(SEARCH('National Domains'!$A$2:$A$48,L758)))&gt;0,"Yes","No")</f>
        <v>No</v>
      </c>
      <c r="R758" s="2" t="str">
        <f>IF(COUNTIFS(Calibration!$A:$A,A758,Calibration!$B:$B,B758)&gt;0,"Yes","No")</f>
        <v>No</v>
      </c>
      <c r="S758" s="6"/>
    </row>
    <row r="759" spans="1:19" ht="34.5" customHeight="1" x14ac:dyDescent="0.2">
      <c r="A759" s="2">
        <v>194</v>
      </c>
      <c r="B759" s="2">
        <v>4</v>
      </c>
      <c r="C759" s="2" t="s">
        <v>350</v>
      </c>
      <c r="D759" s="2" t="s">
        <v>25</v>
      </c>
      <c r="E759" s="2">
        <v>20190315</v>
      </c>
      <c r="F759" s="2">
        <v>20190731</v>
      </c>
      <c r="G759" s="2">
        <v>7649.6</v>
      </c>
      <c r="H759" s="2">
        <v>6169</v>
      </c>
      <c r="I759" s="2">
        <v>4</v>
      </c>
      <c r="J759" s="2" t="s">
        <v>351</v>
      </c>
      <c r="K759" s="2" t="s">
        <v>109</v>
      </c>
      <c r="L759" s="2" t="s">
        <v>2724</v>
      </c>
      <c r="M759" s="7" t="s">
        <v>2725</v>
      </c>
      <c r="N759" s="7" t="s">
        <v>2726</v>
      </c>
      <c r="O759" s="2"/>
      <c r="P759" s="2"/>
      <c r="Q759" s="2" t="str">
        <f>IF(SUMPRODUCT(--ISNUMBER(SEARCH('National Domains'!$A$2:$A$48,L759)))&gt;0,"Yes","No")</f>
        <v>No</v>
      </c>
      <c r="R759" s="2" t="str">
        <f>IF(COUNTIFS(Calibration!$A:$A,A759,Calibration!$B:$B,B759)&gt;0,"Yes","No")</f>
        <v>No</v>
      </c>
      <c r="S759" s="6"/>
    </row>
    <row r="760" spans="1:19" ht="45.75" customHeight="1" x14ac:dyDescent="0.2">
      <c r="A760" s="2">
        <v>194</v>
      </c>
      <c r="B760" s="2">
        <v>5</v>
      </c>
      <c r="C760" s="2" t="s">
        <v>350</v>
      </c>
      <c r="D760" s="2" t="s">
        <v>25</v>
      </c>
      <c r="E760" s="2">
        <v>20190315</v>
      </c>
      <c r="F760" s="2">
        <v>20190731</v>
      </c>
      <c r="G760" s="2">
        <v>7649.6</v>
      </c>
      <c r="H760" s="2">
        <v>6169</v>
      </c>
      <c r="I760" s="2">
        <v>4</v>
      </c>
      <c r="J760" s="2" t="s">
        <v>351</v>
      </c>
      <c r="K760" s="2" t="s">
        <v>109</v>
      </c>
      <c r="L760" s="2" t="s">
        <v>2727</v>
      </c>
      <c r="M760" s="7" t="s">
        <v>2728</v>
      </c>
      <c r="N760" s="7" t="s">
        <v>2729</v>
      </c>
      <c r="O760" s="2"/>
      <c r="P760" s="2"/>
      <c r="Q760" s="2" t="str">
        <f>IF(SUMPRODUCT(--ISNUMBER(SEARCH('National Domains'!$A$2:$A$48,L760)))&gt;0,"Yes","No")</f>
        <v>No</v>
      </c>
      <c r="R760" s="2" t="str">
        <f>IF(COUNTIFS(Calibration!$A:$A,A760,Calibration!$B:$B,B760)&gt;0,"Yes","No")</f>
        <v>No</v>
      </c>
      <c r="S760" s="6"/>
    </row>
    <row r="761" spans="1:19" ht="34.5" customHeight="1" x14ac:dyDescent="0.2">
      <c r="A761" s="2">
        <v>194</v>
      </c>
      <c r="B761" s="2">
        <v>6</v>
      </c>
      <c r="C761" s="2" t="s">
        <v>350</v>
      </c>
      <c r="D761" s="2" t="s">
        <v>25</v>
      </c>
      <c r="E761" s="2">
        <v>20190315</v>
      </c>
      <c r="F761" s="2">
        <v>20190731</v>
      </c>
      <c r="G761" s="2">
        <v>7649.6</v>
      </c>
      <c r="H761" s="2">
        <v>6169</v>
      </c>
      <c r="I761" s="2">
        <v>4</v>
      </c>
      <c r="J761" s="2" t="s">
        <v>351</v>
      </c>
      <c r="K761" s="2" t="s">
        <v>109</v>
      </c>
      <c r="L761" s="2" t="s">
        <v>2730</v>
      </c>
      <c r="M761" s="7" t="s">
        <v>2731</v>
      </c>
      <c r="N761" s="7" t="s">
        <v>2732</v>
      </c>
      <c r="O761" s="2"/>
      <c r="P761" s="2"/>
      <c r="Q761" s="2" t="str">
        <f>IF(SUMPRODUCT(--ISNUMBER(SEARCH('National Domains'!$A$2:$A$48,L761)))&gt;0,"Yes","No")</f>
        <v>Yes</v>
      </c>
      <c r="R761" s="2" t="str">
        <f>IF(COUNTIFS(Calibration!$A:$A,A761,Calibration!$B:$B,B761)&gt;0,"Yes","No")</f>
        <v>No</v>
      </c>
      <c r="S761" s="6"/>
    </row>
    <row r="762" spans="1:19" ht="34.5" customHeight="1" x14ac:dyDescent="0.2">
      <c r="A762" s="2">
        <v>194</v>
      </c>
      <c r="B762" s="2">
        <v>7</v>
      </c>
      <c r="C762" s="2" t="s">
        <v>350</v>
      </c>
      <c r="D762" s="2" t="s">
        <v>25</v>
      </c>
      <c r="E762" s="2">
        <v>20190315</v>
      </c>
      <c r="F762" s="2">
        <v>20190731</v>
      </c>
      <c r="G762" s="2">
        <v>7649.6</v>
      </c>
      <c r="H762" s="2">
        <v>6169</v>
      </c>
      <c r="I762" s="2">
        <v>4</v>
      </c>
      <c r="J762" s="2" t="s">
        <v>351</v>
      </c>
      <c r="K762" s="2" t="s">
        <v>109</v>
      </c>
      <c r="L762" s="2" t="s">
        <v>2733</v>
      </c>
      <c r="M762" s="7" t="s">
        <v>2734</v>
      </c>
      <c r="N762" s="7" t="s">
        <v>2735</v>
      </c>
      <c r="O762" s="2"/>
      <c r="P762" s="2"/>
      <c r="Q762" s="2" t="str">
        <f>IF(SUMPRODUCT(--ISNUMBER(SEARCH('National Domains'!$A$2:$A$48,L762)))&gt;0,"Yes","No")</f>
        <v>Yes</v>
      </c>
      <c r="R762" s="2" t="str">
        <f>IF(COUNTIFS(Calibration!$A:$A,A762,Calibration!$B:$B,B762)&gt;0,"Yes","No")</f>
        <v>No</v>
      </c>
      <c r="S762" s="6"/>
    </row>
    <row r="763" spans="1:19" ht="34.5" customHeight="1" x14ac:dyDescent="0.2">
      <c r="A763" s="2">
        <v>194</v>
      </c>
      <c r="B763" s="2">
        <v>8</v>
      </c>
      <c r="C763" s="2" t="s">
        <v>350</v>
      </c>
      <c r="D763" s="2" t="s">
        <v>25</v>
      </c>
      <c r="E763" s="2">
        <v>20190315</v>
      </c>
      <c r="F763" s="2">
        <v>20190731</v>
      </c>
      <c r="G763" s="2">
        <v>7649.6</v>
      </c>
      <c r="H763" s="2">
        <v>6169</v>
      </c>
      <c r="I763" s="2">
        <v>4</v>
      </c>
      <c r="J763" s="2" t="s">
        <v>351</v>
      </c>
      <c r="K763" s="2" t="s">
        <v>109</v>
      </c>
      <c r="L763" s="2" t="s">
        <v>2736</v>
      </c>
      <c r="M763" s="7" t="s">
        <v>2737</v>
      </c>
      <c r="N763" s="7" t="s">
        <v>2738</v>
      </c>
      <c r="O763" s="2"/>
      <c r="P763" s="2"/>
      <c r="Q763" s="2" t="str">
        <f>IF(SUMPRODUCT(--ISNUMBER(SEARCH('National Domains'!$A$2:$A$48,L763)))&gt;0,"Yes","No")</f>
        <v>Yes</v>
      </c>
      <c r="R763" s="2" t="str">
        <f>IF(COUNTIFS(Calibration!$A:$A,A763,Calibration!$B:$B,B763)&gt;0,"Yes","No")</f>
        <v>No</v>
      </c>
      <c r="S763" s="6"/>
    </row>
    <row r="764" spans="1:19" ht="34.5" customHeight="1" x14ac:dyDescent="0.2">
      <c r="A764" s="2">
        <v>194</v>
      </c>
      <c r="B764" s="2">
        <v>9</v>
      </c>
      <c r="C764" s="2" t="s">
        <v>350</v>
      </c>
      <c r="D764" s="2" t="s">
        <v>25</v>
      </c>
      <c r="E764" s="2">
        <v>20190315</v>
      </c>
      <c r="F764" s="2">
        <v>20190731</v>
      </c>
      <c r="G764" s="2">
        <v>7649.6</v>
      </c>
      <c r="H764" s="2">
        <v>6169</v>
      </c>
      <c r="I764" s="2">
        <v>4</v>
      </c>
      <c r="J764" s="2" t="s">
        <v>351</v>
      </c>
      <c r="K764" s="2" t="s">
        <v>109</v>
      </c>
      <c r="L764" s="2" t="s">
        <v>2739</v>
      </c>
      <c r="M764" s="7" t="s">
        <v>2740</v>
      </c>
      <c r="N764" s="7" t="s">
        <v>2741</v>
      </c>
      <c r="O764" s="2"/>
      <c r="P764" s="2"/>
      <c r="Q764" s="2" t="str">
        <f>IF(SUMPRODUCT(--ISNUMBER(SEARCH('National Domains'!$A$2:$A$48,L764)))&gt;0,"Yes","No")</f>
        <v>Yes</v>
      </c>
      <c r="R764" s="2" t="str">
        <f>IF(COUNTIFS(Calibration!$A:$A,A764,Calibration!$B:$B,B764)&gt;0,"Yes","No")</f>
        <v>No</v>
      </c>
      <c r="S764" s="6"/>
    </row>
    <row r="765" spans="1:19" ht="34.5" customHeight="1" x14ac:dyDescent="0.2">
      <c r="A765" s="2">
        <v>194</v>
      </c>
      <c r="B765" s="2">
        <v>10</v>
      </c>
      <c r="C765" s="2" t="s">
        <v>350</v>
      </c>
      <c r="D765" s="2" t="s">
        <v>25</v>
      </c>
      <c r="E765" s="2">
        <v>20190315</v>
      </c>
      <c r="F765" s="2">
        <v>20190731</v>
      </c>
      <c r="G765" s="2">
        <v>7649.6</v>
      </c>
      <c r="H765" s="2">
        <v>6169</v>
      </c>
      <c r="I765" s="2">
        <v>4</v>
      </c>
      <c r="J765" s="2" t="s">
        <v>351</v>
      </c>
      <c r="K765" s="2" t="s">
        <v>109</v>
      </c>
      <c r="L765" s="2" t="s">
        <v>2742</v>
      </c>
      <c r="M765" s="7" t="s">
        <v>2743</v>
      </c>
      <c r="N765" s="7" t="s">
        <v>2744</v>
      </c>
      <c r="O765" s="2"/>
      <c r="P765" s="2"/>
      <c r="Q765" s="2" t="str">
        <f>IF(SUMPRODUCT(--ISNUMBER(SEARCH('National Domains'!$A$2:$A$48,L765)))&gt;0,"Yes","No")</f>
        <v>Yes</v>
      </c>
      <c r="R765" s="2" t="str">
        <f>IF(COUNTIFS(Calibration!$A:$A,A765,Calibration!$B:$B,B765)&gt;0,"Yes","No")</f>
        <v>No</v>
      </c>
      <c r="S765" s="6"/>
    </row>
    <row r="766" spans="1:19" ht="34.5" customHeight="1" x14ac:dyDescent="0.2">
      <c r="A766" s="2">
        <v>194</v>
      </c>
      <c r="B766" s="2">
        <v>11</v>
      </c>
      <c r="C766" s="2" t="s">
        <v>350</v>
      </c>
      <c r="D766" s="2" t="s">
        <v>25</v>
      </c>
      <c r="E766" s="2">
        <v>20190315</v>
      </c>
      <c r="F766" s="2">
        <v>20190731</v>
      </c>
      <c r="G766" s="2">
        <v>7649.6</v>
      </c>
      <c r="H766" s="2">
        <v>6169</v>
      </c>
      <c r="I766" s="2">
        <v>4</v>
      </c>
      <c r="J766" s="2" t="s">
        <v>351</v>
      </c>
      <c r="K766" s="2" t="s">
        <v>109</v>
      </c>
      <c r="L766" s="2" t="s">
        <v>2745</v>
      </c>
      <c r="M766" s="7" t="s">
        <v>2746</v>
      </c>
      <c r="N766" s="7" t="s">
        <v>2747</v>
      </c>
      <c r="O766" s="2"/>
      <c r="P766" s="2"/>
      <c r="Q766" s="2" t="str">
        <f>IF(SUMPRODUCT(--ISNUMBER(SEARCH('National Domains'!$A$2:$A$48,L766)))&gt;0,"Yes","No")</f>
        <v>No</v>
      </c>
      <c r="R766" s="2" t="str">
        <f>IF(COUNTIFS(Calibration!$A:$A,A766,Calibration!$B:$B,B766)&gt;0,"Yes","No")</f>
        <v>No</v>
      </c>
      <c r="S766" s="6"/>
    </row>
    <row r="767" spans="1:19" ht="34.5" customHeight="1" x14ac:dyDescent="0.2">
      <c r="A767" s="4">
        <v>194</v>
      </c>
      <c r="B767" s="4">
        <v>12</v>
      </c>
      <c r="C767" s="4" t="s">
        <v>350</v>
      </c>
      <c r="D767" s="4" t="s">
        <v>25</v>
      </c>
      <c r="E767" s="4">
        <v>20190315</v>
      </c>
      <c r="F767" s="4">
        <v>20190731</v>
      </c>
      <c r="G767" s="4">
        <v>7649.6</v>
      </c>
      <c r="H767" s="4">
        <v>6169</v>
      </c>
      <c r="I767" s="4">
        <v>4</v>
      </c>
      <c r="J767" s="4" t="s">
        <v>351</v>
      </c>
      <c r="K767" s="4" t="s">
        <v>109</v>
      </c>
      <c r="L767" s="4" t="s">
        <v>2748</v>
      </c>
      <c r="M767" s="5" t="s">
        <v>2749</v>
      </c>
      <c r="N767" s="5" t="s">
        <v>2750</v>
      </c>
      <c r="O767" s="4"/>
      <c r="P767" s="4"/>
      <c r="Q767" s="4" t="str">
        <f>IF(SUMPRODUCT(--ISNUMBER(SEARCH('National Domains'!$A$2:$A$48,L767)))&gt;0,"Yes","No")</f>
        <v>Yes</v>
      </c>
      <c r="R767" s="4" t="str">
        <f>IF(COUNTIFS(Calibration!$A:$A,A767,Calibration!$B:$B,B767)&gt;0,"Yes","No")</f>
        <v>Yes</v>
      </c>
      <c r="S767" s="6"/>
    </row>
    <row r="768" spans="1:19" ht="34.5" customHeight="1" x14ac:dyDescent="0.2">
      <c r="A768" s="2">
        <v>195</v>
      </c>
      <c r="B768" s="2">
        <v>1</v>
      </c>
      <c r="C768" s="2" t="s">
        <v>352</v>
      </c>
      <c r="D768" s="2" t="s">
        <v>39</v>
      </c>
      <c r="E768" s="2">
        <v>20190828</v>
      </c>
      <c r="F768" s="2">
        <v>20190906</v>
      </c>
      <c r="G768" s="2">
        <v>1980.3</v>
      </c>
      <c r="H768" s="2">
        <v>1610</v>
      </c>
      <c r="I768" s="2">
        <v>10</v>
      </c>
      <c r="J768" s="2" t="s">
        <v>333</v>
      </c>
      <c r="K768" s="2" t="s">
        <v>27</v>
      </c>
      <c r="L768" s="2" t="s">
        <v>2751</v>
      </c>
      <c r="M768" s="7" t="s">
        <v>2752</v>
      </c>
      <c r="N768" s="7" t="s">
        <v>2753</v>
      </c>
      <c r="O768" s="2"/>
      <c r="P768" s="2"/>
      <c r="Q768" s="2" t="str">
        <f>IF(SUMPRODUCT(--ISNUMBER(SEARCH('National Domains'!$A$2:$A$48,L768)))&gt;0,"Yes","No")</f>
        <v>No</v>
      </c>
      <c r="R768" s="2" t="str">
        <f>IF(COUNTIFS(Calibration!$A:$A,A768,Calibration!$B:$B,B768)&gt;0,"Yes","No")</f>
        <v>No</v>
      </c>
      <c r="S768" s="6"/>
    </row>
    <row r="769" spans="1:19" ht="34.5" customHeight="1" x14ac:dyDescent="0.2">
      <c r="A769" s="2">
        <v>195</v>
      </c>
      <c r="B769" s="2">
        <v>2</v>
      </c>
      <c r="C769" s="2" t="s">
        <v>352</v>
      </c>
      <c r="D769" s="2" t="s">
        <v>39</v>
      </c>
      <c r="E769" s="2">
        <v>20190828</v>
      </c>
      <c r="F769" s="2">
        <v>20190906</v>
      </c>
      <c r="G769" s="2">
        <v>1980.3</v>
      </c>
      <c r="H769" s="2">
        <v>1610</v>
      </c>
      <c r="I769" s="2">
        <v>10</v>
      </c>
      <c r="J769" s="2" t="s">
        <v>333</v>
      </c>
      <c r="K769" s="2" t="s">
        <v>27</v>
      </c>
      <c r="L769" s="2" t="s">
        <v>2754</v>
      </c>
      <c r="M769" s="7" t="s">
        <v>2755</v>
      </c>
      <c r="N769" s="7" t="s">
        <v>2756</v>
      </c>
      <c r="O769" s="2"/>
      <c r="P769" s="2"/>
      <c r="Q769" s="2" t="str">
        <f>IF(SUMPRODUCT(--ISNUMBER(SEARCH('National Domains'!$A$2:$A$48,L769)))&gt;0,"Yes","No")</f>
        <v>No</v>
      </c>
      <c r="R769" s="2" t="str">
        <f>IF(COUNTIFS(Calibration!$A:$A,A769,Calibration!$B:$B,B769)&gt;0,"Yes","No")</f>
        <v>No</v>
      </c>
      <c r="S769" s="6"/>
    </row>
    <row r="770" spans="1:19" ht="34.5" customHeight="1" x14ac:dyDescent="0.2">
      <c r="A770" s="2">
        <v>195</v>
      </c>
      <c r="B770" s="2">
        <v>3</v>
      </c>
      <c r="C770" s="2" t="s">
        <v>352</v>
      </c>
      <c r="D770" s="2" t="s">
        <v>39</v>
      </c>
      <c r="E770" s="2">
        <v>20190828</v>
      </c>
      <c r="F770" s="2">
        <v>20190906</v>
      </c>
      <c r="G770" s="2">
        <v>1980.3</v>
      </c>
      <c r="H770" s="2">
        <v>1610</v>
      </c>
      <c r="I770" s="2">
        <v>10</v>
      </c>
      <c r="J770" s="2" t="s">
        <v>333</v>
      </c>
      <c r="K770" s="2" t="s">
        <v>27</v>
      </c>
      <c r="L770" s="2" t="s">
        <v>2757</v>
      </c>
      <c r="M770" s="7" t="s">
        <v>2758</v>
      </c>
      <c r="N770" s="7" t="s">
        <v>2759</v>
      </c>
      <c r="O770" s="2"/>
      <c r="P770" s="2"/>
      <c r="Q770" s="2" t="str">
        <f>IF(SUMPRODUCT(--ISNUMBER(SEARCH('National Domains'!$A$2:$A$48,L770)))&gt;0,"Yes","No")</f>
        <v>No</v>
      </c>
      <c r="R770" s="2" t="str">
        <f>IF(COUNTIFS(Calibration!$A:$A,A770,Calibration!$B:$B,B770)&gt;0,"Yes","No")</f>
        <v>No</v>
      </c>
      <c r="S770" s="6"/>
    </row>
    <row r="771" spans="1:19" ht="34.5" customHeight="1" x14ac:dyDescent="0.2">
      <c r="A771" s="2">
        <v>195</v>
      </c>
      <c r="B771" s="2">
        <v>4</v>
      </c>
      <c r="C771" s="2" t="s">
        <v>352</v>
      </c>
      <c r="D771" s="2" t="s">
        <v>39</v>
      </c>
      <c r="E771" s="2">
        <v>20190828</v>
      </c>
      <c r="F771" s="2">
        <v>20190906</v>
      </c>
      <c r="G771" s="2">
        <v>1980.3</v>
      </c>
      <c r="H771" s="2">
        <v>1610</v>
      </c>
      <c r="I771" s="2">
        <v>10</v>
      </c>
      <c r="J771" s="2" t="s">
        <v>333</v>
      </c>
      <c r="K771" s="2" t="s">
        <v>27</v>
      </c>
      <c r="L771" s="2" t="s">
        <v>2760</v>
      </c>
      <c r="M771" s="7" t="s">
        <v>2761</v>
      </c>
      <c r="N771" s="7" t="s">
        <v>2762</v>
      </c>
      <c r="O771" s="2"/>
      <c r="P771" s="2"/>
      <c r="Q771" s="2" t="str">
        <f>IF(SUMPRODUCT(--ISNUMBER(SEARCH('National Domains'!$A$2:$A$48,L771)))&gt;0,"Yes","No")</f>
        <v>No</v>
      </c>
      <c r="R771" s="2" t="str">
        <f>IF(COUNTIFS(Calibration!$A:$A,A771,Calibration!$B:$B,B771)&gt;0,"Yes","No")</f>
        <v>No</v>
      </c>
      <c r="S771" s="6"/>
    </row>
    <row r="772" spans="1:19" ht="34.5" customHeight="1" x14ac:dyDescent="0.2">
      <c r="A772" s="2">
        <v>195</v>
      </c>
      <c r="B772" s="2">
        <v>5</v>
      </c>
      <c r="C772" s="2" t="s">
        <v>352</v>
      </c>
      <c r="D772" s="2" t="s">
        <v>39</v>
      </c>
      <c r="E772" s="2">
        <v>20190828</v>
      </c>
      <c r="F772" s="2">
        <v>20190906</v>
      </c>
      <c r="G772" s="2">
        <v>1980.3</v>
      </c>
      <c r="H772" s="2">
        <v>1610</v>
      </c>
      <c r="I772" s="2">
        <v>10</v>
      </c>
      <c r="J772" s="2" t="s">
        <v>333</v>
      </c>
      <c r="K772" s="2" t="s">
        <v>27</v>
      </c>
      <c r="L772" s="2" t="s">
        <v>2763</v>
      </c>
      <c r="M772" s="7" t="s">
        <v>2764</v>
      </c>
      <c r="N772" s="7" t="s">
        <v>2765</v>
      </c>
      <c r="O772" s="2"/>
      <c r="P772" s="2"/>
      <c r="Q772" s="2" t="str">
        <f>IF(SUMPRODUCT(--ISNUMBER(SEARCH('National Domains'!$A$2:$A$48,L772)))&gt;0,"Yes","No")</f>
        <v>No</v>
      </c>
      <c r="R772" s="2" t="str">
        <f>IF(COUNTIFS(Calibration!$A:$A,A772,Calibration!$B:$B,B772)&gt;0,"Yes","No")</f>
        <v>No</v>
      </c>
      <c r="S772" s="6"/>
    </row>
    <row r="773" spans="1:19" ht="34.5" customHeight="1" x14ac:dyDescent="0.2">
      <c r="A773" s="2">
        <v>195</v>
      </c>
      <c r="B773" s="2">
        <v>6</v>
      </c>
      <c r="C773" s="2" t="s">
        <v>352</v>
      </c>
      <c r="D773" s="2" t="s">
        <v>39</v>
      </c>
      <c r="E773" s="2">
        <v>20190828</v>
      </c>
      <c r="F773" s="2">
        <v>20190906</v>
      </c>
      <c r="G773" s="2">
        <v>1980.3</v>
      </c>
      <c r="H773" s="2">
        <v>1610</v>
      </c>
      <c r="I773" s="2">
        <v>10</v>
      </c>
      <c r="J773" s="2" t="s">
        <v>333</v>
      </c>
      <c r="K773" s="2" t="s">
        <v>27</v>
      </c>
      <c r="L773" s="2" t="s">
        <v>2766</v>
      </c>
      <c r="M773" s="7" t="s">
        <v>2767</v>
      </c>
      <c r="N773" s="7" t="s">
        <v>2768</v>
      </c>
      <c r="O773" s="2"/>
      <c r="P773" s="2"/>
      <c r="Q773" s="2" t="str">
        <f>IF(SUMPRODUCT(--ISNUMBER(SEARCH('National Domains'!$A$2:$A$48,L773)))&gt;0,"Yes","No")</f>
        <v>No</v>
      </c>
      <c r="R773" s="2" t="str">
        <f>IF(COUNTIFS(Calibration!$A:$A,A773,Calibration!$B:$B,B773)&gt;0,"Yes","No")</f>
        <v>No</v>
      </c>
      <c r="S773" s="6"/>
    </row>
    <row r="774" spans="1:19" ht="34.5" customHeight="1" x14ac:dyDescent="0.2">
      <c r="A774" s="2">
        <v>195</v>
      </c>
      <c r="B774" s="2">
        <v>7</v>
      </c>
      <c r="C774" s="2" t="s">
        <v>352</v>
      </c>
      <c r="D774" s="2" t="s">
        <v>39</v>
      </c>
      <c r="E774" s="2">
        <v>20190828</v>
      </c>
      <c r="F774" s="2">
        <v>20190906</v>
      </c>
      <c r="G774" s="2">
        <v>1980.3</v>
      </c>
      <c r="H774" s="2">
        <v>1610</v>
      </c>
      <c r="I774" s="2">
        <v>10</v>
      </c>
      <c r="J774" s="2" t="s">
        <v>333</v>
      </c>
      <c r="K774" s="2" t="s">
        <v>27</v>
      </c>
      <c r="L774" s="2" t="s">
        <v>2769</v>
      </c>
      <c r="M774" s="7" t="s">
        <v>2770</v>
      </c>
      <c r="N774" s="7" t="s">
        <v>2771</v>
      </c>
      <c r="O774" s="2"/>
      <c r="P774" s="2"/>
      <c r="Q774" s="2" t="str">
        <f>IF(SUMPRODUCT(--ISNUMBER(SEARCH('National Domains'!$A$2:$A$48,L774)))&gt;0,"Yes","No")</f>
        <v>No</v>
      </c>
      <c r="R774" s="2" t="str">
        <f>IF(COUNTIFS(Calibration!$A:$A,A774,Calibration!$B:$B,B774)&gt;0,"Yes","No")</f>
        <v>No</v>
      </c>
      <c r="S774" s="6"/>
    </row>
    <row r="775" spans="1:19" ht="34.5" customHeight="1" x14ac:dyDescent="0.2">
      <c r="A775" s="2">
        <v>195</v>
      </c>
      <c r="B775" s="2">
        <v>8</v>
      </c>
      <c r="C775" s="2" t="s">
        <v>352</v>
      </c>
      <c r="D775" s="2" t="s">
        <v>39</v>
      </c>
      <c r="E775" s="2">
        <v>20190828</v>
      </c>
      <c r="F775" s="2">
        <v>20190906</v>
      </c>
      <c r="G775" s="2">
        <v>1980.3</v>
      </c>
      <c r="H775" s="2">
        <v>1610</v>
      </c>
      <c r="I775" s="2">
        <v>10</v>
      </c>
      <c r="J775" s="2" t="s">
        <v>333</v>
      </c>
      <c r="K775" s="2" t="s">
        <v>27</v>
      </c>
      <c r="L775" s="2" t="s">
        <v>2772</v>
      </c>
      <c r="M775" s="7" t="s">
        <v>2773</v>
      </c>
      <c r="N775" s="7" t="s">
        <v>2774</v>
      </c>
      <c r="O775" s="2"/>
      <c r="P775" s="2"/>
      <c r="Q775" s="2" t="str">
        <f>IF(SUMPRODUCT(--ISNUMBER(SEARCH('National Domains'!$A$2:$A$48,L775)))&gt;0,"Yes","No")</f>
        <v>No</v>
      </c>
      <c r="R775" s="2" t="str">
        <f>IF(COUNTIFS(Calibration!$A:$A,A775,Calibration!$B:$B,B775)&gt;0,"Yes","No")</f>
        <v>No</v>
      </c>
      <c r="S775" s="6"/>
    </row>
    <row r="776" spans="1:19" ht="34.5" customHeight="1" x14ac:dyDescent="0.2">
      <c r="A776" s="2">
        <v>195</v>
      </c>
      <c r="B776" s="2">
        <v>9</v>
      </c>
      <c r="C776" s="2" t="s">
        <v>352</v>
      </c>
      <c r="D776" s="2" t="s">
        <v>39</v>
      </c>
      <c r="E776" s="2">
        <v>20190828</v>
      </c>
      <c r="F776" s="2">
        <v>20190906</v>
      </c>
      <c r="G776" s="2">
        <v>1980.3</v>
      </c>
      <c r="H776" s="2">
        <v>1610</v>
      </c>
      <c r="I776" s="2">
        <v>10</v>
      </c>
      <c r="J776" s="2" t="s">
        <v>333</v>
      </c>
      <c r="K776" s="2" t="s">
        <v>27</v>
      </c>
      <c r="L776" s="2" t="s">
        <v>2775</v>
      </c>
      <c r="M776" s="7" t="s">
        <v>2776</v>
      </c>
      <c r="N776" s="7" t="s">
        <v>2777</v>
      </c>
      <c r="O776" s="2"/>
      <c r="P776" s="2"/>
      <c r="Q776" s="2" t="str">
        <f>IF(SUMPRODUCT(--ISNUMBER(SEARCH('National Domains'!$A$2:$A$48,L776)))&gt;0,"Yes","No")</f>
        <v>No</v>
      </c>
      <c r="R776" s="2" t="str">
        <f>IF(COUNTIFS(Calibration!$A:$A,A776,Calibration!$B:$B,B776)&gt;0,"Yes","No")</f>
        <v>No</v>
      </c>
      <c r="S776" s="6"/>
    </row>
    <row r="777" spans="1:19" ht="34.5" customHeight="1" x14ac:dyDescent="0.2">
      <c r="A777" s="2">
        <v>195</v>
      </c>
      <c r="B777" s="2">
        <v>10</v>
      </c>
      <c r="C777" s="2" t="s">
        <v>352</v>
      </c>
      <c r="D777" s="2" t="s">
        <v>39</v>
      </c>
      <c r="E777" s="2">
        <v>20190828</v>
      </c>
      <c r="F777" s="2">
        <v>20190906</v>
      </c>
      <c r="G777" s="2">
        <v>1980.3</v>
      </c>
      <c r="H777" s="2">
        <v>1610</v>
      </c>
      <c r="I777" s="2">
        <v>10</v>
      </c>
      <c r="J777" s="2" t="s">
        <v>333</v>
      </c>
      <c r="K777" s="2" t="s">
        <v>27</v>
      </c>
      <c r="L777" s="2" t="s">
        <v>2778</v>
      </c>
      <c r="M777" s="7" t="s">
        <v>2779</v>
      </c>
      <c r="N777" s="7" t="s">
        <v>2780</v>
      </c>
      <c r="O777" s="2"/>
      <c r="P777" s="2"/>
      <c r="Q777" s="2" t="str">
        <f>IF(SUMPRODUCT(--ISNUMBER(SEARCH('National Domains'!$A$2:$A$48,L777)))&gt;0,"Yes","No")</f>
        <v>No</v>
      </c>
      <c r="R777" s="2" t="str">
        <f>IF(COUNTIFS(Calibration!$A:$A,A777,Calibration!$B:$B,B777)&gt;0,"Yes","No")</f>
        <v>No</v>
      </c>
      <c r="S777" s="6"/>
    </row>
    <row r="778" spans="1:19" ht="34.5" customHeight="1" x14ac:dyDescent="0.2">
      <c r="A778" s="2">
        <v>195</v>
      </c>
      <c r="B778" s="2">
        <v>11</v>
      </c>
      <c r="C778" s="2" t="s">
        <v>352</v>
      </c>
      <c r="D778" s="2" t="s">
        <v>39</v>
      </c>
      <c r="E778" s="2">
        <v>20190828</v>
      </c>
      <c r="F778" s="2">
        <v>20190906</v>
      </c>
      <c r="G778" s="2">
        <v>1980.3</v>
      </c>
      <c r="H778" s="2">
        <v>1610</v>
      </c>
      <c r="I778" s="2">
        <v>10</v>
      </c>
      <c r="J778" s="2" t="s">
        <v>333</v>
      </c>
      <c r="K778" s="2" t="s">
        <v>27</v>
      </c>
      <c r="L778" s="2" t="s">
        <v>2781</v>
      </c>
      <c r="M778" s="7" t="s">
        <v>2782</v>
      </c>
      <c r="N778" s="7" t="s">
        <v>2783</v>
      </c>
      <c r="O778" s="2"/>
      <c r="P778" s="2"/>
      <c r="Q778" s="2" t="str">
        <f>IF(SUMPRODUCT(--ISNUMBER(SEARCH('National Domains'!$A$2:$A$48,L778)))&gt;0,"Yes","No")</f>
        <v>No</v>
      </c>
      <c r="R778" s="2" t="str">
        <f>IF(COUNTIFS(Calibration!$A:$A,A778,Calibration!$B:$B,B778)&gt;0,"Yes","No")</f>
        <v>No</v>
      </c>
      <c r="S778" s="6"/>
    </row>
    <row r="779" spans="1:19" ht="34.5" customHeight="1" x14ac:dyDescent="0.2">
      <c r="A779" s="2">
        <v>195</v>
      </c>
      <c r="B779" s="2">
        <v>12</v>
      </c>
      <c r="C779" s="2" t="s">
        <v>352</v>
      </c>
      <c r="D779" s="2" t="s">
        <v>39</v>
      </c>
      <c r="E779" s="2">
        <v>20190828</v>
      </c>
      <c r="F779" s="2">
        <v>20190906</v>
      </c>
      <c r="G779" s="2">
        <v>1980.3</v>
      </c>
      <c r="H779" s="2">
        <v>1610</v>
      </c>
      <c r="I779" s="2">
        <v>10</v>
      </c>
      <c r="J779" s="2" t="s">
        <v>333</v>
      </c>
      <c r="K779" s="2" t="s">
        <v>27</v>
      </c>
      <c r="L779" s="2" t="s">
        <v>2784</v>
      </c>
      <c r="M779" s="7" t="s">
        <v>2785</v>
      </c>
      <c r="N779" s="7" t="s">
        <v>2786</v>
      </c>
      <c r="O779" s="2"/>
      <c r="P779" s="2"/>
      <c r="Q779" s="2" t="str">
        <f>IF(SUMPRODUCT(--ISNUMBER(SEARCH('National Domains'!$A$2:$A$48,L779)))&gt;0,"Yes","No")</f>
        <v>No</v>
      </c>
      <c r="R779" s="2" t="str">
        <f>IF(COUNTIFS(Calibration!$A:$A,A779,Calibration!$B:$B,B779)&gt;0,"Yes","No")</f>
        <v>No</v>
      </c>
      <c r="S779" s="6"/>
    </row>
    <row r="780" spans="1:19" ht="34.5" customHeight="1" x14ac:dyDescent="0.2">
      <c r="A780" s="2">
        <v>195</v>
      </c>
      <c r="B780" s="2">
        <v>13</v>
      </c>
      <c r="C780" s="2" t="s">
        <v>352</v>
      </c>
      <c r="D780" s="2" t="s">
        <v>39</v>
      </c>
      <c r="E780" s="2">
        <v>20190828</v>
      </c>
      <c r="F780" s="2">
        <v>20190906</v>
      </c>
      <c r="G780" s="2">
        <v>1980.3</v>
      </c>
      <c r="H780" s="2">
        <v>1610</v>
      </c>
      <c r="I780" s="2">
        <v>10</v>
      </c>
      <c r="J780" s="2" t="s">
        <v>333</v>
      </c>
      <c r="K780" s="2" t="s">
        <v>27</v>
      </c>
      <c r="L780" s="2" t="s">
        <v>2787</v>
      </c>
      <c r="M780" s="7" t="s">
        <v>2788</v>
      </c>
      <c r="N780" s="7" t="s">
        <v>2789</v>
      </c>
      <c r="O780" s="2"/>
      <c r="P780" s="2"/>
      <c r="Q780" s="2" t="str">
        <f>IF(SUMPRODUCT(--ISNUMBER(SEARCH('National Domains'!$A$2:$A$48,L780)))&gt;0,"Yes","No")</f>
        <v>No</v>
      </c>
      <c r="R780" s="2" t="str">
        <f>IF(COUNTIFS(Calibration!$A:$A,A780,Calibration!$B:$B,B780)&gt;0,"Yes","No")</f>
        <v>No</v>
      </c>
      <c r="S780" s="6"/>
    </row>
    <row r="781" spans="1:19" ht="34.5" customHeight="1" x14ac:dyDescent="0.2">
      <c r="A781" s="2">
        <v>195</v>
      </c>
      <c r="B781" s="2">
        <v>14</v>
      </c>
      <c r="C781" s="2" t="s">
        <v>352</v>
      </c>
      <c r="D781" s="2" t="s">
        <v>39</v>
      </c>
      <c r="E781" s="2">
        <v>20190828</v>
      </c>
      <c r="F781" s="2">
        <v>20190906</v>
      </c>
      <c r="G781" s="2">
        <v>1980.3</v>
      </c>
      <c r="H781" s="2">
        <v>1610</v>
      </c>
      <c r="I781" s="2">
        <v>10</v>
      </c>
      <c r="J781" s="2" t="s">
        <v>333</v>
      </c>
      <c r="K781" s="2" t="s">
        <v>27</v>
      </c>
      <c r="L781" s="2" t="s">
        <v>2790</v>
      </c>
      <c r="M781" s="7" t="s">
        <v>2791</v>
      </c>
      <c r="N781" s="7" t="s">
        <v>2792</v>
      </c>
      <c r="O781" s="2"/>
      <c r="P781" s="2"/>
      <c r="Q781" s="2" t="str">
        <f>IF(SUMPRODUCT(--ISNUMBER(SEARCH('National Domains'!$A$2:$A$48,L781)))&gt;0,"Yes","No")</f>
        <v>No</v>
      </c>
      <c r="R781" s="2" t="str">
        <f>IF(COUNTIFS(Calibration!$A:$A,A781,Calibration!$B:$B,B781)&gt;0,"Yes","No")</f>
        <v>No</v>
      </c>
      <c r="S781" s="6"/>
    </row>
    <row r="782" spans="1:19" ht="34.5" customHeight="1" x14ac:dyDescent="0.2">
      <c r="A782" s="2">
        <v>195</v>
      </c>
      <c r="B782" s="2">
        <v>15</v>
      </c>
      <c r="C782" s="2" t="s">
        <v>352</v>
      </c>
      <c r="D782" s="2" t="s">
        <v>39</v>
      </c>
      <c r="E782" s="2">
        <v>20190828</v>
      </c>
      <c r="F782" s="2">
        <v>20190906</v>
      </c>
      <c r="G782" s="2">
        <v>1980.3</v>
      </c>
      <c r="H782" s="2">
        <v>1610</v>
      </c>
      <c r="I782" s="2">
        <v>10</v>
      </c>
      <c r="J782" s="2" t="s">
        <v>333</v>
      </c>
      <c r="K782" s="2" t="s">
        <v>27</v>
      </c>
      <c r="L782" s="2" t="s">
        <v>2793</v>
      </c>
      <c r="M782" s="7" t="s">
        <v>2794</v>
      </c>
      <c r="N782" s="7" t="s">
        <v>2795</v>
      </c>
      <c r="O782" s="2"/>
      <c r="P782" s="2"/>
      <c r="Q782" s="2" t="str">
        <f>IF(SUMPRODUCT(--ISNUMBER(SEARCH('National Domains'!$A$2:$A$48,L782)))&gt;0,"Yes","No")</f>
        <v>Yes</v>
      </c>
      <c r="R782" s="2" t="str">
        <f>IF(COUNTIFS(Calibration!$A:$A,A782,Calibration!$B:$B,B782)&gt;0,"Yes","No")</f>
        <v>No</v>
      </c>
      <c r="S782" s="6"/>
    </row>
    <row r="783" spans="1:19" ht="23.25" customHeight="1" x14ac:dyDescent="0.2">
      <c r="A783" s="2">
        <v>195</v>
      </c>
      <c r="B783" s="2">
        <v>16</v>
      </c>
      <c r="C783" s="2" t="s">
        <v>352</v>
      </c>
      <c r="D783" s="2" t="s">
        <v>39</v>
      </c>
      <c r="E783" s="2">
        <v>20190828</v>
      </c>
      <c r="F783" s="2">
        <v>20190906</v>
      </c>
      <c r="G783" s="2">
        <v>1980.3</v>
      </c>
      <c r="H783" s="2">
        <v>1610</v>
      </c>
      <c r="I783" s="2">
        <v>10</v>
      </c>
      <c r="J783" s="2" t="s">
        <v>333</v>
      </c>
      <c r="K783" s="2" t="s">
        <v>27</v>
      </c>
      <c r="L783" s="2" t="s">
        <v>2796</v>
      </c>
      <c r="M783" s="7" t="s">
        <v>2797</v>
      </c>
      <c r="N783" s="7" t="s">
        <v>2798</v>
      </c>
      <c r="O783" s="2"/>
      <c r="P783" s="2"/>
      <c r="Q783" s="2" t="str">
        <f>IF(SUMPRODUCT(--ISNUMBER(SEARCH('National Domains'!$A$2:$A$48,L783)))&gt;0,"Yes","No")</f>
        <v>Yes</v>
      </c>
      <c r="R783" s="2" t="str">
        <f>IF(COUNTIFS(Calibration!$A:$A,A783,Calibration!$B:$B,B783)&gt;0,"Yes","No")</f>
        <v>No</v>
      </c>
      <c r="S783" s="6"/>
    </row>
    <row r="784" spans="1:19" ht="34.5" customHeight="1" x14ac:dyDescent="0.2">
      <c r="A784" s="2">
        <v>195</v>
      </c>
      <c r="B784" s="2">
        <v>17</v>
      </c>
      <c r="C784" s="2" t="s">
        <v>352</v>
      </c>
      <c r="D784" s="2" t="s">
        <v>39</v>
      </c>
      <c r="E784" s="2">
        <v>20190828</v>
      </c>
      <c r="F784" s="2">
        <v>20190906</v>
      </c>
      <c r="G784" s="2">
        <v>1980.3</v>
      </c>
      <c r="H784" s="2">
        <v>1610</v>
      </c>
      <c r="I784" s="2">
        <v>10</v>
      </c>
      <c r="J784" s="2" t="s">
        <v>333</v>
      </c>
      <c r="K784" s="2" t="s">
        <v>27</v>
      </c>
      <c r="L784" s="2" t="s">
        <v>2799</v>
      </c>
      <c r="M784" s="7" t="s">
        <v>2800</v>
      </c>
      <c r="N784" s="7" t="s">
        <v>2801</v>
      </c>
      <c r="O784" s="2"/>
      <c r="P784" s="2"/>
      <c r="Q784" s="2" t="str">
        <f>IF(SUMPRODUCT(--ISNUMBER(SEARCH('National Domains'!$A$2:$A$48,L784)))&gt;0,"Yes","No")</f>
        <v>Yes</v>
      </c>
      <c r="R784" s="2" t="str">
        <f>IF(COUNTIFS(Calibration!$A:$A,A784,Calibration!$B:$B,B784)&gt;0,"Yes","No")</f>
        <v>No</v>
      </c>
      <c r="S784" s="6"/>
    </row>
    <row r="785" spans="1:19" ht="34.5" customHeight="1" x14ac:dyDescent="0.2">
      <c r="A785" s="2">
        <v>195</v>
      </c>
      <c r="B785" s="2">
        <v>18</v>
      </c>
      <c r="C785" s="2" t="s">
        <v>352</v>
      </c>
      <c r="D785" s="2" t="s">
        <v>39</v>
      </c>
      <c r="E785" s="2">
        <v>20190828</v>
      </c>
      <c r="F785" s="2">
        <v>20190906</v>
      </c>
      <c r="G785" s="2">
        <v>1980.3</v>
      </c>
      <c r="H785" s="2">
        <v>1610</v>
      </c>
      <c r="I785" s="2">
        <v>10</v>
      </c>
      <c r="J785" s="2" t="s">
        <v>333</v>
      </c>
      <c r="K785" s="2" t="s">
        <v>27</v>
      </c>
      <c r="L785" s="2" t="s">
        <v>2802</v>
      </c>
      <c r="M785" s="7" t="s">
        <v>2803</v>
      </c>
      <c r="N785" s="7" t="s">
        <v>2804</v>
      </c>
      <c r="O785" s="2"/>
      <c r="P785" s="2"/>
      <c r="Q785" s="2" t="str">
        <f>IF(SUMPRODUCT(--ISNUMBER(SEARCH('National Domains'!$A$2:$A$48,L785)))&gt;0,"Yes","No")</f>
        <v>Yes</v>
      </c>
      <c r="R785" s="2" t="str">
        <f>IF(COUNTIFS(Calibration!$A:$A,A785,Calibration!$B:$B,B785)&gt;0,"Yes","No")</f>
        <v>No</v>
      </c>
      <c r="S785" s="6"/>
    </row>
    <row r="786" spans="1:19" ht="23.25" customHeight="1" x14ac:dyDescent="0.2">
      <c r="A786" s="2">
        <v>195</v>
      </c>
      <c r="B786" s="2">
        <v>19</v>
      </c>
      <c r="C786" s="2" t="s">
        <v>352</v>
      </c>
      <c r="D786" s="2" t="s">
        <v>39</v>
      </c>
      <c r="E786" s="2">
        <v>20190828</v>
      </c>
      <c r="F786" s="2">
        <v>20190906</v>
      </c>
      <c r="G786" s="2">
        <v>1980.3</v>
      </c>
      <c r="H786" s="2">
        <v>1610</v>
      </c>
      <c r="I786" s="2">
        <v>10</v>
      </c>
      <c r="J786" s="2" t="s">
        <v>333</v>
      </c>
      <c r="K786" s="2" t="s">
        <v>27</v>
      </c>
      <c r="L786" s="2" t="s">
        <v>2805</v>
      </c>
      <c r="M786" s="7" t="s">
        <v>2806</v>
      </c>
      <c r="N786" s="7" t="s">
        <v>2807</v>
      </c>
      <c r="O786" s="2"/>
      <c r="P786" s="2"/>
      <c r="Q786" s="2" t="str">
        <f>IF(SUMPRODUCT(--ISNUMBER(SEARCH('National Domains'!$A$2:$A$48,L786)))&gt;0,"Yes","No")</f>
        <v>Yes</v>
      </c>
      <c r="R786" s="2" t="str">
        <f>IF(COUNTIFS(Calibration!$A:$A,A786,Calibration!$B:$B,B786)&gt;0,"Yes","No")</f>
        <v>No</v>
      </c>
      <c r="S786" s="6"/>
    </row>
    <row r="787" spans="1:19" ht="34.5" customHeight="1" x14ac:dyDescent="0.2">
      <c r="A787" s="2">
        <v>195</v>
      </c>
      <c r="B787" s="2">
        <v>20</v>
      </c>
      <c r="C787" s="2" t="s">
        <v>352</v>
      </c>
      <c r="D787" s="2" t="s">
        <v>39</v>
      </c>
      <c r="E787" s="2">
        <v>20190828</v>
      </c>
      <c r="F787" s="2">
        <v>20190906</v>
      </c>
      <c r="G787" s="2">
        <v>1980.3</v>
      </c>
      <c r="H787" s="2">
        <v>1610</v>
      </c>
      <c r="I787" s="2">
        <v>10</v>
      </c>
      <c r="J787" s="2" t="s">
        <v>333</v>
      </c>
      <c r="K787" s="2" t="s">
        <v>27</v>
      </c>
      <c r="L787" s="2" t="s">
        <v>2808</v>
      </c>
      <c r="M787" s="7" t="s">
        <v>2809</v>
      </c>
      <c r="N787" s="7" t="s">
        <v>2810</v>
      </c>
      <c r="O787" s="2"/>
      <c r="P787" s="2"/>
      <c r="Q787" s="2" t="str">
        <f>IF(SUMPRODUCT(--ISNUMBER(SEARCH('National Domains'!$A$2:$A$48,L787)))&gt;0,"Yes","No")</f>
        <v>No</v>
      </c>
      <c r="R787" s="2" t="str">
        <f>IF(COUNTIFS(Calibration!$A:$A,A787,Calibration!$B:$B,B787)&gt;0,"Yes","No")</f>
        <v>No</v>
      </c>
      <c r="S787" s="6"/>
    </row>
    <row r="788" spans="1:19" ht="34.5" customHeight="1" x14ac:dyDescent="0.2">
      <c r="A788" s="2">
        <v>195</v>
      </c>
      <c r="B788" s="2">
        <v>21</v>
      </c>
      <c r="C788" s="2" t="s">
        <v>352</v>
      </c>
      <c r="D788" s="2" t="s">
        <v>39</v>
      </c>
      <c r="E788" s="2">
        <v>20190828</v>
      </c>
      <c r="F788" s="2">
        <v>20190906</v>
      </c>
      <c r="G788" s="2">
        <v>1980.3</v>
      </c>
      <c r="H788" s="2">
        <v>1610</v>
      </c>
      <c r="I788" s="2">
        <v>10</v>
      </c>
      <c r="J788" s="2" t="s">
        <v>333</v>
      </c>
      <c r="K788" s="2" t="s">
        <v>27</v>
      </c>
      <c r="L788" s="2" t="s">
        <v>2811</v>
      </c>
      <c r="M788" s="7" t="s">
        <v>2812</v>
      </c>
      <c r="N788" s="7" t="s">
        <v>2813</v>
      </c>
      <c r="O788" s="2"/>
      <c r="P788" s="2"/>
      <c r="Q788" s="2" t="str">
        <f>IF(SUMPRODUCT(--ISNUMBER(SEARCH('National Domains'!$A$2:$A$48,L788)))&gt;0,"Yes","No")</f>
        <v>No</v>
      </c>
      <c r="R788" s="2" t="str">
        <f>IF(COUNTIFS(Calibration!$A:$A,A788,Calibration!$B:$B,B788)&gt;0,"Yes","No")</f>
        <v>No</v>
      </c>
      <c r="S788" s="6"/>
    </row>
    <row r="789" spans="1:19" ht="34.5" customHeight="1" x14ac:dyDescent="0.2">
      <c r="A789" s="2">
        <v>195</v>
      </c>
      <c r="B789" s="2">
        <v>22</v>
      </c>
      <c r="C789" s="2" t="s">
        <v>352</v>
      </c>
      <c r="D789" s="2" t="s">
        <v>39</v>
      </c>
      <c r="E789" s="2">
        <v>20190828</v>
      </c>
      <c r="F789" s="2">
        <v>20190906</v>
      </c>
      <c r="G789" s="2">
        <v>1980.3</v>
      </c>
      <c r="H789" s="2">
        <v>1610</v>
      </c>
      <c r="I789" s="2">
        <v>10</v>
      </c>
      <c r="J789" s="2" t="s">
        <v>333</v>
      </c>
      <c r="K789" s="2" t="s">
        <v>27</v>
      </c>
      <c r="L789" s="2" t="s">
        <v>2814</v>
      </c>
      <c r="M789" s="7" t="s">
        <v>2815</v>
      </c>
      <c r="N789" s="7" t="s">
        <v>2816</v>
      </c>
      <c r="O789" s="2"/>
      <c r="P789" s="2"/>
      <c r="Q789" s="2" t="str">
        <f>IF(SUMPRODUCT(--ISNUMBER(SEARCH('National Domains'!$A$2:$A$48,L789)))&gt;0,"Yes","No")</f>
        <v>Yes</v>
      </c>
      <c r="R789" s="2" t="str">
        <f>IF(COUNTIFS(Calibration!$A:$A,A789,Calibration!$B:$B,B789)&gt;0,"Yes","No")</f>
        <v>No</v>
      </c>
      <c r="S789" s="6"/>
    </row>
    <row r="790" spans="1:19" ht="34.5" customHeight="1" x14ac:dyDescent="0.2">
      <c r="A790" s="2">
        <v>195</v>
      </c>
      <c r="B790" s="2">
        <v>23</v>
      </c>
      <c r="C790" s="2" t="s">
        <v>352</v>
      </c>
      <c r="D790" s="2" t="s">
        <v>39</v>
      </c>
      <c r="E790" s="2">
        <v>20190828</v>
      </c>
      <c r="F790" s="2">
        <v>20190906</v>
      </c>
      <c r="G790" s="2">
        <v>1980.3</v>
      </c>
      <c r="H790" s="2">
        <v>1610</v>
      </c>
      <c r="I790" s="2">
        <v>10</v>
      </c>
      <c r="J790" s="2" t="s">
        <v>333</v>
      </c>
      <c r="K790" s="2" t="s">
        <v>27</v>
      </c>
      <c r="L790" s="2" t="s">
        <v>2817</v>
      </c>
      <c r="M790" s="7" t="s">
        <v>2818</v>
      </c>
      <c r="N790" s="7" t="s">
        <v>2819</v>
      </c>
      <c r="O790" s="2"/>
      <c r="P790" s="2"/>
      <c r="Q790" s="2" t="str">
        <f>IF(SUMPRODUCT(--ISNUMBER(SEARCH('National Domains'!$A$2:$A$48,L790)))&gt;0,"Yes","No")</f>
        <v>Yes</v>
      </c>
      <c r="R790" s="2" t="str">
        <f>IF(COUNTIFS(Calibration!$A:$A,A790,Calibration!$B:$B,B790)&gt;0,"Yes","No")</f>
        <v>No</v>
      </c>
      <c r="S790" s="6"/>
    </row>
    <row r="791" spans="1:19" ht="34.5" customHeight="1" x14ac:dyDescent="0.2">
      <c r="A791" s="2">
        <v>195</v>
      </c>
      <c r="B791" s="2">
        <v>24</v>
      </c>
      <c r="C791" s="2" t="s">
        <v>352</v>
      </c>
      <c r="D791" s="2" t="s">
        <v>39</v>
      </c>
      <c r="E791" s="2">
        <v>20190828</v>
      </c>
      <c r="F791" s="2">
        <v>20190906</v>
      </c>
      <c r="G791" s="2">
        <v>1980.3</v>
      </c>
      <c r="H791" s="2">
        <v>1610</v>
      </c>
      <c r="I791" s="2">
        <v>10</v>
      </c>
      <c r="J791" s="2" t="s">
        <v>333</v>
      </c>
      <c r="K791" s="2" t="s">
        <v>27</v>
      </c>
      <c r="L791" s="2" t="s">
        <v>2820</v>
      </c>
      <c r="M791" s="7" t="s">
        <v>2821</v>
      </c>
      <c r="N791" s="7" t="s">
        <v>2822</v>
      </c>
      <c r="O791" s="2"/>
      <c r="P791" s="2"/>
      <c r="Q791" s="2" t="str">
        <f>IF(SUMPRODUCT(--ISNUMBER(SEARCH('National Domains'!$A$2:$A$48,L791)))&gt;0,"Yes","No")</f>
        <v>Yes</v>
      </c>
      <c r="R791" s="2" t="str">
        <f>IF(COUNTIFS(Calibration!$A:$A,A791,Calibration!$B:$B,B791)&gt;0,"Yes","No")</f>
        <v>No</v>
      </c>
      <c r="S791" s="6"/>
    </row>
    <row r="792" spans="1:19" ht="34.5" customHeight="1" x14ac:dyDescent="0.2">
      <c r="A792" s="2">
        <v>195</v>
      </c>
      <c r="B792" s="2">
        <v>25</v>
      </c>
      <c r="C792" s="2" t="s">
        <v>352</v>
      </c>
      <c r="D792" s="2" t="s">
        <v>39</v>
      </c>
      <c r="E792" s="2">
        <v>20190828</v>
      </c>
      <c r="F792" s="2">
        <v>20190906</v>
      </c>
      <c r="G792" s="2">
        <v>1980.3</v>
      </c>
      <c r="H792" s="2">
        <v>1610</v>
      </c>
      <c r="I792" s="2">
        <v>10</v>
      </c>
      <c r="J792" s="2" t="s">
        <v>333</v>
      </c>
      <c r="K792" s="2" t="s">
        <v>27</v>
      </c>
      <c r="L792" s="2" t="s">
        <v>2823</v>
      </c>
      <c r="M792" s="7" t="s">
        <v>2824</v>
      </c>
      <c r="N792" s="7" t="s">
        <v>2825</v>
      </c>
      <c r="O792" s="2"/>
      <c r="P792" s="2"/>
      <c r="Q792" s="2" t="str">
        <f>IF(SUMPRODUCT(--ISNUMBER(SEARCH('National Domains'!$A$2:$A$48,L792)))&gt;0,"Yes","No")</f>
        <v>Yes</v>
      </c>
      <c r="R792" s="2" t="str">
        <f>IF(COUNTIFS(Calibration!$A:$A,A792,Calibration!$B:$B,B792)&gt;0,"Yes","No")</f>
        <v>No</v>
      </c>
      <c r="S792" s="6"/>
    </row>
    <row r="793" spans="1:19" ht="34.5" customHeight="1" x14ac:dyDescent="0.2">
      <c r="A793" s="2">
        <v>195</v>
      </c>
      <c r="B793" s="2">
        <v>26</v>
      </c>
      <c r="C793" s="2" t="s">
        <v>352</v>
      </c>
      <c r="D793" s="2" t="s">
        <v>39</v>
      </c>
      <c r="E793" s="2">
        <v>20190828</v>
      </c>
      <c r="F793" s="2">
        <v>20190906</v>
      </c>
      <c r="G793" s="2">
        <v>1980.3</v>
      </c>
      <c r="H793" s="2">
        <v>1610</v>
      </c>
      <c r="I793" s="2">
        <v>10</v>
      </c>
      <c r="J793" s="2" t="s">
        <v>333</v>
      </c>
      <c r="K793" s="2" t="s">
        <v>27</v>
      </c>
      <c r="L793" s="2" t="s">
        <v>2826</v>
      </c>
      <c r="M793" s="7" t="s">
        <v>2827</v>
      </c>
      <c r="N793" s="7" t="s">
        <v>2828</v>
      </c>
      <c r="O793" s="2"/>
      <c r="P793" s="2"/>
      <c r="Q793" s="2" t="str">
        <f>IF(SUMPRODUCT(--ISNUMBER(SEARCH('National Domains'!$A$2:$A$48,L793)))&gt;0,"Yes","No")</f>
        <v>No</v>
      </c>
      <c r="R793" s="2" t="str">
        <f>IF(COUNTIFS(Calibration!$A:$A,A793,Calibration!$B:$B,B793)&gt;0,"Yes","No")</f>
        <v>No</v>
      </c>
      <c r="S793" s="6"/>
    </row>
    <row r="794" spans="1:19" ht="34.5" customHeight="1" x14ac:dyDescent="0.2">
      <c r="A794" s="2">
        <v>195</v>
      </c>
      <c r="B794" s="2">
        <v>27</v>
      </c>
      <c r="C794" s="2" t="s">
        <v>352</v>
      </c>
      <c r="D794" s="2" t="s">
        <v>39</v>
      </c>
      <c r="E794" s="2">
        <v>20190828</v>
      </c>
      <c r="F794" s="2">
        <v>20190906</v>
      </c>
      <c r="G794" s="2">
        <v>1980.3</v>
      </c>
      <c r="H794" s="2">
        <v>1610</v>
      </c>
      <c r="I794" s="2">
        <v>10</v>
      </c>
      <c r="J794" s="2" t="s">
        <v>333</v>
      </c>
      <c r="K794" s="2" t="s">
        <v>27</v>
      </c>
      <c r="L794" s="2" t="s">
        <v>2829</v>
      </c>
      <c r="M794" s="7" t="s">
        <v>2830</v>
      </c>
      <c r="N794" s="7" t="s">
        <v>2831</v>
      </c>
      <c r="O794" s="2"/>
      <c r="P794" s="2"/>
      <c r="Q794" s="2" t="str">
        <f>IF(SUMPRODUCT(--ISNUMBER(SEARCH('National Domains'!$A$2:$A$48,L794)))&gt;0,"Yes","No")</f>
        <v>No</v>
      </c>
      <c r="R794" s="2" t="str">
        <f>IF(COUNTIFS(Calibration!$A:$A,A794,Calibration!$B:$B,B794)&gt;0,"Yes","No")</f>
        <v>No</v>
      </c>
      <c r="S794" s="6"/>
    </row>
    <row r="795" spans="1:19" ht="34.5" customHeight="1" x14ac:dyDescent="0.2">
      <c r="A795" s="2">
        <v>195</v>
      </c>
      <c r="B795" s="2">
        <v>28</v>
      </c>
      <c r="C795" s="2" t="s">
        <v>352</v>
      </c>
      <c r="D795" s="2" t="s">
        <v>39</v>
      </c>
      <c r="E795" s="2">
        <v>20190828</v>
      </c>
      <c r="F795" s="2">
        <v>20190906</v>
      </c>
      <c r="G795" s="2">
        <v>1980.3</v>
      </c>
      <c r="H795" s="2">
        <v>1610</v>
      </c>
      <c r="I795" s="2">
        <v>10</v>
      </c>
      <c r="J795" s="2" t="s">
        <v>333</v>
      </c>
      <c r="K795" s="2" t="s">
        <v>27</v>
      </c>
      <c r="L795" s="2" t="s">
        <v>2832</v>
      </c>
      <c r="M795" s="7" t="s">
        <v>2833</v>
      </c>
      <c r="N795" s="7" t="s">
        <v>2834</v>
      </c>
      <c r="O795" s="2"/>
      <c r="P795" s="2"/>
      <c r="Q795" s="2" t="str">
        <f>IF(SUMPRODUCT(--ISNUMBER(SEARCH('National Domains'!$A$2:$A$48,L795)))&gt;0,"Yes","No")</f>
        <v>No</v>
      </c>
      <c r="R795" s="2" t="str">
        <f>IF(COUNTIFS(Calibration!$A:$A,A795,Calibration!$B:$B,B795)&gt;0,"Yes","No")</f>
        <v>No</v>
      </c>
      <c r="S795" s="6"/>
    </row>
    <row r="796" spans="1:19" ht="34.5" customHeight="1" x14ac:dyDescent="0.2">
      <c r="A796" s="2">
        <v>195</v>
      </c>
      <c r="B796" s="2">
        <v>29</v>
      </c>
      <c r="C796" s="2" t="s">
        <v>352</v>
      </c>
      <c r="D796" s="2" t="s">
        <v>39</v>
      </c>
      <c r="E796" s="2">
        <v>20190828</v>
      </c>
      <c r="F796" s="2">
        <v>20190906</v>
      </c>
      <c r="G796" s="2">
        <v>1980.3</v>
      </c>
      <c r="H796" s="2">
        <v>1610</v>
      </c>
      <c r="I796" s="2">
        <v>10</v>
      </c>
      <c r="J796" s="2" t="s">
        <v>333</v>
      </c>
      <c r="K796" s="2" t="s">
        <v>27</v>
      </c>
      <c r="L796" s="2" t="s">
        <v>2835</v>
      </c>
      <c r="M796" s="7" t="s">
        <v>2836</v>
      </c>
      <c r="N796" s="7" t="s">
        <v>2837</v>
      </c>
      <c r="O796" s="2"/>
      <c r="P796" s="2"/>
      <c r="Q796" s="2" t="str">
        <f>IF(SUMPRODUCT(--ISNUMBER(SEARCH('National Domains'!$A$2:$A$48,L796)))&gt;0,"Yes","No")</f>
        <v>No</v>
      </c>
      <c r="R796" s="2" t="str">
        <f>IF(COUNTIFS(Calibration!$A:$A,A796,Calibration!$B:$B,B796)&gt;0,"Yes","No")</f>
        <v>No</v>
      </c>
      <c r="S796" s="6"/>
    </row>
    <row r="797" spans="1:19" ht="34.5" customHeight="1" x14ac:dyDescent="0.2">
      <c r="A797" s="2">
        <v>195</v>
      </c>
      <c r="B797" s="2">
        <v>30</v>
      </c>
      <c r="C797" s="2" t="s">
        <v>352</v>
      </c>
      <c r="D797" s="2" t="s">
        <v>39</v>
      </c>
      <c r="E797" s="2">
        <v>20190828</v>
      </c>
      <c r="F797" s="2">
        <v>20190906</v>
      </c>
      <c r="G797" s="2">
        <v>1980.3</v>
      </c>
      <c r="H797" s="2">
        <v>1610</v>
      </c>
      <c r="I797" s="2">
        <v>10</v>
      </c>
      <c r="J797" s="2" t="s">
        <v>333</v>
      </c>
      <c r="K797" s="2" t="s">
        <v>27</v>
      </c>
      <c r="L797" s="2" t="s">
        <v>2838</v>
      </c>
      <c r="M797" s="7" t="s">
        <v>2839</v>
      </c>
      <c r="N797" s="7" t="s">
        <v>2840</v>
      </c>
      <c r="O797" s="2"/>
      <c r="P797" s="2"/>
      <c r="Q797" s="2" t="str">
        <f>IF(SUMPRODUCT(--ISNUMBER(SEARCH('National Domains'!$A$2:$A$48,L797)))&gt;0,"Yes","No")</f>
        <v>No</v>
      </c>
      <c r="R797" s="2" t="str">
        <f>IF(COUNTIFS(Calibration!$A:$A,A797,Calibration!$B:$B,B797)&gt;0,"Yes","No")</f>
        <v>No</v>
      </c>
      <c r="S797" s="6"/>
    </row>
    <row r="798" spans="1:19" ht="34.5" customHeight="1" x14ac:dyDescent="0.2">
      <c r="A798" s="2">
        <v>196</v>
      </c>
      <c r="B798" s="2">
        <v>1</v>
      </c>
      <c r="C798" s="2" t="s">
        <v>353</v>
      </c>
      <c r="D798" s="2" t="s">
        <v>39</v>
      </c>
      <c r="E798" s="2">
        <v>20190917</v>
      </c>
      <c r="F798" s="2">
        <v>20190921</v>
      </c>
      <c r="G798" s="2">
        <v>6150</v>
      </c>
      <c r="H798" s="2">
        <v>5000</v>
      </c>
      <c r="I798" s="2">
        <v>5</v>
      </c>
      <c r="J798" s="2" t="s">
        <v>125</v>
      </c>
      <c r="K798" s="2" t="s">
        <v>41</v>
      </c>
      <c r="L798" s="2" t="s">
        <v>2841</v>
      </c>
      <c r="M798" s="7" t="s">
        <v>2842</v>
      </c>
      <c r="N798" s="7" t="s">
        <v>2843</v>
      </c>
      <c r="O798" s="2"/>
      <c r="P798" s="2"/>
      <c r="Q798" s="2" t="str">
        <f>IF(SUMPRODUCT(--ISNUMBER(SEARCH('National Domains'!$A$2:$A$48,L798)))&gt;0,"Yes","No")</f>
        <v>No</v>
      </c>
      <c r="R798" s="2" t="str">
        <f>IF(COUNTIFS(Calibration!$A:$A,A798,Calibration!$B:$B,B798)&gt;0,"Yes","No")</f>
        <v>No</v>
      </c>
      <c r="S798" s="6"/>
    </row>
    <row r="799" spans="1:19" ht="34.5" customHeight="1" x14ac:dyDescent="0.2">
      <c r="A799" s="2">
        <v>196</v>
      </c>
      <c r="B799" s="2">
        <v>2</v>
      </c>
      <c r="C799" s="2" t="s">
        <v>353</v>
      </c>
      <c r="D799" s="2" t="s">
        <v>39</v>
      </c>
      <c r="E799" s="2">
        <v>20190917</v>
      </c>
      <c r="F799" s="2">
        <v>20190921</v>
      </c>
      <c r="G799" s="2">
        <v>6150</v>
      </c>
      <c r="H799" s="2">
        <v>5000</v>
      </c>
      <c r="I799" s="2">
        <v>5</v>
      </c>
      <c r="J799" s="2" t="s">
        <v>125</v>
      </c>
      <c r="K799" s="2" t="s">
        <v>41</v>
      </c>
      <c r="L799" s="2" t="s">
        <v>2844</v>
      </c>
      <c r="M799" s="7" t="s">
        <v>2845</v>
      </c>
      <c r="N799" s="7" t="s">
        <v>2846</v>
      </c>
      <c r="O799" s="2"/>
      <c r="P799" s="2"/>
      <c r="Q799" s="2" t="str">
        <f>IF(SUMPRODUCT(--ISNUMBER(SEARCH('National Domains'!$A$2:$A$48,L799)))&gt;0,"Yes","No")</f>
        <v>No</v>
      </c>
      <c r="R799" s="2" t="str">
        <f>IF(COUNTIFS(Calibration!$A:$A,A799,Calibration!$B:$B,B799)&gt;0,"Yes","No")</f>
        <v>No</v>
      </c>
      <c r="S799" s="6"/>
    </row>
    <row r="800" spans="1:19" ht="34.5" customHeight="1" x14ac:dyDescent="0.2">
      <c r="A800" s="2">
        <v>196</v>
      </c>
      <c r="B800" s="2">
        <v>3</v>
      </c>
      <c r="C800" s="2" t="s">
        <v>353</v>
      </c>
      <c r="D800" s="2" t="s">
        <v>39</v>
      </c>
      <c r="E800" s="2">
        <v>20190917</v>
      </c>
      <c r="F800" s="2">
        <v>20190921</v>
      </c>
      <c r="G800" s="2">
        <v>6150</v>
      </c>
      <c r="H800" s="2">
        <v>5000</v>
      </c>
      <c r="I800" s="2">
        <v>5</v>
      </c>
      <c r="J800" s="2" t="s">
        <v>125</v>
      </c>
      <c r="K800" s="2" t="s">
        <v>41</v>
      </c>
      <c r="L800" s="2" t="s">
        <v>2847</v>
      </c>
      <c r="M800" s="7" t="s">
        <v>2848</v>
      </c>
      <c r="N800" s="7" t="s">
        <v>2849</v>
      </c>
      <c r="O800" s="2"/>
      <c r="P800" s="2"/>
      <c r="Q800" s="2" t="str">
        <f>IF(SUMPRODUCT(--ISNUMBER(SEARCH('National Domains'!$A$2:$A$48,L800)))&gt;0,"Yes","No")</f>
        <v>No</v>
      </c>
      <c r="R800" s="2" t="str">
        <f>IF(COUNTIFS(Calibration!$A:$A,A800,Calibration!$B:$B,B800)&gt;0,"Yes","No")</f>
        <v>No</v>
      </c>
      <c r="S800" s="6"/>
    </row>
    <row r="801" spans="1:19" ht="34.5" customHeight="1" x14ac:dyDescent="0.2">
      <c r="A801" s="2">
        <v>196</v>
      </c>
      <c r="B801" s="2">
        <v>4</v>
      </c>
      <c r="C801" s="2" t="s">
        <v>353</v>
      </c>
      <c r="D801" s="2" t="s">
        <v>39</v>
      </c>
      <c r="E801" s="2">
        <v>20190917</v>
      </c>
      <c r="F801" s="2">
        <v>20190921</v>
      </c>
      <c r="G801" s="2">
        <v>6150</v>
      </c>
      <c r="H801" s="2">
        <v>5000</v>
      </c>
      <c r="I801" s="2">
        <v>5</v>
      </c>
      <c r="J801" s="2" t="s">
        <v>125</v>
      </c>
      <c r="K801" s="2" t="s">
        <v>41</v>
      </c>
      <c r="L801" s="2" t="s">
        <v>2850</v>
      </c>
      <c r="M801" s="7" t="s">
        <v>2851</v>
      </c>
      <c r="N801" s="7" t="s">
        <v>2852</v>
      </c>
      <c r="O801" s="2"/>
      <c r="P801" s="2"/>
      <c r="Q801" s="2" t="str">
        <f>IF(SUMPRODUCT(--ISNUMBER(SEARCH('National Domains'!$A$2:$A$48,L801)))&gt;0,"Yes","No")</f>
        <v>No</v>
      </c>
      <c r="R801" s="2" t="str">
        <f>IF(COUNTIFS(Calibration!$A:$A,A801,Calibration!$B:$B,B801)&gt;0,"Yes","No")</f>
        <v>No</v>
      </c>
      <c r="S801" s="6"/>
    </row>
    <row r="802" spans="1:19" ht="34.5" customHeight="1" x14ac:dyDescent="0.2">
      <c r="A802" s="2">
        <v>196</v>
      </c>
      <c r="B802" s="2">
        <v>5</v>
      </c>
      <c r="C802" s="2" t="s">
        <v>353</v>
      </c>
      <c r="D802" s="2" t="s">
        <v>39</v>
      </c>
      <c r="E802" s="2">
        <v>20190917</v>
      </c>
      <c r="F802" s="2">
        <v>20190921</v>
      </c>
      <c r="G802" s="2">
        <v>6150</v>
      </c>
      <c r="H802" s="2">
        <v>5000</v>
      </c>
      <c r="I802" s="2">
        <v>5</v>
      </c>
      <c r="J802" s="2" t="s">
        <v>125</v>
      </c>
      <c r="K802" s="2" t="s">
        <v>41</v>
      </c>
      <c r="L802" s="2" t="s">
        <v>2853</v>
      </c>
      <c r="M802" s="7" t="s">
        <v>2854</v>
      </c>
      <c r="N802" s="7" t="s">
        <v>2855</v>
      </c>
      <c r="O802" s="2"/>
      <c r="P802" s="2"/>
      <c r="Q802" s="2" t="str">
        <f>IF(SUMPRODUCT(--ISNUMBER(SEARCH('National Domains'!$A$2:$A$48,L802)))&gt;0,"Yes","No")</f>
        <v>Yes</v>
      </c>
      <c r="R802" s="2" t="str">
        <f>IF(COUNTIFS(Calibration!$A:$A,A802,Calibration!$B:$B,B802)&gt;0,"Yes","No")</f>
        <v>No</v>
      </c>
      <c r="S802" s="6"/>
    </row>
    <row r="803" spans="1:19" ht="34.5" customHeight="1" x14ac:dyDescent="0.2">
      <c r="A803" s="2">
        <v>196</v>
      </c>
      <c r="B803" s="2">
        <v>6</v>
      </c>
      <c r="C803" s="2" t="s">
        <v>353</v>
      </c>
      <c r="D803" s="2" t="s">
        <v>39</v>
      </c>
      <c r="E803" s="2">
        <v>20190917</v>
      </c>
      <c r="F803" s="2">
        <v>20190921</v>
      </c>
      <c r="G803" s="2">
        <v>6150</v>
      </c>
      <c r="H803" s="2">
        <v>5000</v>
      </c>
      <c r="I803" s="2">
        <v>5</v>
      </c>
      <c r="J803" s="2" t="s">
        <v>125</v>
      </c>
      <c r="K803" s="2" t="s">
        <v>41</v>
      </c>
      <c r="L803" s="2" t="s">
        <v>2856</v>
      </c>
      <c r="M803" s="7" t="s">
        <v>2857</v>
      </c>
      <c r="N803" s="7" t="s">
        <v>2858</v>
      </c>
      <c r="O803" s="2"/>
      <c r="P803" s="2"/>
      <c r="Q803" s="2" t="str">
        <f>IF(SUMPRODUCT(--ISNUMBER(SEARCH('National Domains'!$A$2:$A$48,L803)))&gt;0,"Yes","No")</f>
        <v>Yes</v>
      </c>
      <c r="R803" s="2" t="str">
        <f>IF(COUNTIFS(Calibration!$A:$A,A803,Calibration!$B:$B,B803)&gt;0,"Yes","No")</f>
        <v>No</v>
      </c>
      <c r="S803" s="6"/>
    </row>
    <row r="804" spans="1:19" ht="34.5" customHeight="1" x14ac:dyDescent="0.2">
      <c r="A804" s="2">
        <v>196</v>
      </c>
      <c r="B804" s="2">
        <v>7</v>
      </c>
      <c r="C804" s="2" t="s">
        <v>353</v>
      </c>
      <c r="D804" s="2" t="s">
        <v>39</v>
      </c>
      <c r="E804" s="2">
        <v>20190917</v>
      </c>
      <c r="F804" s="2">
        <v>20190921</v>
      </c>
      <c r="G804" s="2">
        <v>6150</v>
      </c>
      <c r="H804" s="2">
        <v>5000</v>
      </c>
      <c r="I804" s="2">
        <v>5</v>
      </c>
      <c r="J804" s="2" t="s">
        <v>125</v>
      </c>
      <c r="K804" s="2" t="s">
        <v>41</v>
      </c>
      <c r="L804" s="2" t="s">
        <v>2859</v>
      </c>
      <c r="M804" s="7" t="s">
        <v>2860</v>
      </c>
      <c r="N804" s="7" t="s">
        <v>2861</v>
      </c>
      <c r="O804" s="2"/>
      <c r="P804" s="2"/>
      <c r="Q804" s="2" t="str">
        <f>IF(SUMPRODUCT(--ISNUMBER(SEARCH('National Domains'!$A$2:$A$48,L804)))&gt;0,"Yes","No")</f>
        <v>Yes</v>
      </c>
      <c r="R804" s="2" t="str">
        <f>IF(COUNTIFS(Calibration!$A:$A,A804,Calibration!$B:$B,B804)&gt;0,"Yes","No")</f>
        <v>No</v>
      </c>
      <c r="S804" s="6"/>
    </row>
    <row r="805" spans="1:19" ht="34.5" customHeight="1" x14ac:dyDescent="0.2">
      <c r="A805" s="2">
        <v>196</v>
      </c>
      <c r="B805" s="2">
        <v>8</v>
      </c>
      <c r="C805" s="2" t="s">
        <v>353</v>
      </c>
      <c r="D805" s="2" t="s">
        <v>39</v>
      </c>
      <c r="E805" s="2">
        <v>20190917</v>
      </c>
      <c r="F805" s="2">
        <v>20190921</v>
      </c>
      <c r="G805" s="2">
        <v>6150</v>
      </c>
      <c r="H805" s="2">
        <v>5000</v>
      </c>
      <c r="I805" s="2">
        <v>5</v>
      </c>
      <c r="J805" s="2" t="s">
        <v>125</v>
      </c>
      <c r="K805" s="2" t="s">
        <v>41</v>
      </c>
      <c r="L805" s="2" t="s">
        <v>2862</v>
      </c>
      <c r="M805" s="7" t="s">
        <v>2863</v>
      </c>
      <c r="N805" s="7" t="s">
        <v>2864</v>
      </c>
      <c r="O805" s="2"/>
      <c r="P805" s="2"/>
      <c r="Q805" s="2" t="str">
        <f>IF(SUMPRODUCT(--ISNUMBER(SEARCH('National Domains'!$A$2:$A$48,L805)))&gt;0,"Yes","No")</f>
        <v>Yes</v>
      </c>
      <c r="R805" s="2" t="str">
        <f>IF(COUNTIFS(Calibration!$A:$A,A805,Calibration!$B:$B,B805)&gt;0,"Yes","No")</f>
        <v>No</v>
      </c>
      <c r="S805" s="6"/>
    </row>
    <row r="806" spans="1:19" ht="34.5" customHeight="1" x14ac:dyDescent="0.2">
      <c r="A806" s="2">
        <v>196</v>
      </c>
      <c r="B806" s="2">
        <v>9</v>
      </c>
      <c r="C806" s="2" t="s">
        <v>353</v>
      </c>
      <c r="D806" s="2" t="s">
        <v>39</v>
      </c>
      <c r="E806" s="2">
        <v>20190917</v>
      </c>
      <c r="F806" s="2">
        <v>20190921</v>
      </c>
      <c r="G806" s="2">
        <v>6150</v>
      </c>
      <c r="H806" s="2">
        <v>5000</v>
      </c>
      <c r="I806" s="2">
        <v>5</v>
      </c>
      <c r="J806" s="2" t="s">
        <v>125</v>
      </c>
      <c r="K806" s="2" t="s">
        <v>41</v>
      </c>
      <c r="L806" s="2" t="s">
        <v>2865</v>
      </c>
      <c r="M806" s="7" t="s">
        <v>2866</v>
      </c>
      <c r="N806" s="7" t="s">
        <v>2867</v>
      </c>
      <c r="O806" s="2"/>
      <c r="P806" s="2"/>
      <c r="Q806" s="2" t="str">
        <f>IF(SUMPRODUCT(--ISNUMBER(SEARCH('National Domains'!$A$2:$A$48,L806)))&gt;0,"Yes","No")</f>
        <v>Yes</v>
      </c>
      <c r="R806" s="2" t="str">
        <f>IF(COUNTIFS(Calibration!$A:$A,A806,Calibration!$B:$B,B806)&gt;0,"Yes","No")</f>
        <v>No</v>
      </c>
      <c r="S806" s="6"/>
    </row>
    <row r="807" spans="1:19" ht="34.5" customHeight="1" x14ac:dyDescent="0.2">
      <c r="A807" s="2">
        <v>196</v>
      </c>
      <c r="B807" s="2">
        <v>10</v>
      </c>
      <c r="C807" s="2" t="s">
        <v>353</v>
      </c>
      <c r="D807" s="2" t="s">
        <v>39</v>
      </c>
      <c r="E807" s="2">
        <v>20190917</v>
      </c>
      <c r="F807" s="2">
        <v>20190921</v>
      </c>
      <c r="G807" s="2">
        <v>6150</v>
      </c>
      <c r="H807" s="2">
        <v>5000</v>
      </c>
      <c r="I807" s="2">
        <v>5</v>
      </c>
      <c r="J807" s="2" t="s">
        <v>125</v>
      </c>
      <c r="K807" s="2" t="s">
        <v>41</v>
      </c>
      <c r="L807" s="2" t="s">
        <v>2868</v>
      </c>
      <c r="M807" s="7" t="s">
        <v>2869</v>
      </c>
      <c r="N807" s="7" t="s">
        <v>2870</v>
      </c>
      <c r="O807" s="2"/>
      <c r="P807" s="2"/>
      <c r="Q807" s="2" t="str">
        <f>IF(SUMPRODUCT(--ISNUMBER(SEARCH('National Domains'!$A$2:$A$48,L807)))&gt;0,"Yes","No")</f>
        <v>Yes</v>
      </c>
      <c r="R807" s="2" t="str">
        <f>IF(COUNTIFS(Calibration!$A:$A,A807,Calibration!$B:$B,B807)&gt;0,"Yes","No")</f>
        <v>No</v>
      </c>
      <c r="S807" s="6"/>
    </row>
    <row r="808" spans="1:19" ht="34.5" customHeight="1" x14ac:dyDescent="0.2">
      <c r="A808" s="2">
        <v>196</v>
      </c>
      <c r="B808" s="2">
        <v>11</v>
      </c>
      <c r="C808" s="2" t="s">
        <v>353</v>
      </c>
      <c r="D808" s="2" t="s">
        <v>39</v>
      </c>
      <c r="E808" s="2">
        <v>20190917</v>
      </c>
      <c r="F808" s="2">
        <v>20190921</v>
      </c>
      <c r="G808" s="2">
        <v>6150</v>
      </c>
      <c r="H808" s="2">
        <v>5000</v>
      </c>
      <c r="I808" s="2">
        <v>5</v>
      </c>
      <c r="J808" s="2" t="s">
        <v>125</v>
      </c>
      <c r="K808" s="2" t="s">
        <v>41</v>
      </c>
      <c r="L808" s="2" t="s">
        <v>2871</v>
      </c>
      <c r="M808" s="7" t="s">
        <v>2872</v>
      </c>
      <c r="N808" s="7" t="s">
        <v>2873</v>
      </c>
      <c r="O808" s="2"/>
      <c r="P808" s="2"/>
      <c r="Q808" s="2" t="str">
        <f>IF(SUMPRODUCT(--ISNUMBER(SEARCH('National Domains'!$A$2:$A$48,L808)))&gt;0,"Yes","No")</f>
        <v>No</v>
      </c>
      <c r="R808" s="2" t="str">
        <f>IF(COUNTIFS(Calibration!$A:$A,A808,Calibration!$B:$B,B808)&gt;0,"Yes","No")</f>
        <v>No</v>
      </c>
      <c r="S808" s="6"/>
    </row>
    <row r="809" spans="1:19" ht="34.5" customHeight="1" x14ac:dyDescent="0.2">
      <c r="A809" s="2">
        <v>196</v>
      </c>
      <c r="B809" s="2">
        <v>12</v>
      </c>
      <c r="C809" s="2" t="s">
        <v>353</v>
      </c>
      <c r="D809" s="2" t="s">
        <v>39</v>
      </c>
      <c r="E809" s="2">
        <v>20190917</v>
      </c>
      <c r="F809" s="2">
        <v>20190921</v>
      </c>
      <c r="G809" s="2">
        <v>6150</v>
      </c>
      <c r="H809" s="2">
        <v>5000</v>
      </c>
      <c r="I809" s="2">
        <v>5</v>
      </c>
      <c r="J809" s="2" t="s">
        <v>125</v>
      </c>
      <c r="K809" s="2" t="s">
        <v>41</v>
      </c>
      <c r="L809" s="2" t="s">
        <v>2874</v>
      </c>
      <c r="M809" s="7" t="s">
        <v>2875</v>
      </c>
      <c r="N809" s="7" t="s">
        <v>2876</v>
      </c>
      <c r="O809" s="2"/>
      <c r="P809" s="2"/>
      <c r="Q809" s="2" t="str">
        <f>IF(SUMPRODUCT(--ISNUMBER(SEARCH('National Domains'!$A$2:$A$48,L809)))&gt;0,"Yes","No")</f>
        <v>Yes</v>
      </c>
      <c r="R809" s="2" t="str">
        <f>IF(COUNTIFS(Calibration!$A:$A,A809,Calibration!$B:$B,B809)&gt;0,"Yes","No")</f>
        <v>No</v>
      </c>
      <c r="S809" s="6"/>
    </row>
    <row r="810" spans="1:19" ht="34.5" customHeight="1" x14ac:dyDescent="0.2">
      <c r="A810" s="2">
        <v>197</v>
      </c>
      <c r="B810" s="2">
        <v>1</v>
      </c>
      <c r="C810" s="2" t="s">
        <v>354</v>
      </c>
      <c r="D810" s="2" t="s">
        <v>17</v>
      </c>
      <c r="E810" s="2">
        <v>20191020</v>
      </c>
      <c r="F810" s="2">
        <v>20191020</v>
      </c>
      <c r="G810" s="2">
        <v>2113.1</v>
      </c>
      <c r="H810" s="2">
        <v>1718</v>
      </c>
      <c r="I810" s="2">
        <v>2</v>
      </c>
      <c r="J810" s="2" t="s">
        <v>102</v>
      </c>
      <c r="K810" s="2" t="s">
        <v>103</v>
      </c>
      <c r="L810" s="2" t="s">
        <v>2877</v>
      </c>
      <c r="M810" s="7" t="s">
        <v>2878</v>
      </c>
      <c r="N810" s="7" t="s">
        <v>2879</v>
      </c>
      <c r="O810" s="2"/>
      <c r="P810" s="2"/>
      <c r="Q810" s="2" t="str">
        <f>IF(SUMPRODUCT(--ISNUMBER(SEARCH('National Domains'!$A$2:$A$48,L810)))&gt;0,"Yes","No")</f>
        <v>No</v>
      </c>
      <c r="R810" s="2" t="str">
        <f>IF(COUNTIFS(Calibration!$A:$A,A810,Calibration!$B:$B,B810)&gt;0,"Yes","No")</f>
        <v>No</v>
      </c>
      <c r="S810" s="6"/>
    </row>
    <row r="811" spans="1:19" ht="34.5" customHeight="1" x14ac:dyDescent="0.2">
      <c r="A811" s="2">
        <v>197</v>
      </c>
      <c r="B811" s="2">
        <v>2</v>
      </c>
      <c r="C811" s="2" t="s">
        <v>354</v>
      </c>
      <c r="D811" s="2" t="s">
        <v>17</v>
      </c>
      <c r="E811" s="2">
        <v>20191020</v>
      </c>
      <c r="F811" s="2">
        <v>20191020</v>
      </c>
      <c r="G811" s="2">
        <v>2113.1</v>
      </c>
      <c r="H811" s="2">
        <v>1718</v>
      </c>
      <c r="I811" s="2">
        <v>2</v>
      </c>
      <c r="J811" s="2" t="s">
        <v>102</v>
      </c>
      <c r="K811" s="2" t="s">
        <v>103</v>
      </c>
      <c r="L811" s="2" t="s">
        <v>2880</v>
      </c>
      <c r="M811" s="7" t="s">
        <v>2881</v>
      </c>
      <c r="N811" s="7" t="s">
        <v>2882</v>
      </c>
      <c r="O811" s="2"/>
      <c r="P811" s="2"/>
      <c r="Q811" s="2" t="str">
        <f>IF(SUMPRODUCT(--ISNUMBER(SEARCH('National Domains'!$A$2:$A$48,L811)))&gt;0,"Yes","No")</f>
        <v>Yes</v>
      </c>
      <c r="R811" s="2" t="str">
        <f>IF(COUNTIFS(Calibration!$A:$A,A811,Calibration!$B:$B,B811)&gt;0,"Yes","No")</f>
        <v>No</v>
      </c>
      <c r="S811" s="6"/>
    </row>
    <row r="812" spans="1:19" ht="34.5" customHeight="1" x14ac:dyDescent="0.2">
      <c r="A812" s="2">
        <v>197</v>
      </c>
      <c r="B812" s="2">
        <v>3</v>
      </c>
      <c r="C812" s="2" t="s">
        <v>354</v>
      </c>
      <c r="D812" s="2" t="s">
        <v>17</v>
      </c>
      <c r="E812" s="2">
        <v>20191020</v>
      </c>
      <c r="F812" s="2">
        <v>20191020</v>
      </c>
      <c r="G812" s="2">
        <v>2113.1</v>
      </c>
      <c r="H812" s="2">
        <v>1718</v>
      </c>
      <c r="I812" s="2">
        <v>2</v>
      </c>
      <c r="J812" s="2" t="s">
        <v>102</v>
      </c>
      <c r="K812" s="2" t="s">
        <v>103</v>
      </c>
      <c r="L812" s="2" t="s">
        <v>2883</v>
      </c>
      <c r="M812" s="7" t="s">
        <v>2884</v>
      </c>
      <c r="N812" s="7" t="s">
        <v>2885</v>
      </c>
      <c r="O812" s="2"/>
      <c r="P812" s="2"/>
      <c r="Q812" s="2" t="str">
        <f>IF(SUMPRODUCT(--ISNUMBER(SEARCH('National Domains'!$A$2:$A$48,L812)))&gt;0,"Yes","No")</f>
        <v>No</v>
      </c>
      <c r="R812" s="2" t="str">
        <f>IF(COUNTIFS(Calibration!$A:$A,A812,Calibration!$B:$B,B812)&gt;0,"Yes","No")</f>
        <v>No</v>
      </c>
      <c r="S812" s="6"/>
    </row>
    <row r="813" spans="1:19" ht="34.5" customHeight="1" x14ac:dyDescent="0.2">
      <c r="A813" s="2">
        <v>197</v>
      </c>
      <c r="B813" s="2">
        <v>4</v>
      </c>
      <c r="C813" s="2" t="s">
        <v>354</v>
      </c>
      <c r="D813" s="2" t="s">
        <v>17</v>
      </c>
      <c r="E813" s="2">
        <v>20191020</v>
      </c>
      <c r="F813" s="2">
        <v>20191020</v>
      </c>
      <c r="G813" s="2">
        <v>2113.1</v>
      </c>
      <c r="H813" s="2">
        <v>1718</v>
      </c>
      <c r="I813" s="2">
        <v>2</v>
      </c>
      <c r="J813" s="2" t="s">
        <v>102</v>
      </c>
      <c r="K813" s="2" t="s">
        <v>103</v>
      </c>
      <c r="L813" s="2" t="s">
        <v>2886</v>
      </c>
      <c r="M813" s="7" t="s">
        <v>2887</v>
      </c>
      <c r="N813" s="7" t="s">
        <v>2888</v>
      </c>
      <c r="O813" s="2"/>
      <c r="P813" s="2"/>
      <c r="Q813" s="2" t="str">
        <f>IF(SUMPRODUCT(--ISNUMBER(SEARCH('National Domains'!$A$2:$A$48,L813)))&gt;0,"Yes","No")</f>
        <v>No</v>
      </c>
      <c r="R813" s="2" t="str">
        <f>IF(COUNTIFS(Calibration!$A:$A,A813,Calibration!$B:$B,B813)&gt;0,"Yes","No")</f>
        <v>No</v>
      </c>
      <c r="S813" s="6"/>
    </row>
    <row r="814" spans="1:19" ht="34.5" customHeight="1" x14ac:dyDescent="0.2">
      <c r="A814" s="4">
        <v>197</v>
      </c>
      <c r="B814" s="4">
        <v>5</v>
      </c>
      <c r="C814" s="4" t="s">
        <v>354</v>
      </c>
      <c r="D814" s="4" t="s">
        <v>17</v>
      </c>
      <c r="E814" s="4">
        <v>20191020</v>
      </c>
      <c r="F814" s="4">
        <v>20191020</v>
      </c>
      <c r="G814" s="4">
        <v>2113.1</v>
      </c>
      <c r="H814" s="4">
        <v>1718</v>
      </c>
      <c r="I814" s="4">
        <v>2</v>
      </c>
      <c r="J814" s="4" t="s">
        <v>102</v>
      </c>
      <c r="K814" s="4" t="s">
        <v>103</v>
      </c>
      <c r="L814" s="4" t="s">
        <v>2889</v>
      </c>
      <c r="M814" s="5" t="s">
        <v>2890</v>
      </c>
      <c r="N814" s="5" t="s">
        <v>2891</v>
      </c>
      <c r="O814" s="4"/>
      <c r="P814" s="4"/>
      <c r="Q814" s="4" t="str">
        <f>IF(SUMPRODUCT(--ISNUMBER(SEARCH('National Domains'!$A$2:$A$48,L814)))&gt;0,"Yes","No")</f>
        <v>Yes</v>
      </c>
      <c r="R814" s="4" t="str">
        <f>IF(COUNTIFS(Calibration!$A:$A,A814,Calibration!$B:$B,B814)&gt;0,"Yes","No")</f>
        <v>Yes</v>
      </c>
      <c r="S814" s="6"/>
    </row>
    <row r="815" spans="1:19" ht="34.5" customHeight="1" x14ac:dyDescent="0.2">
      <c r="A815" s="2">
        <v>197</v>
      </c>
      <c r="B815" s="2">
        <v>6</v>
      </c>
      <c r="C815" s="2" t="s">
        <v>354</v>
      </c>
      <c r="D815" s="2" t="s">
        <v>17</v>
      </c>
      <c r="E815" s="2">
        <v>20191020</v>
      </c>
      <c r="F815" s="2">
        <v>20191020</v>
      </c>
      <c r="G815" s="2">
        <v>2113.1</v>
      </c>
      <c r="H815" s="2">
        <v>1718</v>
      </c>
      <c r="I815" s="2">
        <v>2</v>
      </c>
      <c r="J815" s="2" t="s">
        <v>102</v>
      </c>
      <c r="K815" s="2" t="s">
        <v>103</v>
      </c>
      <c r="L815" s="2" t="s">
        <v>2892</v>
      </c>
      <c r="M815" s="7" t="s">
        <v>2893</v>
      </c>
      <c r="N815" s="7" t="s">
        <v>2894</v>
      </c>
      <c r="O815" s="2"/>
      <c r="P815" s="2"/>
      <c r="Q815" s="2" t="str">
        <f>IF(SUMPRODUCT(--ISNUMBER(SEARCH('National Domains'!$A$2:$A$48,L815)))&gt;0,"Yes","No")</f>
        <v>Yes</v>
      </c>
      <c r="R815" s="2" t="str">
        <f>IF(COUNTIFS(Calibration!$A:$A,A815,Calibration!$B:$B,B815)&gt;0,"Yes","No")</f>
        <v>No</v>
      </c>
      <c r="S815" s="6"/>
    </row>
    <row r="816" spans="1:19" ht="34.5" customHeight="1" x14ac:dyDescent="0.2">
      <c r="A816" s="2">
        <v>197</v>
      </c>
      <c r="B816" s="2">
        <v>7</v>
      </c>
      <c r="C816" s="2" t="s">
        <v>354</v>
      </c>
      <c r="D816" s="2" t="s">
        <v>17</v>
      </c>
      <c r="E816" s="2">
        <v>20191020</v>
      </c>
      <c r="F816" s="2">
        <v>20191020</v>
      </c>
      <c r="G816" s="2">
        <v>2113.1</v>
      </c>
      <c r="H816" s="2">
        <v>1718</v>
      </c>
      <c r="I816" s="2">
        <v>2</v>
      </c>
      <c r="J816" s="2" t="s">
        <v>102</v>
      </c>
      <c r="K816" s="2" t="s">
        <v>103</v>
      </c>
      <c r="L816" s="2" t="s">
        <v>2895</v>
      </c>
      <c r="M816" s="7" t="s">
        <v>2896</v>
      </c>
      <c r="N816" s="7" t="s">
        <v>2897</v>
      </c>
      <c r="O816" s="2"/>
      <c r="P816" s="2"/>
      <c r="Q816" s="2" t="str">
        <f>IF(SUMPRODUCT(--ISNUMBER(SEARCH('National Domains'!$A$2:$A$48,L816)))&gt;0,"Yes","No")</f>
        <v>No</v>
      </c>
      <c r="R816" s="2" t="str">
        <f>IF(COUNTIFS(Calibration!$A:$A,A816,Calibration!$B:$B,B816)&gt;0,"Yes","No")</f>
        <v>No</v>
      </c>
      <c r="S816" s="6"/>
    </row>
    <row r="817" spans="1:19" ht="34.5" customHeight="1" x14ac:dyDescent="0.2">
      <c r="A817" s="2">
        <v>198</v>
      </c>
      <c r="B817" s="2">
        <v>1</v>
      </c>
      <c r="C817" s="2" t="s">
        <v>355</v>
      </c>
      <c r="D817" s="2" t="s">
        <v>21</v>
      </c>
      <c r="E817" s="2">
        <v>20190601</v>
      </c>
      <c r="F817" s="2">
        <v>20191130</v>
      </c>
      <c r="G817" s="2">
        <v>5535</v>
      </c>
      <c r="H817" s="2">
        <v>4500</v>
      </c>
      <c r="I817" s="2">
        <v>3</v>
      </c>
      <c r="J817" s="2" t="s">
        <v>356</v>
      </c>
      <c r="K817" s="2" t="s">
        <v>67</v>
      </c>
      <c r="L817" s="2" t="s">
        <v>2898</v>
      </c>
      <c r="M817" s="7" t="s">
        <v>2899</v>
      </c>
      <c r="N817" s="7" t="s">
        <v>2900</v>
      </c>
      <c r="O817" s="2"/>
      <c r="P817" s="2"/>
      <c r="Q817" s="2" t="str">
        <f>IF(SUMPRODUCT(--ISNUMBER(SEARCH('National Domains'!$A$2:$A$48,L817)))&gt;0,"Yes","No")</f>
        <v>No</v>
      </c>
      <c r="R817" s="2" t="str">
        <f>IF(COUNTIFS(Calibration!$A:$A,A817,Calibration!$B:$B,B817)&gt;0,"Yes","No")</f>
        <v>No</v>
      </c>
      <c r="S817" s="6"/>
    </row>
    <row r="818" spans="1:19" ht="34.5" customHeight="1" x14ac:dyDescent="0.2">
      <c r="A818" s="2">
        <v>198</v>
      </c>
      <c r="B818" s="2">
        <v>2</v>
      </c>
      <c r="C818" s="2" t="s">
        <v>355</v>
      </c>
      <c r="D818" s="2" t="s">
        <v>21</v>
      </c>
      <c r="E818" s="2">
        <v>20190601</v>
      </c>
      <c r="F818" s="2">
        <v>20191130</v>
      </c>
      <c r="G818" s="2">
        <v>5535</v>
      </c>
      <c r="H818" s="2">
        <v>4500</v>
      </c>
      <c r="I818" s="2">
        <v>3</v>
      </c>
      <c r="J818" s="2" t="s">
        <v>356</v>
      </c>
      <c r="K818" s="2" t="s">
        <v>67</v>
      </c>
      <c r="L818" s="2" t="s">
        <v>2901</v>
      </c>
      <c r="M818" s="7" t="s">
        <v>2902</v>
      </c>
      <c r="N818" s="7" t="s">
        <v>2903</v>
      </c>
      <c r="O818" s="2"/>
      <c r="P818" s="2"/>
      <c r="Q818" s="2" t="str">
        <f>IF(SUMPRODUCT(--ISNUMBER(SEARCH('National Domains'!$A$2:$A$48,L818)))&gt;0,"Yes","No")</f>
        <v>No</v>
      </c>
      <c r="R818" s="2" t="str">
        <f>IF(COUNTIFS(Calibration!$A:$A,A818,Calibration!$B:$B,B818)&gt;0,"Yes","No")</f>
        <v>No</v>
      </c>
      <c r="S818" s="6"/>
    </row>
    <row r="819" spans="1:19" ht="23.25" customHeight="1" x14ac:dyDescent="0.2">
      <c r="A819" s="4">
        <v>198</v>
      </c>
      <c r="B819" s="4">
        <v>3</v>
      </c>
      <c r="C819" s="4" t="s">
        <v>355</v>
      </c>
      <c r="D819" s="4" t="s">
        <v>21</v>
      </c>
      <c r="E819" s="4">
        <v>20190601</v>
      </c>
      <c r="F819" s="4">
        <v>20191130</v>
      </c>
      <c r="G819" s="4">
        <v>5535</v>
      </c>
      <c r="H819" s="4">
        <v>4500</v>
      </c>
      <c r="I819" s="4">
        <v>3</v>
      </c>
      <c r="J819" s="4" t="s">
        <v>356</v>
      </c>
      <c r="K819" s="4" t="s">
        <v>67</v>
      </c>
      <c r="L819" s="4" t="s">
        <v>2904</v>
      </c>
      <c r="M819" s="5" t="s">
        <v>2905</v>
      </c>
      <c r="N819" s="5" t="s">
        <v>2906</v>
      </c>
      <c r="O819" s="4"/>
      <c r="P819" s="4"/>
      <c r="Q819" s="4" t="str">
        <f>IF(SUMPRODUCT(--ISNUMBER(SEARCH('National Domains'!$A$2:$A$48,L819)))&gt;0,"Yes","No")</f>
        <v>No</v>
      </c>
      <c r="R819" s="4" t="str">
        <f>IF(COUNTIFS(Calibration!$A:$A,A819,Calibration!$B:$B,B819)&gt;0,"Yes","No")</f>
        <v>Yes</v>
      </c>
      <c r="S819" s="6"/>
    </row>
    <row r="820" spans="1:19" ht="34.5" customHeight="1" x14ac:dyDescent="0.2">
      <c r="A820" s="2">
        <v>198</v>
      </c>
      <c r="B820" s="2">
        <v>4</v>
      </c>
      <c r="C820" s="2" t="s">
        <v>355</v>
      </c>
      <c r="D820" s="2" t="s">
        <v>21</v>
      </c>
      <c r="E820" s="2">
        <v>20190601</v>
      </c>
      <c r="F820" s="2">
        <v>20191130</v>
      </c>
      <c r="G820" s="2">
        <v>5535</v>
      </c>
      <c r="H820" s="2">
        <v>4500</v>
      </c>
      <c r="I820" s="2">
        <v>3</v>
      </c>
      <c r="J820" s="2" t="s">
        <v>356</v>
      </c>
      <c r="K820" s="2" t="s">
        <v>67</v>
      </c>
      <c r="L820" s="2" t="s">
        <v>2907</v>
      </c>
      <c r="M820" s="7" t="s">
        <v>2908</v>
      </c>
      <c r="N820" s="7" t="s">
        <v>2909</v>
      </c>
      <c r="O820" s="2"/>
      <c r="P820" s="2"/>
      <c r="Q820" s="2" t="str">
        <f>IF(SUMPRODUCT(--ISNUMBER(SEARCH('National Domains'!$A$2:$A$48,L820)))&gt;0,"Yes","No")</f>
        <v>No</v>
      </c>
      <c r="R820" s="2" t="str">
        <f>IF(COUNTIFS(Calibration!$A:$A,A820,Calibration!$B:$B,B820)&gt;0,"Yes","No")</f>
        <v>No</v>
      </c>
      <c r="S820" s="6"/>
    </row>
    <row r="821" spans="1:19" ht="34.5" customHeight="1" x14ac:dyDescent="0.2">
      <c r="A821" s="2">
        <v>198</v>
      </c>
      <c r="B821" s="2">
        <v>5</v>
      </c>
      <c r="C821" s="2" t="s">
        <v>355</v>
      </c>
      <c r="D821" s="2" t="s">
        <v>21</v>
      </c>
      <c r="E821" s="2">
        <v>20190601</v>
      </c>
      <c r="F821" s="2">
        <v>20191130</v>
      </c>
      <c r="G821" s="2">
        <v>5535</v>
      </c>
      <c r="H821" s="2">
        <v>4500</v>
      </c>
      <c r="I821" s="2">
        <v>3</v>
      </c>
      <c r="J821" s="2" t="s">
        <v>356</v>
      </c>
      <c r="K821" s="2" t="s">
        <v>67</v>
      </c>
      <c r="L821" s="2" t="s">
        <v>2910</v>
      </c>
      <c r="M821" s="7" t="s">
        <v>2911</v>
      </c>
      <c r="N821" s="7" t="s">
        <v>2912</v>
      </c>
      <c r="O821" s="2"/>
      <c r="P821" s="2"/>
      <c r="Q821" s="2" t="str">
        <f>IF(SUMPRODUCT(--ISNUMBER(SEARCH('National Domains'!$A$2:$A$48,L821)))&gt;0,"Yes","No")</f>
        <v>No</v>
      </c>
      <c r="R821" s="2" t="str">
        <f>IF(COUNTIFS(Calibration!$A:$A,A821,Calibration!$B:$B,B821)&gt;0,"Yes","No")</f>
        <v>No</v>
      </c>
      <c r="S821" s="6"/>
    </row>
    <row r="822" spans="1:19" ht="34.5" customHeight="1" x14ac:dyDescent="0.2">
      <c r="A822" s="2">
        <v>198</v>
      </c>
      <c r="B822" s="2">
        <v>6</v>
      </c>
      <c r="C822" s="2" t="s">
        <v>355</v>
      </c>
      <c r="D822" s="2" t="s">
        <v>21</v>
      </c>
      <c r="E822" s="2">
        <v>20190601</v>
      </c>
      <c r="F822" s="2">
        <v>20191130</v>
      </c>
      <c r="G822" s="2">
        <v>5535</v>
      </c>
      <c r="H822" s="2">
        <v>4500</v>
      </c>
      <c r="I822" s="2">
        <v>3</v>
      </c>
      <c r="J822" s="2" t="s">
        <v>356</v>
      </c>
      <c r="K822" s="2" t="s">
        <v>67</v>
      </c>
      <c r="L822" s="2" t="s">
        <v>2913</v>
      </c>
      <c r="M822" s="7" t="s">
        <v>2914</v>
      </c>
      <c r="N822" s="7" t="s">
        <v>2915</v>
      </c>
      <c r="O822" s="2"/>
      <c r="P822" s="2"/>
      <c r="Q822" s="2" t="str">
        <f>IF(SUMPRODUCT(--ISNUMBER(SEARCH('National Domains'!$A$2:$A$48,L822)))&gt;0,"Yes","No")</f>
        <v>Yes</v>
      </c>
      <c r="R822" s="2" t="str">
        <f>IF(COUNTIFS(Calibration!$A:$A,A822,Calibration!$B:$B,B822)&gt;0,"Yes","No")</f>
        <v>No</v>
      </c>
      <c r="S822" s="6"/>
    </row>
    <row r="823" spans="1:19" ht="34.5" customHeight="1" x14ac:dyDescent="0.2">
      <c r="A823" s="2">
        <v>198</v>
      </c>
      <c r="B823" s="2">
        <v>7</v>
      </c>
      <c r="C823" s="2" t="s">
        <v>355</v>
      </c>
      <c r="D823" s="2" t="s">
        <v>21</v>
      </c>
      <c r="E823" s="2">
        <v>20190601</v>
      </c>
      <c r="F823" s="2">
        <v>20191130</v>
      </c>
      <c r="G823" s="2">
        <v>5535</v>
      </c>
      <c r="H823" s="2">
        <v>4500</v>
      </c>
      <c r="I823" s="2">
        <v>3</v>
      </c>
      <c r="J823" s="2" t="s">
        <v>356</v>
      </c>
      <c r="K823" s="2" t="s">
        <v>67</v>
      </c>
      <c r="L823" s="2" t="s">
        <v>2916</v>
      </c>
      <c r="M823" s="7" t="s">
        <v>2917</v>
      </c>
      <c r="N823" s="7" t="s">
        <v>2918</v>
      </c>
      <c r="O823" s="2"/>
      <c r="P823" s="2"/>
      <c r="Q823" s="2" t="str">
        <f>IF(SUMPRODUCT(--ISNUMBER(SEARCH('National Domains'!$A$2:$A$48,L823)))&gt;0,"Yes","No")</f>
        <v>Yes</v>
      </c>
      <c r="R823" s="2" t="str">
        <f>IF(COUNTIFS(Calibration!$A:$A,A823,Calibration!$B:$B,B823)&gt;0,"Yes","No")</f>
        <v>No</v>
      </c>
      <c r="S823" s="6"/>
    </row>
    <row r="824" spans="1:19" ht="34.5" customHeight="1" x14ac:dyDescent="0.2">
      <c r="A824" s="2">
        <v>198</v>
      </c>
      <c r="B824" s="2">
        <v>8</v>
      </c>
      <c r="C824" s="2" t="s">
        <v>355</v>
      </c>
      <c r="D824" s="2" t="s">
        <v>21</v>
      </c>
      <c r="E824" s="2">
        <v>20190601</v>
      </c>
      <c r="F824" s="2">
        <v>20191130</v>
      </c>
      <c r="G824" s="2">
        <v>5535</v>
      </c>
      <c r="H824" s="2">
        <v>4500</v>
      </c>
      <c r="I824" s="2">
        <v>3</v>
      </c>
      <c r="J824" s="2" t="s">
        <v>356</v>
      </c>
      <c r="K824" s="2" t="s">
        <v>67</v>
      </c>
      <c r="L824" s="2" t="s">
        <v>2919</v>
      </c>
      <c r="M824" s="7" t="s">
        <v>2920</v>
      </c>
      <c r="N824" s="7" t="s">
        <v>2921</v>
      </c>
      <c r="O824" s="2"/>
      <c r="P824" s="2"/>
      <c r="Q824" s="2" t="str">
        <f>IF(SUMPRODUCT(--ISNUMBER(SEARCH('National Domains'!$A$2:$A$48,L824)))&gt;0,"Yes","No")</f>
        <v>Yes</v>
      </c>
      <c r="R824" s="2" t="str">
        <f>IF(COUNTIFS(Calibration!$A:$A,A824,Calibration!$B:$B,B824)&gt;0,"Yes","No")</f>
        <v>No</v>
      </c>
      <c r="S824" s="6"/>
    </row>
    <row r="825" spans="1:19" ht="34.5" customHeight="1" x14ac:dyDescent="0.2">
      <c r="A825" s="2">
        <v>198</v>
      </c>
      <c r="B825" s="2">
        <v>9</v>
      </c>
      <c r="C825" s="2" t="s">
        <v>355</v>
      </c>
      <c r="D825" s="2" t="s">
        <v>21</v>
      </c>
      <c r="E825" s="2">
        <v>20190601</v>
      </c>
      <c r="F825" s="2">
        <v>20191130</v>
      </c>
      <c r="G825" s="2">
        <v>5535</v>
      </c>
      <c r="H825" s="2">
        <v>4500</v>
      </c>
      <c r="I825" s="2">
        <v>3</v>
      </c>
      <c r="J825" s="2" t="s">
        <v>356</v>
      </c>
      <c r="K825" s="2" t="s">
        <v>67</v>
      </c>
      <c r="L825" s="2" t="s">
        <v>2922</v>
      </c>
      <c r="M825" s="7" t="s">
        <v>2923</v>
      </c>
      <c r="N825" s="7" t="s">
        <v>2924</v>
      </c>
      <c r="O825" s="2"/>
      <c r="P825" s="2"/>
      <c r="Q825" s="2" t="str">
        <f>IF(SUMPRODUCT(--ISNUMBER(SEARCH('National Domains'!$A$2:$A$48,L825)))&gt;0,"Yes","No")</f>
        <v>Yes</v>
      </c>
      <c r="R825" s="2" t="str">
        <f>IF(COUNTIFS(Calibration!$A:$A,A825,Calibration!$B:$B,B825)&gt;0,"Yes","No")</f>
        <v>No</v>
      </c>
      <c r="S825" s="6"/>
    </row>
    <row r="826" spans="1:19" ht="34.5" customHeight="1" x14ac:dyDescent="0.2">
      <c r="A826" s="2">
        <v>199</v>
      </c>
      <c r="B826" s="2">
        <v>1</v>
      </c>
      <c r="C826" s="2" t="s">
        <v>357</v>
      </c>
      <c r="D826" s="2" t="s">
        <v>17</v>
      </c>
      <c r="E826" s="2">
        <v>20200110</v>
      </c>
      <c r="F826" s="2">
        <v>20200112</v>
      </c>
      <c r="G826" s="2">
        <v>1401.8</v>
      </c>
      <c r="H826" s="2">
        <v>1149</v>
      </c>
      <c r="I826" s="2">
        <v>10</v>
      </c>
      <c r="J826" s="2" t="s">
        <v>358</v>
      </c>
      <c r="K826" s="2" t="s">
        <v>359</v>
      </c>
      <c r="L826" s="2" t="s">
        <v>2925</v>
      </c>
      <c r="M826" s="7" t="s">
        <v>2926</v>
      </c>
      <c r="N826" s="7" t="s">
        <v>2927</v>
      </c>
      <c r="O826" s="2"/>
      <c r="P826" s="2"/>
      <c r="Q826" s="2" t="str">
        <f>IF(SUMPRODUCT(--ISNUMBER(SEARCH('National Domains'!$A$2:$A$48,L826)))&gt;0,"Yes","No")</f>
        <v>No</v>
      </c>
      <c r="R826" s="2" t="str">
        <f>IF(COUNTIFS(Calibration!$A:$A,A826,Calibration!$B:$B,B826)&gt;0,"Yes","No")</f>
        <v>No</v>
      </c>
      <c r="S826" s="6"/>
    </row>
    <row r="827" spans="1:19" ht="23.25" customHeight="1" x14ac:dyDescent="0.2">
      <c r="A827" s="2">
        <v>200</v>
      </c>
      <c r="B827" s="2">
        <v>1</v>
      </c>
      <c r="C827" s="2" t="s">
        <v>360</v>
      </c>
      <c r="D827" s="2" t="s">
        <v>17</v>
      </c>
      <c r="E827" s="2">
        <v>20200205</v>
      </c>
      <c r="F827" s="2">
        <v>20200207</v>
      </c>
      <c r="G827" s="2">
        <v>1532.2</v>
      </c>
      <c r="H827" s="2">
        <v>1256</v>
      </c>
      <c r="I827" s="2">
        <v>3</v>
      </c>
      <c r="J827" s="2" t="s">
        <v>61</v>
      </c>
      <c r="K827" s="2" t="s">
        <v>62</v>
      </c>
      <c r="L827" s="2" t="s">
        <v>2928</v>
      </c>
      <c r="M827" s="7" t="s">
        <v>2929</v>
      </c>
      <c r="N827" s="7" t="s">
        <v>2930</v>
      </c>
      <c r="O827" s="2"/>
      <c r="P827" s="2"/>
      <c r="Q827" s="2" t="str">
        <f>IF(SUMPRODUCT(--ISNUMBER(SEARCH('National Domains'!$A$2:$A$48,L827)))&gt;0,"Yes","No")</f>
        <v>No</v>
      </c>
      <c r="R827" s="2" t="str">
        <f>IF(COUNTIFS(Calibration!$A:$A,A827,Calibration!$B:$B,B827)&gt;0,"Yes","No")</f>
        <v>No</v>
      </c>
      <c r="S827" s="6"/>
    </row>
    <row r="828" spans="1:19" ht="34.5" customHeight="1" x14ac:dyDescent="0.2">
      <c r="A828" s="2">
        <v>201</v>
      </c>
      <c r="B828" s="2">
        <v>1</v>
      </c>
      <c r="C828" s="2" t="s">
        <v>361</v>
      </c>
      <c r="D828" s="2" t="s">
        <v>17</v>
      </c>
      <c r="E828" s="2">
        <v>20200302</v>
      </c>
      <c r="F828" s="2">
        <v>20200304</v>
      </c>
      <c r="G828" s="2">
        <v>2850</v>
      </c>
      <c r="H828" s="2">
        <v>2336</v>
      </c>
      <c r="I828" s="2">
        <v>25</v>
      </c>
      <c r="J828" s="2" t="s">
        <v>14</v>
      </c>
      <c r="K828" s="2" t="s">
        <v>15</v>
      </c>
      <c r="L828" s="2" t="s">
        <v>2931</v>
      </c>
      <c r="M828" s="7" t="s">
        <v>2932</v>
      </c>
      <c r="N828" s="7" t="s">
        <v>2933</v>
      </c>
      <c r="O828" s="2"/>
      <c r="P828" s="2"/>
      <c r="Q828" s="2" t="str">
        <f>IF(SUMPRODUCT(--ISNUMBER(SEARCH('National Domains'!$A$2:$A$48,L828)))&gt;0,"Yes","No")</f>
        <v>Yes</v>
      </c>
      <c r="R828" s="2" t="str">
        <f>IF(COUNTIFS(Calibration!$A:$A,A828,Calibration!$B:$B,B828)&gt;0,"Yes","No")</f>
        <v>No</v>
      </c>
      <c r="S828" s="6"/>
    </row>
    <row r="829" spans="1:19" ht="34.5" customHeight="1" x14ac:dyDescent="0.2">
      <c r="A829" s="2">
        <v>201</v>
      </c>
      <c r="B829" s="2">
        <v>2</v>
      </c>
      <c r="C829" s="2" t="s">
        <v>361</v>
      </c>
      <c r="D829" s="2" t="s">
        <v>17</v>
      </c>
      <c r="E829" s="2">
        <v>20200302</v>
      </c>
      <c r="F829" s="2">
        <v>20200304</v>
      </c>
      <c r="G829" s="2">
        <v>2850</v>
      </c>
      <c r="H829" s="2">
        <v>2336</v>
      </c>
      <c r="I829" s="2">
        <v>25</v>
      </c>
      <c r="J829" s="2" t="s">
        <v>14</v>
      </c>
      <c r="K829" s="2" t="s">
        <v>15</v>
      </c>
      <c r="L829" s="2" t="s">
        <v>2934</v>
      </c>
      <c r="M829" s="7" t="s">
        <v>2935</v>
      </c>
      <c r="N829" s="7" t="s">
        <v>2936</v>
      </c>
      <c r="O829" s="2"/>
      <c r="P829" s="2"/>
      <c r="Q829" s="2" t="str">
        <f>IF(SUMPRODUCT(--ISNUMBER(SEARCH('National Domains'!$A$2:$A$48,L829)))&gt;0,"Yes","No")</f>
        <v>Yes</v>
      </c>
      <c r="R829" s="2" t="str">
        <f>IF(COUNTIFS(Calibration!$A:$A,A829,Calibration!$B:$B,B829)&gt;0,"Yes","No")</f>
        <v>No</v>
      </c>
      <c r="S829" s="6"/>
    </row>
    <row r="830" spans="1:19" ht="34.5" customHeight="1" x14ac:dyDescent="0.2">
      <c r="A830" s="2">
        <v>201</v>
      </c>
      <c r="B830" s="2">
        <v>3</v>
      </c>
      <c r="C830" s="2" t="s">
        <v>361</v>
      </c>
      <c r="D830" s="2" t="s">
        <v>17</v>
      </c>
      <c r="E830" s="2">
        <v>20200302</v>
      </c>
      <c r="F830" s="2">
        <v>20200304</v>
      </c>
      <c r="G830" s="2">
        <v>2850</v>
      </c>
      <c r="H830" s="2">
        <v>2336</v>
      </c>
      <c r="I830" s="2">
        <v>25</v>
      </c>
      <c r="J830" s="2" t="s">
        <v>14</v>
      </c>
      <c r="K830" s="2" t="s">
        <v>15</v>
      </c>
      <c r="L830" s="2" t="s">
        <v>2937</v>
      </c>
      <c r="M830" s="7" t="s">
        <v>2938</v>
      </c>
      <c r="N830" s="7" t="s">
        <v>2939</v>
      </c>
      <c r="O830" s="2"/>
      <c r="P830" s="2"/>
      <c r="Q830" s="2" t="str">
        <f>IF(SUMPRODUCT(--ISNUMBER(SEARCH('National Domains'!$A$2:$A$48,L830)))&gt;0,"Yes","No")</f>
        <v>Yes</v>
      </c>
      <c r="R830" s="2" t="str">
        <f>IF(COUNTIFS(Calibration!$A:$A,A830,Calibration!$B:$B,B830)&gt;0,"Yes","No")</f>
        <v>No</v>
      </c>
      <c r="S830" s="6"/>
    </row>
    <row r="831" spans="1:19" ht="34.5" customHeight="1" x14ac:dyDescent="0.2">
      <c r="A831" s="2">
        <v>201</v>
      </c>
      <c r="B831" s="2">
        <v>4</v>
      </c>
      <c r="C831" s="2" t="s">
        <v>361</v>
      </c>
      <c r="D831" s="2" t="s">
        <v>17</v>
      </c>
      <c r="E831" s="2">
        <v>20200302</v>
      </c>
      <c r="F831" s="2">
        <v>20200304</v>
      </c>
      <c r="G831" s="2">
        <v>2850</v>
      </c>
      <c r="H831" s="2">
        <v>2336</v>
      </c>
      <c r="I831" s="2">
        <v>25</v>
      </c>
      <c r="J831" s="2" t="s">
        <v>14</v>
      </c>
      <c r="K831" s="2" t="s">
        <v>15</v>
      </c>
      <c r="L831" s="2" t="s">
        <v>2940</v>
      </c>
      <c r="M831" s="7" t="s">
        <v>2941</v>
      </c>
      <c r="N831" s="7" t="s">
        <v>2942</v>
      </c>
      <c r="O831" s="2"/>
      <c r="P831" s="2"/>
      <c r="Q831" s="2" t="str">
        <f>IF(SUMPRODUCT(--ISNUMBER(SEARCH('National Domains'!$A$2:$A$48,L831)))&gt;0,"Yes","No")</f>
        <v>Yes</v>
      </c>
      <c r="R831" s="2" t="str">
        <f>IF(COUNTIFS(Calibration!$A:$A,A831,Calibration!$B:$B,B831)&gt;0,"Yes","No")</f>
        <v>No</v>
      </c>
      <c r="S831" s="6"/>
    </row>
    <row r="832" spans="1:19" ht="34.5" customHeight="1" x14ac:dyDescent="0.2">
      <c r="A832" s="2">
        <v>201</v>
      </c>
      <c r="B832" s="2">
        <v>5</v>
      </c>
      <c r="C832" s="2" t="s">
        <v>361</v>
      </c>
      <c r="D832" s="2" t="s">
        <v>17</v>
      </c>
      <c r="E832" s="2">
        <v>20200302</v>
      </c>
      <c r="F832" s="2">
        <v>20200304</v>
      </c>
      <c r="G832" s="2">
        <v>2850</v>
      </c>
      <c r="H832" s="2">
        <v>2336</v>
      </c>
      <c r="I832" s="2">
        <v>25</v>
      </c>
      <c r="J832" s="2" t="s">
        <v>14</v>
      </c>
      <c r="K832" s="2" t="s">
        <v>15</v>
      </c>
      <c r="L832" s="2" t="s">
        <v>2943</v>
      </c>
      <c r="M832" s="7" t="s">
        <v>2944</v>
      </c>
      <c r="N832" s="7" t="s">
        <v>2945</v>
      </c>
      <c r="O832" s="2"/>
      <c r="P832" s="2"/>
      <c r="Q832" s="2" t="str">
        <f>IF(SUMPRODUCT(--ISNUMBER(SEARCH('National Domains'!$A$2:$A$48,L832)))&gt;0,"Yes","No")</f>
        <v>Yes</v>
      </c>
      <c r="R832" s="2" t="str">
        <f>IF(COUNTIFS(Calibration!$A:$A,A832,Calibration!$B:$B,B832)&gt;0,"Yes","No")</f>
        <v>No</v>
      </c>
      <c r="S832" s="6"/>
    </row>
    <row r="833" spans="1:19" ht="34.5" customHeight="1" x14ac:dyDescent="0.2">
      <c r="A833" s="2">
        <v>202</v>
      </c>
      <c r="B833" s="2">
        <v>1</v>
      </c>
      <c r="C833" s="2" t="s">
        <v>362</v>
      </c>
      <c r="D833" s="2" t="s">
        <v>17</v>
      </c>
      <c r="E833" s="2">
        <v>20200327</v>
      </c>
      <c r="F833" s="2">
        <v>20200328</v>
      </c>
      <c r="G833" s="2">
        <v>3120.9</v>
      </c>
      <c r="H833" s="2">
        <v>2558</v>
      </c>
      <c r="I833" s="2">
        <v>0</v>
      </c>
      <c r="J833" s="2" t="s">
        <v>33</v>
      </c>
      <c r="K833" s="2" t="s">
        <v>34</v>
      </c>
      <c r="L833" s="2" t="s">
        <v>2946</v>
      </c>
      <c r="M833" s="7" t="s">
        <v>2947</v>
      </c>
      <c r="N833" s="7" t="s">
        <v>2948</v>
      </c>
      <c r="O833" s="2"/>
      <c r="P833" s="2"/>
      <c r="Q833" s="2" t="str">
        <f>IF(SUMPRODUCT(--ISNUMBER(SEARCH('National Domains'!$A$2:$A$48,L833)))&gt;0,"Yes","No")</f>
        <v>Yes</v>
      </c>
      <c r="R833" s="2" t="str">
        <f>IF(COUNTIFS(Calibration!$A:$A,A833,Calibration!$B:$B,B833)&gt;0,"Yes","No")</f>
        <v>No</v>
      </c>
      <c r="S833" s="6"/>
    </row>
    <row r="834" spans="1:19" ht="34.5" customHeight="1" x14ac:dyDescent="0.2">
      <c r="A834" s="2">
        <v>202</v>
      </c>
      <c r="B834" s="2">
        <v>2</v>
      </c>
      <c r="C834" s="2" t="s">
        <v>362</v>
      </c>
      <c r="D834" s="2" t="s">
        <v>17</v>
      </c>
      <c r="E834" s="2">
        <v>20200327</v>
      </c>
      <c r="F834" s="2">
        <v>20200328</v>
      </c>
      <c r="G834" s="2">
        <v>3120.9</v>
      </c>
      <c r="H834" s="2">
        <v>2558</v>
      </c>
      <c r="I834" s="2">
        <v>0</v>
      </c>
      <c r="J834" s="2" t="s">
        <v>33</v>
      </c>
      <c r="K834" s="2" t="s">
        <v>34</v>
      </c>
      <c r="L834" s="2" t="s">
        <v>2949</v>
      </c>
      <c r="M834" s="7" t="s">
        <v>2950</v>
      </c>
      <c r="N834" s="7" t="s">
        <v>2951</v>
      </c>
      <c r="O834" s="2"/>
      <c r="P834" s="2"/>
      <c r="Q834" s="2" t="str">
        <f>IF(SUMPRODUCT(--ISNUMBER(SEARCH('National Domains'!$A$2:$A$48,L834)))&gt;0,"Yes","No")</f>
        <v>Yes</v>
      </c>
      <c r="R834" s="2" t="str">
        <f>IF(COUNTIFS(Calibration!$A:$A,A834,Calibration!$B:$B,B834)&gt;0,"Yes","No")</f>
        <v>No</v>
      </c>
      <c r="S834" s="6"/>
    </row>
    <row r="835" spans="1:19" ht="34.5" customHeight="1" x14ac:dyDescent="0.2">
      <c r="A835" s="2">
        <v>203</v>
      </c>
      <c r="B835" s="2">
        <v>1</v>
      </c>
      <c r="C835" s="2" t="s">
        <v>363</v>
      </c>
      <c r="D835" s="2" t="s">
        <v>17</v>
      </c>
      <c r="E835" s="2">
        <v>20200407</v>
      </c>
      <c r="F835" s="2">
        <v>20200408</v>
      </c>
      <c r="G835" s="2">
        <v>3543.9</v>
      </c>
      <c r="H835" s="2">
        <v>2881</v>
      </c>
      <c r="I835" s="2">
        <v>0</v>
      </c>
      <c r="J835" s="2" t="s">
        <v>33</v>
      </c>
      <c r="K835" s="2" t="s">
        <v>34</v>
      </c>
      <c r="L835" s="2" t="s">
        <v>2952</v>
      </c>
      <c r="M835" s="7" t="s">
        <v>2953</v>
      </c>
      <c r="N835" s="7" t="s">
        <v>2954</v>
      </c>
      <c r="O835" s="2"/>
      <c r="P835" s="2"/>
      <c r="Q835" s="2" t="str">
        <f>IF(SUMPRODUCT(--ISNUMBER(SEARCH('National Domains'!$A$2:$A$48,L835)))&gt;0,"Yes","No")</f>
        <v>Yes</v>
      </c>
      <c r="R835" s="2" t="str">
        <f>IF(COUNTIFS(Calibration!$A:$A,A835,Calibration!$B:$B,B835)&gt;0,"Yes","No")</f>
        <v>No</v>
      </c>
      <c r="S835" s="6"/>
    </row>
    <row r="836" spans="1:19" ht="34.5" customHeight="1" x14ac:dyDescent="0.2">
      <c r="A836" s="2">
        <v>204</v>
      </c>
      <c r="B836" s="2">
        <v>1</v>
      </c>
      <c r="C836" s="2" t="s">
        <v>364</v>
      </c>
      <c r="D836" s="2" t="s">
        <v>17</v>
      </c>
      <c r="E836" s="2">
        <v>20200412</v>
      </c>
      <c r="F836" s="2">
        <v>20200413</v>
      </c>
      <c r="G836" s="2">
        <v>4236.2</v>
      </c>
      <c r="H836" s="2">
        <v>3444</v>
      </c>
      <c r="I836" s="2">
        <v>35</v>
      </c>
      <c r="J836" s="2" t="s">
        <v>268</v>
      </c>
      <c r="K836" s="2" t="s">
        <v>269</v>
      </c>
      <c r="L836" s="2" t="s">
        <v>2955</v>
      </c>
      <c r="M836" s="7" t="s">
        <v>2956</v>
      </c>
      <c r="N836" s="7" t="s">
        <v>2957</v>
      </c>
      <c r="O836" s="2"/>
      <c r="P836" s="2"/>
      <c r="Q836" s="2" t="str">
        <f>IF(SUMPRODUCT(--ISNUMBER(SEARCH('National Domains'!$A$2:$A$48,L836)))&gt;0,"Yes","No")</f>
        <v>Yes</v>
      </c>
      <c r="R836" s="2" t="str">
        <f>IF(COUNTIFS(Calibration!$A:$A,A836,Calibration!$B:$B,B836)&gt;0,"Yes","No")</f>
        <v>No</v>
      </c>
      <c r="S836" s="6"/>
    </row>
    <row r="837" spans="1:19" ht="34.5" customHeight="1" x14ac:dyDescent="0.2">
      <c r="A837" s="2">
        <v>204</v>
      </c>
      <c r="B837" s="2">
        <v>2</v>
      </c>
      <c r="C837" s="2" t="s">
        <v>364</v>
      </c>
      <c r="D837" s="2" t="s">
        <v>17</v>
      </c>
      <c r="E837" s="2">
        <v>20200412</v>
      </c>
      <c r="F837" s="2">
        <v>20200413</v>
      </c>
      <c r="G837" s="2">
        <v>4236.2</v>
      </c>
      <c r="H837" s="2">
        <v>3444</v>
      </c>
      <c r="I837" s="2">
        <v>35</v>
      </c>
      <c r="J837" s="2" t="s">
        <v>268</v>
      </c>
      <c r="K837" s="2" t="s">
        <v>269</v>
      </c>
      <c r="L837" s="2" t="s">
        <v>2958</v>
      </c>
      <c r="M837" s="7" t="s">
        <v>2959</v>
      </c>
      <c r="N837" s="7" t="s">
        <v>2960</v>
      </c>
      <c r="O837" s="2"/>
      <c r="P837" s="2"/>
      <c r="Q837" s="2" t="str">
        <f>IF(SUMPRODUCT(--ISNUMBER(SEARCH('National Domains'!$A$2:$A$48,L837)))&gt;0,"Yes","No")</f>
        <v>Yes</v>
      </c>
      <c r="R837" s="2" t="str">
        <f>IF(COUNTIFS(Calibration!$A:$A,A837,Calibration!$B:$B,B837)&gt;0,"Yes","No")</f>
        <v>No</v>
      </c>
      <c r="S837" s="6"/>
    </row>
    <row r="838" spans="1:19" ht="34.5" customHeight="1" x14ac:dyDescent="0.2">
      <c r="A838" s="2">
        <v>204</v>
      </c>
      <c r="B838" s="2">
        <v>3</v>
      </c>
      <c r="C838" s="2" t="s">
        <v>364</v>
      </c>
      <c r="D838" s="2" t="s">
        <v>17</v>
      </c>
      <c r="E838" s="2">
        <v>20200412</v>
      </c>
      <c r="F838" s="2">
        <v>20200413</v>
      </c>
      <c r="G838" s="2">
        <v>4236.2</v>
      </c>
      <c r="H838" s="2">
        <v>3444</v>
      </c>
      <c r="I838" s="2">
        <v>35</v>
      </c>
      <c r="J838" s="2" t="s">
        <v>268</v>
      </c>
      <c r="K838" s="2" t="s">
        <v>269</v>
      </c>
      <c r="L838" s="2" t="s">
        <v>2961</v>
      </c>
      <c r="M838" s="7" t="s">
        <v>2962</v>
      </c>
      <c r="N838" s="7" t="s">
        <v>2963</v>
      </c>
      <c r="O838" s="2"/>
      <c r="P838" s="2"/>
      <c r="Q838" s="2" t="str">
        <f>IF(SUMPRODUCT(--ISNUMBER(SEARCH('National Domains'!$A$2:$A$48,L838)))&gt;0,"Yes","No")</f>
        <v>Yes</v>
      </c>
      <c r="R838" s="2" t="str">
        <f>IF(COUNTIFS(Calibration!$A:$A,A838,Calibration!$B:$B,B838)&gt;0,"Yes","No")</f>
        <v>No</v>
      </c>
      <c r="S838" s="6"/>
    </row>
    <row r="839" spans="1:19" ht="34.5" customHeight="1" x14ac:dyDescent="0.2">
      <c r="A839" s="4">
        <v>204</v>
      </c>
      <c r="B839" s="4">
        <v>4</v>
      </c>
      <c r="C839" s="4" t="s">
        <v>364</v>
      </c>
      <c r="D839" s="4" t="s">
        <v>17</v>
      </c>
      <c r="E839" s="4">
        <v>20200412</v>
      </c>
      <c r="F839" s="4">
        <v>20200413</v>
      </c>
      <c r="G839" s="4">
        <v>4236.2</v>
      </c>
      <c r="H839" s="4">
        <v>3444</v>
      </c>
      <c r="I839" s="4">
        <v>35</v>
      </c>
      <c r="J839" s="4" t="s">
        <v>268</v>
      </c>
      <c r="K839" s="4" t="s">
        <v>269</v>
      </c>
      <c r="L839" s="4" t="s">
        <v>2964</v>
      </c>
      <c r="M839" s="5" t="s">
        <v>2965</v>
      </c>
      <c r="N839" s="5" t="s">
        <v>2966</v>
      </c>
      <c r="O839" s="4"/>
      <c r="P839" s="4"/>
      <c r="Q839" s="4" t="str">
        <f>IF(SUMPRODUCT(--ISNUMBER(SEARCH('National Domains'!$A$2:$A$48,L839)))&gt;0,"Yes","No")</f>
        <v>Yes</v>
      </c>
      <c r="R839" s="4" t="str">
        <f>IF(COUNTIFS(Calibration!$A:$A,A839,Calibration!$B:$B,B839)&gt;0,"Yes","No")</f>
        <v>Yes</v>
      </c>
      <c r="S839" s="6"/>
    </row>
    <row r="840" spans="1:19" ht="23.25" customHeight="1" x14ac:dyDescent="0.2">
      <c r="A840" s="2">
        <v>204</v>
      </c>
      <c r="B840" s="2">
        <v>5</v>
      </c>
      <c r="C840" s="2" t="s">
        <v>364</v>
      </c>
      <c r="D840" s="2" t="s">
        <v>17</v>
      </c>
      <c r="E840" s="2">
        <v>20200412</v>
      </c>
      <c r="F840" s="2">
        <v>20200413</v>
      </c>
      <c r="G840" s="2">
        <v>4236.2</v>
      </c>
      <c r="H840" s="2">
        <v>3444</v>
      </c>
      <c r="I840" s="2">
        <v>35</v>
      </c>
      <c r="J840" s="2" t="s">
        <v>268</v>
      </c>
      <c r="K840" s="2" t="s">
        <v>269</v>
      </c>
      <c r="L840" s="2" t="s">
        <v>2967</v>
      </c>
      <c r="M840" s="7" t="s">
        <v>2968</v>
      </c>
      <c r="N840" s="7" t="s">
        <v>2969</v>
      </c>
      <c r="O840" s="2"/>
      <c r="P840" s="2"/>
      <c r="Q840" s="2" t="str">
        <f>IF(SUMPRODUCT(--ISNUMBER(SEARCH('National Domains'!$A$2:$A$48,L840)))&gt;0,"Yes","No")</f>
        <v>Yes</v>
      </c>
      <c r="R840" s="2" t="str">
        <f>IF(COUNTIFS(Calibration!$A:$A,A840,Calibration!$B:$B,B840)&gt;0,"Yes","No")</f>
        <v>No</v>
      </c>
      <c r="S840" s="6"/>
    </row>
    <row r="841" spans="1:19" ht="34.5" customHeight="1" x14ac:dyDescent="0.2">
      <c r="A841" s="2">
        <v>204</v>
      </c>
      <c r="B841" s="2">
        <v>6</v>
      </c>
      <c r="C841" s="2" t="s">
        <v>364</v>
      </c>
      <c r="D841" s="2" t="s">
        <v>17</v>
      </c>
      <c r="E841" s="2">
        <v>20200412</v>
      </c>
      <c r="F841" s="2">
        <v>20200413</v>
      </c>
      <c r="G841" s="2">
        <v>4236.2</v>
      </c>
      <c r="H841" s="2">
        <v>3444</v>
      </c>
      <c r="I841" s="2">
        <v>35</v>
      </c>
      <c r="J841" s="2" t="s">
        <v>268</v>
      </c>
      <c r="K841" s="2" t="s">
        <v>269</v>
      </c>
      <c r="L841" s="2" t="s">
        <v>2970</v>
      </c>
      <c r="M841" s="7" t="s">
        <v>2971</v>
      </c>
      <c r="N841" s="7" t="s">
        <v>2972</v>
      </c>
      <c r="O841" s="2"/>
      <c r="P841" s="2"/>
      <c r="Q841" s="2" t="str">
        <f>IF(SUMPRODUCT(--ISNUMBER(SEARCH('National Domains'!$A$2:$A$48,L841)))&gt;0,"Yes","No")</f>
        <v>Yes</v>
      </c>
      <c r="R841" s="2" t="str">
        <f>IF(COUNTIFS(Calibration!$A:$A,A841,Calibration!$B:$B,B841)&gt;0,"Yes","No")</f>
        <v>No</v>
      </c>
      <c r="S841" s="6"/>
    </row>
    <row r="842" spans="1:19" ht="34.5" customHeight="1" x14ac:dyDescent="0.2">
      <c r="A842" s="4">
        <v>204</v>
      </c>
      <c r="B842" s="4">
        <v>7</v>
      </c>
      <c r="C842" s="4" t="s">
        <v>364</v>
      </c>
      <c r="D842" s="4" t="s">
        <v>17</v>
      </c>
      <c r="E842" s="4">
        <v>20200412</v>
      </c>
      <c r="F842" s="4">
        <v>20200413</v>
      </c>
      <c r="G842" s="4">
        <v>4236.2</v>
      </c>
      <c r="H842" s="4">
        <v>3444</v>
      </c>
      <c r="I842" s="4">
        <v>35</v>
      </c>
      <c r="J842" s="4" t="s">
        <v>268</v>
      </c>
      <c r="K842" s="4" t="s">
        <v>269</v>
      </c>
      <c r="L842" s="4" t="s">
        <v>2973</v>
      </c>
      <c r="M842" s="5" t="s">
        <v>2974</v>
      </c>
      <c r="N842" s="5" t="s">
        <v>2975</v>
      </c>
      <c r="O842" s="4"/>
      <c r="P842" s="4"/>
      <c r="Q842" s="4" t="str">
        <f>IF(SUMPRODUCT(--ISNUMBER(SEARCH('National Domains'!$A$2:$A$48,L842)))&gt;0,"Yes","No")</f>
        <v>Yes</v>
      </c>
      <c r="R842" s="4" t="str">
        <f>IF(COUNTIFS(Calibration!$A:$A,A842,Calibration!$B:$B,B842)&gt;0,"Yes","No")</f>
        <v>Yes</v>
      </c>
      <c r="S842" s="6"/>
    </row>
    <row r="843" spans="1:19" ht="34.5" customHeight="1" x14ac:dyDescent="0.2">
      <c r="A843" s="2">
        <v>204</v>
      </c>
      <c r="B843" s="2">
        <v>8</v>
      </c>
      <c r="C843" s="2" t="s">
        <v>364</v>
      </c>
      <c r="D843" s="2" t="s">
        <v>17</v>
      </c>
      <c r="E843" s="2">
        <v>20200412</v>
      </c>
      <c r="F843" s="2">
        <v>20200413</v>
      </c>
      <c r="G843" s="2">
        <v>4236.2</v>
      </c>
      <c r="H843" s="2">
        <v>3444</v>
      </c>
      <c r="I843" s="2">
        <v>35</v>
      </c>
      <c r="J843" s="2" t="s">
        <v>268</v>
      </c>
      <c r="K843" s="2" t="s">
        <v>269</v>
      </c>
      <c r="L843" s="2" t="s">
        <v>2976</v>
      </c>
      <c r="M843" s="7" t="s">
        <v>2977</v>
      </c>
      <c r="N843" s="7" t="s">
        <v>2978</v>
      </c>
      <c r="O843" s="2"/>
      <c r="P843" s="2"/>
      <c r="Q843" s="2" t="str">
        <f>IF(SUMPRODUCT(--ISNUMBER(SEARCH('National Domains'!$A$2:$A$48,L843)))&gt;0,"Yes","No")</f>
        <v>Yes</v>
      </c>
      <c r="R843" s="2" t="str">
        <f>IF(COUNTIFS(Calibration!$A:$A,A843,Calibration!$B:$B,B843)&gt;0,"Yes","No")</f>
        <v>No</v>
      </c>
      <c r="S843" s="6"/>
    </row>
    <row r="844" spans="1:19" ht="34.5" customHeight="1" x14ac:dyDescent="0.2">
      <c r="A844" s="2">
        <v>204</v>
      </c>
      <c r="B844" s="2">
        <v>9</v>
      </c>
      <c r="C844" s="2" t="s">
        <v>364</v>
      </c>
      <c r="D844" s="2" t="s">
        <v>17</v>
      </c>
      <c r="E844" s="2">
        <v>20200412</v>
      </c>
      <c r="F844" s="2">
        <v>20200413</v>
      </c>
      <c r="G844" s="2">
        <v>4236.2</v>
      </c>
      <c r="H844" s="2">
        <v>3444</v>
      </c>
      <c r="I844" s="2">
        <v>35</v>
      </c>
      <c r="J844" s="2" t="s">
        <v>268</v>
      </c>
      <c r="K844" s="2" t="s">
        <v>269</v>
      </c>
      <c r="L844" s="2" t="s">
        <v>2979</v>
      </c>
      <c r="M844" s="7" t="s">
        <v>2980</v>
      </c>
      <c r="N844" s="7" t="s">
        <v>2981</v>
      </c>
      <c r="O844" s="2"/>
      <c r="P844" s="2"/>
      <c r="Q844" s="2" t="str">
        <f>IF(SUMPRODUCT(--ISNUMBER(SEARCH('National Domains'!$A$2:$A$48,L844)))&gt;0,"Yes","No")</f>
        <v>Yes</v>
      </c>
      <c r="R844" s="2" t="str">
        <f>IF(COUNTIFS(Calibration!$A:$A,A844,Calibration!$B:$B,B844)&gt;0,"Yes","No")</f>
        <v>No</v>
      </c>
      <c r="S844" s="6"/>
    </row>
    <row r="845" spans="1:19" ht="23.25" customHeight="1" x14ac:dyDescent="0.2">
      <c r="A845" s="2">
        <v>205</v>
      </c>
      <c r="B845" s="2">
        <v>1</v>
      </c>
      <c r="C845" s="2" t="s">
        <v>365</v>
      </c>
      <c r="D845" s="2" t="s">
        <v>17</v>
      </c>
      <c r="E845" s="2">
        <v>20200421</v>
      </c>
      <c r="F845" s="2">
        <v>20200423</v>
      </c>
      <c r="G845" s="2">
        <v>1660.6</v>
      </c>
      <c r="H845" s="2">
        <v>1350</v>
      </c>
      <c r="I845" s="2">
        <v>3</v>
      </c>
      <c r="J845" s="2" t="s">
        <v>18</v>
      </c>
      <c r="K845" s="2" t="s">
        <v>19</v>
      </c>
      <c r="L845" s="2" t="s">
        <v>2982</v>
      </c>
      <c r="M845" s="7" t="s">
        <v>2983</v>
      </c>
      <c r="N845" s="7" t="s">
        <v>2984</v>
      </c>
      <c r="O845" s="2"/>
      <c r="P845" s="2"/>
      <c r="Q845" s="2" t="str">
        <f>IF(SUMPRODUCT(--ISNUMBER(SEARCH('National Domains'!$A$2:$A$48,L845)))&gt;0,"Yes","No")</f>
        <v>No</v>
      </c>
      <c r="R845" s="2" t="str">
        <f>IF(COUNTIFS(Calibration!$A:$A,A845,Calibration!$B:$B,B845)&gt;0,"Yes","No")</f>
        <v>No</v>
      </c>
      <c r="S845" s="6"/>
    </row>
    <row r="846" spans="1:19" ht="34.5" customHeight="1" x14ac:dyDescent="0.2">
      <c r="A846" s="2">
        <v>205</v>
      </c>
      <c r="B846" s="2">
        <v>2</v>
      </c>
      <c r="C846" s="2" t="s">
        <v>365</v>
      </c>
      <c r="D846" s="2" t="s">
        <v>17</v>
      </c>
      <c r="E846" s="2">
        <v>20200421</v>
      </c>
      <c r="F846" s="2">
        <v>20200423</v>
      </c>
      <c r="G846" s="2">
        <v>1660.6</v>
      </c>
      <c r="H846" s="2">
        <v>1350</v>
      </c>
      <c r="I846" s="2">
        <v>3</v>
      </c>
      <c r="J846" s="2" t="s">
        <v>18</v>
      </c>
      <c r="K846" s="2" t="s">
        <v>19</v>
      </c>
      <c r="L846" s="2" t="s">
        <v>2985</v>
      </c>
      <c r="M846" s="7" t="s">
        <v>2986</v>
      </c>
      <c r="N846" s="7" t="s">
        <v>2987</v>
      </c>
      <c r="O846" s="2"/>
      <c r="P846" s="2"/>
      <c r="Q846" s="2" t="str">
        <f>IF(SUMPRODUCT(--ISNUMBER(SEARCH('National Domains'!$A$2:$A$48,L846)))&gt;0,"Yes","No")</f>
        <v>Yes</v>
      </c>
      <c r="R846" s="2" t="str">
        <f>IF(COUNTIFS(Calibration!$A:$A,A846,Calibration!$B:$B,B846)&gt;0,"Yes","No")</f>
        <v>No</v>
      </c>
      <c r="S846" s="6"/>
    </row>
    <row r="847" spans="1:19" ht="34.5" customHeight="1" x14ac:dyDescent="0.2">
      <c r="A847" s="2">
        <v>205</v>
      </c>
      <c r="B847" s="2">
        <v>3</v>
      </c>
      <c r="C847" s="2" t="s">
        <v>365</v>
      </c>
      <c r="D847" s="2" t="s">
        <v>17</v>
      </c>
      <c r="E847" s="2">
        <v>20200421</v>
      </c>
      <c r="F847" s="2">
        <v>20200423</v>
      </c>
      <c r="G847" s="2">
        <v>1660.6</v>
      </c>
      <c r="H847" s="2">
        <v>1350</v>
      </c>
      <c r="I847" s="2">
        <v>3</v>
      </c>
      <c r="J847" s="2" t="s">
        <v>18</v>
      </c>
      <c r="K847" s="2" t="s">
        <v>19</v>
      </c>
      <c r="L847" s="2" t="s">
        <v>2988</v>
      </c>
      <c r="M847" s="7" t="s">
        <v>2989</v>
      </c>
      <c r="N847" s="7" t="s">
        <v>2990</v>
      </c>
      <c r="O847" s="2"/>
      <c r="P847" s="2"/>
      <c r="Q847" s="2" t="str">
        <f>IF(SUMPRODUCT(--ISNUMBER(SEARCH('National Domains'!$A$2:$A$48,L847)))&gt;0,"Yes","No")</f>
        <v>Yes</v>
      </c>
      <c r="R847" s="2" t="str">
        <f>IF(COUNTIFS(Calibration!$A:$A,A847,Calibration!$B:$B,B847)&gt;0,"Yes","No")</f>
        <v>No</v>
      </c>
      <c r="S847" s="6"/>
    </row>
    <row r="848" spans="1:19" ht="23.25" customHeight="1" x14ac:dyDescent="0.2">
      <c r="A848" s="2">
        <v>205</v>
      </c>
      <c r="B848" s="2">
        <v>4</v>
      </c>
      <c r="C848" s="2" t="s">
        <v>365</v>
      </c>
      <c r="D848" s="2" t="s">
        <v>17</v>
      </c>
      <c r="E848" s="2">
        <v>20200421</v>
      </c>
      <c r="F848" s="2">
        <v>20200423</v>
      </c>
      <c r="G848" s="2">
        <v>1660.6</v>
      </c>
      <c r="H848" s="2">
        <v>1350</v>
      </c>
      <c r="I848" s="2">
        <v>3</v>
      </c>
      <c r="J848" s="2" t="s">
        <v>18</v>
      </c>
      <c r="K848" s="2" t="s">
        <v>19</v>
      </c>
      <c r="L848" s="2" t="s">
        <v>2991</v>
      </c>
      <c r="M848" s="7" t="s">
        <v>2992</v>
      </c>
      <c r="N848" s="7" t="s">
        <v>2993</v>
      </c>
      <c r="O848" s="2"/>
      <c r="P848" s="2"/>
      <c r="Q848" s="2" t="str">
        <f>IF(SUMPRODUCT(--ISNUMBER(SEARCH('National Domains'!$A$2:$A$48,L848)))&gt;0,"Yes","No")</f>
        <v>Yes</v>
      </c>
      <c r="R848" s="2" t="str">
        <f>IF(COUNTIFS(Calibration!$A:$A,A848,Calibration!$B:$B,B848)&gt;0,"Yes","No")</f>
        <v>No</v>
      </c>
      <c r="S848" s="6"/>
    </row>
    <row r="849" spans="1:19" ht="34.5" customHeight="1" x14ac:dyDescent="0.2">
      <c r="A849" s="2">
        <v>205</v>
      </c>
      <c r="B849" s="2">
        <v>5</v>
      </c>
      <c r="C849" s="2" t="s">
        <v>365</v>
      </c>
      <c r="D849" s="2" t="s">
        <v>17</v>
      </c>
      <c r="E849" s="2">
        <v>20200421</v>
      </c>
      <c r="F849" s="2">
        <v>20200423</v>
      </c>
      <c r="G849" s="2">
        <v>1660.6</v>
      </c>
      <c r="H849" s="2">
        <v>1350</v>
      </c>
      <c r="I849" s="2">
        <v>3</v>
      </c>
      <c r="J849" s="2" t="s">
        <v>18</v>
      </c>
      <c r="K849" s="2" t="s">
        <v>19</v>
      </c>
      <c r="L849" s="2" t="s">
        <v>2994</v>
      </c>
      <c r="M849" s="7" t="s">
        <v>2995</v>
      </c>
      <c r="N849" s="7" t="s">
        <v>2996</v>
      </c>
      <c r="O849" s="2"/>
      <c r="P849" s="2"/>
      <c r="Q849" s="2" t="str">
        <f>IF(SUMPRODUCT(--ISNUMBER(SEARCH('National Domains'!$A$2:$A$48,L849)))&gt;0,"Yes","No")</f>
        <v>Yes</v>
      </c>
      <c r="R849" s="2" t="str">
        <f>IF(COUNTIFS(Calibration!$A:$A,A849,Calibration!$B:$B,B849)&gt;0,"Yes","No")</f>
        <v>No</v>
      </c>
      <c r="S849" s="6"/>
    </row>
    <row r="850" spans="1:19" ht="34.5" customHeight="1" x14ac:dyDescent="0.2">
      <c r="A850" s="2">
        <v>206</v>
      </c>
      <c r="B850" s="2">
        <v>1</v>
      </c>
      <c r="C850" s="2" t="s">
        <v>366</v>
      </c>
      <c r="D850" s="2" t="s">
        <v>17</v>
      </c>
      <c r="E850" s="2">
        <v>20200427</v>
      </c>
      <c r="F850" s="2">
        <v>20200430</v>
      </c>
      <c r="G850" s="2">
        <v>1263.3</v>
      </c>
      <c r="H850" s="2">
        <v>1027</v>
      </c>
      <c r="I850" s="2">
        <v>1</v>
      </c>
      <c r="J850" s="2" t="s">
        <v>137</v>
      </c>
      <c r="K850" s="2" t="s">
        <v>138</v>
      </c>
      <c r="L850" s="2" t="s">
        <v>2997</v>
      </c>
      <c r="M850" s="7" t="s">
        <v>2998</v>
      </c>
      <c r="N850" s="7" t="s">
        <v>2999</v>
      </c>
      <c r="O850" s="2"/>
      <c r="P850" s="2"/>
      <c r="Q850" s="2" t="str">
        <f>IF(SUMPRODUCT(--ISNUMBER(SEARCH('National Domains'!$A$2:$A$48,L850)))&gt;0,"Yes","No")</f>
        <v>Yes</v>
      </c>
      <c r="R850" s="2" t="str">
        <f>IF(COUNTIFS(Calibration!$A:$A,A850,Calibration!$B:$B,B850)&gt;0,"Yes","No")</f>
        <v>No</v>
      </c>
      <c r="S850" s="6"/>
    </row>
    <row r="851" spans="1:19" ht="34.5" customHeight="1" x14ac:dyDescent="0.2">
      <c r="A851" s="2">
        <v>206</v>
      </c>
      <c r="B851" s="2">
        <v>2</v>
      </c>
      <c r="C851" s="2" t="s">
        <v>366</v>
      </c>
      <c r="D851" s="2" t="s">
        <v>17</v>
      </c>
      <c r="E851" s="2">
        <v>20200427</v>
      </c>
      <c r="F851" s="2">
        <v>20200430</v>
      </c>
      <c r="G851" s="2">
        <v>1263.3</v>
      </c>
      <c r="H851" s="2">
        <v>1027</v>
      </c>
      <c r="I851" s="2">
        <v>1</v>
      </c>
      <c r="J851" s="2" t="s">
        <v>137</v>
      </c>
      <c r="K851" s="2" t="s">
        <v>138</v>
      </c>
      <c r="L851" s="2" t="s">
        <v>3000</v>
      </c>
      <c r="M851" s="7" t="s">
        <v>3001</v>
      </c>
      <c r="N851" s="7" t="s">
        <v>3002</v>
      </c>
      <c r="O851" s="2"/>
      <c r="P851" s="2"/>
      <c r="Q851" s="2" t="str">
        <f>IF(SUMPRODUCT(--ISNUMBER(SEARCH('National Domains'!$A$2:$A$48,L851)))&gt;0,"Yes","No")</f>
        <v>No</v>
      </c>
      <c r="R851" s="2" t="str">
        <f>IF(COUNTIFS(Calibration!$A:$A,A851,Calibration!$B:$B,B851)&gt;0,"Yes","No")</f>
        <v>No</v>
      </c>
      <c r="S851" s="6"/>
    </row>
    <row r="852" spans="1:19" ht="34.5" customHeight="1" x14ac:dyDescent="0.2">
      <c r="A852" s="2">
        <v>206</v>
      </c>
      <c r="B852" s="2">
        <v>3</v>
      </c>
      <c r="C852" s="2" t="s">
        <v>366</v>
      </c>
      <c r="D852" s="2" t="s">
        <v>17</v>
      </c>
      <c r="E852" s="2">
        <v>20200427</v>
      </c>
      <c r="F852" s="2">
        <v>20200430</v>
      </c>
      <c r="G852" s="2">
        <v>1263.3</v>
      </c>
      <c r="H852" s="2">
        <v>1027</v>
      </c>
      <c r="I852" s="2">
        <v>1</v>
      </c>
      <c r="J852" s="2" t="s">
        <v>137</v>
      </c>
      <c r="K852" s="2" t="s">
        <v>138</v>
      </c>
      <c r="L852" s="2" t="s">
        <v>3003</v>
      </c>
      <c r="M852" s="7" t="s">
        <v>3004</v>
      </c>
      <c r="N852" s="7" t="s">
        <v>3005</v>
      </c>
      <c r="O852" s="2"/>
      <c r="P852" s="2"/>
      <c r="Q852" s="2" t="str">
        <f>IF(SUMPRODUCT(--ISNUMBER(SEARCH('National Domains'!$A$2:$A$48,L852)))&gt;0,"Yes","No")</f>
        <v>Yes</v>
      </c>
      <c r="R852" s="2" t="str">
        <f>IF(COUNTIFS(Calibration!$A:$A,A852,Calibration!$B:$B,B852)&gt;0,"Yes","No")</f>
        <v>No</v>
      </c>
      <c r="S852" s="6"/>
    </row>
    <row r="853" spans="1:19" ht="34.5" customHeight="1" x14ac:dyDescent="0.2">
      <c r="A853" s="2">
        <v>211</v>
      </c>
      <c r="B853" s="2">
        <v>1</v>
      </c>
      <c r="C853" s="2" t="s">
        <v>371</v>
      </c>
      <c r="D853" s="2" t="s">
        <v>39</v>
      </c>
      <c r="E853" s="2">
        <v>20200725</v>
      </c>
      <c r="F853" s="2">
        <v>20200726</v>
      </c>
      <c r="G853" s="2">
        <v>1300.8</v>
      </c>
      <c r="H853" s="2">
        <v>1075</v>
      </c>
      <c r="I853" s="2">
        <v>0</v>
      </c>
      <c r="J853" s="2" t="s">
        <v>125</v>
      </c>
      <c r="K853" s="2" t="s">
        <v>41</v>
      </c>
      <c r="L853" s="2" t="s">
        <v>3006</v>
      </c>
      <c r="M853" s="7" t="s">
        <v>3007</v>
      </c>
      <c r="N853" s="7" t="s">
        <v>3008</v>
      </c>
      <c r="O853" s="2"/>
      <c r="P853" s="2"/>
      <c r="Q853" s="2" t="str">
        <f>IF(SUMPRODUCT(--ISNUMBER(SEARCH('National Domains'!$A$2:$A$48,L853)))&gt;0,"Yes","No")</f>
        <v>No</v>
      </c>
      <c r="R853" s="2" t="str">
        <f>IF(COUNTIFS(Calibration!$A:$A,A853,Calibration!$B:$B,B853)&gt;0,"Yes","No")</f>
        <v>No</v>
      </c>
      <c r="S853" s="6"/>
    </row>
    <row r="854" spans="1:19" ht="34.5" customHeight="1" x14ac:dyDescent="0.2">
      <c r="A854" s="2">
        <v>211</v>
      </c>
      <c r="B854" s="2">
        <v>2</v>
      </c>
      <c r="C854" s="2" t="s">
        <v>371</v>
      </c>
      <c r="D854" s="2" t="s">
        <v>39</v>
      </c>
      <c r="E854" s="2">
        <v>20200725</v>
      </c>
      <c r="F854" s="2">
        <v>20200726</v>
      </c>
      <c r="G854" s="2">
        <v>1300.8</v>
      </c>
      <c r="H854" s="2">
        <v>1075</v>
      </c>
      <c r="I854" s="2">
        <v>0</v>
      </c>
      <c r="J854" s="2" t="s">
        <v>125</v>
      </c>
      <c r="K854" s="2" t="s">
        <v>41</v>
      </c>
      <c r="L854" s="2" t="s">
        <v>3009</v>
      </c>
      <c r="M854" s="7" t="s">
        <v>3010</v>
      </c>
      <c r="N854" s="7" t="s">
        <v>3011</v>
      </c>
      <c r="O854" s="2"/>
      <c r="P854" s="2"/>
      <c r="Q854" s="2" t="str">
        <f>IF(SUMPRODUCT(--ISNUMBER(SEARCH('National Domains'!$A$2:$A$48,L854)))&gt;0,"Yes","No")</f>
        <v>Yes</v>
      </c>
      <c r="R854" s="2" t="str">
        <f>IF(COUNTIFS(Calibration!$A:$A,A854,Calibration!$B:$B,B854)&gt;0,"Yes","No")</f>
        <v>No</v>
      </c>
      <c r="S854" s="6"/>
    </row>
    <row r="855" spans="1:19" ht="34.5" customHeight="1" x14ac:dyDescent="0.2">
      <c r="A855" s="2">
        <v>211</v>
      </c>
      <c r="B855" s="2">
        <v>3</v>
      </c>
      <c r="C855" s="2" t="s">
        <v>371</v>
      </c>
      <c r="D855" s="2" t="s">
        <v>39</v>
      </c>
      <c r="E855" s="2">
        <v>20200725</v>
      </c>
      <c r="F855" s="2">
        <v>20200726</v>
      </c>
      <c r="G855" s="2">
        <v>1300.8</v>
      </c>
      <c r="H855" s="2">
        <v>1075</v>
      </c>
      <c r="I855" s="2">
        <v>0</v>
      </c>
      <c r="J855" s="2" t="s">
        <v>125</v>
      </c>
      <c r="K855" s="2" t="s">
        <v>41</v>
      </c>
      <c r="L855" s="2" t="s">
        <v>3012</v>
      </c>
      <c r="M855" s="7" t="s">
        <v>3013</v>
      </c>
      <c r="N855" s="7" t="s">
        <v>3014</v>
      </c>
      <c r="O855" s="2"/>
      <c r="P855" s="2"/>
      <c r="Q855" s="2" t="str">
        <f>IF(SUMPRODUCT(--ISNUMBER(SEARCH('National Domains'!$A$2:$A$48,L855)))&gt;0,"Yes","No")</f>
        <v>Yes</v>
      </c>
      <c r="R855" s="2" t="str">
        <f>IF(COUNTIFS(Calibration!$A:$A,A855,Calibration!$B:$B,B855)&gt;0,"Yes","No")</f>
        <v>No</v>
      </c>
      <c r="S855" s="6"/>
    </row>
    <row r="856" spans="1:19" ht="34.5" customHeight="1" x14ac:dyDescent="0.2">
      <c r="A856" s="2">
        <v>211</v>
      </c>
      <c r="B856" s="2">
        <v>4</v>
      </c>
      <c r="C856" s="2" t="s">
        <v>371</v>
      </c>
      <c r="D856" s="2" t="s">
        <v>39</v>
      </c>
      <c r="E856" s="2">
        <v>20200725</v>
      </c>
      <c r="F856" s="2">
        <v>20200726</v>
      </c>
      <c r="G856" s="2">
        <v>1300.8</v>
      </c>
      <c r="H856" s="2">
        <v>1075</v>
      </c>
      <c r="I856" s="2">
        <v>0</v>
      </c>
      <c r="J856" s="2" t="s">
        <v>125</v>
      </c>
      <c r="K856" s="2" t="s">
        <v>41</v>
      </c>
      <c r="L856" s="2" t="s">
        <v>3015</v>
      </c>
      <c r="M856" s="7" t="s">
        <v>3016</v>
      </c>
      <c r="N856" s="7" t="s">
        <v>3017</v>
      </c>
      <c r="O856" s="2"/>
      <c r="P856" s="2"/>
      <c r="Q856" s="2" t="str">
        <f>IF(SUMPRODUCT(--ISNUMBER(SEARCH('National Domains'!$A$2:$A$48,L856)))&gt;0,"Yes","No")</f>
        <v>Yes</v>
      </c>
      <c r="R856" s="2" t="str">
        <f>IF(COUNTIFS(Calibration!$A:$A,A856,Calibration!$B:$B,B856)&gt;0,"Yes","No")</f>
        <v>No</v>
      </c>
      <c r="S856" s="6"/>
    </row>
    <row r="857" spans="1:19" ht="34.5" customHeight="1" x14ac:dyDescent="0.2">
      <c r="A857" s="2">
        <v>211</v>
      </c>
      <c r="B857" s="2">
        <v>5</v>
      </c>
      <c r="C857" s="2" t="s">
        <v>371</v>
      </c>
      <c r="D857" s="2" t="s">
        <v>39</v>
      </c>
      <c r="E857" s="2">
        <v>20200725</v>
      </c>
      <c r="F857" s="2">
        <v>20200726</v>
      </c>
      <c r="G857" s="2">
        <v>1300.8</v>
      </c>
      <c r="H857" s="2">
        <v>1075</v>
      </c>
      <c r="I857" s="2">
        <v>0</v>
      </c>
      <c r="J857" s="2" t="s">
        <v>125</v>
      </c>
      <c r="K857" s="2" t="s">
        <v>41</v>
      </c>
      <c r="L857" s="2" t="s">
        <v>3018</v>
      </c>
      <c r="M857" s="7" t="s">
        <v>3019</v>
      </c>
      <c r="N857" s="7" t="s">
        <v>3020</v>
      </c>
      <c r="O857" s="2"/>
      <c r="P857" s="2"/>
      <c r="Q857" s="2" t="str">
        <f>IF(SUMPRODUCT(--ISNUMBER(SEARCH('National Domains'!$A$2:$A$48,L857)))&gt;0,"Yes","No")</f>
        <v>Yes</v>
      </c>
      <c r="R857" s="2" t="str">
        <f>IF(COUNTIFS(Calibration!$A:$A,A857,Calibration!$B:$B,B857)&gt;0,"Yes","No")</f>
        <v>No</v>
      </c>
      <c r="S857" s="6"/>
    </row>
    <row r="858" spans="1:19" ht="34.5" customHeight="1" x14ac:dyDescent="0.2">
      <c r="A858" s="2">
        <v>211</v>
      </c>
      <c r="B858" s="2">
        <v>6</v>
      </c>
      <c r="C858" s="2" t="s">
        <v>371</v>
      </c>
      <c r="D858" s="2" t="s">
        <v>39</v>
      </c>
      <c r="E858" s="2">
        <v>20200725</v>
      </c>
      <c r="F858" s="2">
        <v>20200726</v>
      </c>
      <c r="G858" s="2">
        <v>1300.8</v>
      </c>
      <c r="H858" s="2">
        <v>1075</v>
      </c>
      <c r="I858" s="2">
        <v>0</v>
      </c>
      <c r="J858" s="2" t="s">
        <v>125</v>
      </c>
      <c r="K858" s="2" t="s">
        <v>41</v>
      </c>
      <c r="L858" s="2" t="s">
        <v>3021</v>
      </c>
      <c r="M858" s="7" t="s">
        <v>3022</v>
      </c>
      <c r="N858" s="7" t="s">
        <v>3023</v>
      </c>
      <c r="O858" s="2"/>
      <c r="P858" s="2"/>
      <c r="Q858" s="2" t="str">
        <f>IF(SUMPRODUCT(--ISNUMBER(SEARCH('National Domains'!$A$2:$A$48,L858)))&gt;0,"Yes","No")</f>
        <v>Yes</v>
      </c>
      <c r="R858" s="2" t="str">
        <f>IF(COUNTIFS(Calibration!$A:$A,A858,Calibration!$B:$B,B858)&gt;0,"Yes","No")</f>
        <v>No</v>
      </c>
      <c r="S858" s="6"/>
    </row>
    <row r="859" spans="1:19" ht="34.5" customHeight="1" x14ac:dyDescent="0.2">
      <c r="A859" s="2">
        <v>211</v>
      </c>
      <c r="B859" s="2">
        <v>7</v>
      </c>
      <c r="C859" s="2" t="s">
        <v>371</v>
      </c>
      <c r="D859" s="2" t="s">
        <v>39</v>
      </c>
      <c r="E859" s="2">
        <v>20200725</v>
      </c>
      <c r="F859" s="2">
        <v>20200726</v>
      </c>
      <c r="G859" s="2">
        <v>1300.8</v>
      </c>
      <c r="H859" s="2">
        <v>1075</v>
      </c>
      <c r="I859" s="2">
        <v>0</v>
      </c>
      <c r="J859" s="2" t="s">
        <v>125</v>
      </c>
      <c r="K859" s="2" t="s">
        <v>41</v>
      </c>
      <c r="L859" s="2" t="s">
        <v>3024</v>
      </c>
      <c r="M859" s="7" t="s">
        <v>3025</v>
      </c>
      <c r="N859" s="7" t="s">
        <v>3026</v>
      </c>
      <c r="O859" s="2"/>
      <c r="P859" s="2"/>
      <c r="Q859" s="2" t="str">
        <f>IF(SUMPRODUCT(--ISNUMBER(SEARCH('National Domains'!$A$2:$A$48,L859)))&gt;0,"Yes","No")</f>
        <v>No</v>
      </c>
      <c r="R859" s="2" t="str">
        <f>IF(COUNTIFS(Calibration!$A:$A,A859,Calibration!$B:$B,B859)&gt;0,"Yes","No")</f>
        <v>No</v>
      </c>
      <c r="S859" s="6"/>
    </row>
    <row r="860" spans="1:19" ht="34.5" customHeight="1" x14ac:dyDescent="0.2">
      <c r="A860" s="2">
        <v>211</v>
      </c>
      <c r="B860" s="2">
        <v>8</v>
      </c>
      <c r="C860" s="2" t="s">
        <v>371</v>
      </c>
      <c r="D860" s="2" t="s">
        <v>39</v>
      </c>
      <c r="E860" s="2">
        <v>20200725</v>
      </c>
      <c r="F860" s="2">
        <v>20200726</v>
      </c>
      <c r="G860" s="2">
        <v>1300.8</v>
      </c>
      <c r="H860" s="2">
        <v>1075</v>
      </c>
      <c r="I860" s="2">
        <v>0</v>
      </c>
      <c r="J860" s="2" t="s">
        <v>125</v>
      </c>
      <c r="K860" s="2" t="s">
        <v>41</v>
      </c>
      <c r="L860" s="2" t="s">
        <v>3027</v>
      </c>
      <c r="M860" s="7" t="s">
        <v>3028</v>
      </c>
      <c r="N860" s="7" t="s">
        <v>3029</v>
      </c>
      <c r="O860" s="2"/>
      <c r="P860" s="2"/>
      <c r="Q860" s="2" t="str">
        <f>IF(SUMPRODUCT(--ISNUMBER(SEARCH('National Domains'!$A$2:$A$48,L860)))&gt;0,"Yes","No")</f>
        <v>No</v>
      </c>
      <c r="R860" s="2" t="str">
        <f>IF(COUNTIFS(Calibration!$A:$A,A860,Calibration!$B:$B,B860)&gt;0,"Yes","No")</f>
        <v>No</v>
      </c>
      <c r="S860" s="6"/>
    </row>
    <row r="861" spans="1:19" ht="34.5" customHeight="1" x14ac:dyDescent="0.2">
      <c r="A861" s="2">
        <v>211</v>
      </c>
      <c r="B861" s="2">
        <v>9</v>
      </c>
      <c r="C861" s="2" t="s">
        <v>371</v>
      </c>
      <c r="D861" s="2" t="s">
        <v>39</v>
      </c>
      <c r="E861" s="2">
        <v>20200725</v>
      </c>
      <c r="F861" s="2">
        <v>20200726</v>
      </c>
      <c r="G861" s="2">
        <v>1300.8</v>
      </c>
      <c r="H861" s="2">
        <v>1075</v>
      </c>
      <c r="I861" s="2">
        <v>0</v>
      </c>
      <c r="J861" s="2" t="s">
        <v>125</v>
      </c>
      <c r="K861" s="2" t="s">
        <v>41</v>
      </c>
      <c r="L861" s="2" t="s">
        <v>3030</v>
      </c>
      <c r="M861" s="7" t="s">
        <v>3031</v>
      </c>
      <c r="N861" s="7" t="s">
        <v>3032</v>
      </c>
      <c r="O861" s="2"/>
      <c r="P861" s="2"/>
      <c r="Q861" s="2" t="str">
        <f>IF(SUMPRODUCT(--ISNUMBER(SEARCH('National Domains'!$A$2:$A$48,L861)))&gt;0,"Yes","No")</f>
        <v>No</v>
      </c>
      <c r="R861" s="2" t="str">
        <f>IF(COUNTIFS(Calibration!$A:$A,A861,Calibration!$B:$B,B861)&gt;0,"Yes","No")</f>
        <v>No</v>
      </c>
      <c r="S861" s="6"/>
    </row>
    <row r="862" spans="1:19" ht="34.5" customHeight="1" x14ac:dyDescent="0.2">
      <c r="A862" s="2">
        <v>211</v>
      </c>
      <c r="B862" s="2">
        <v>10</v>
      </c>
      <c r="C862" s="2" t="s">
        <v>371</v>
      </c>
      <c r="D862" s="2" t="s">
        <v>39</v>
      </c>
      <c r="E862" s="2">
        <v>20200725</v>
      </c>
      <c r="F862" s="2">
        <v>20200726</v>
      </c>
      <c r="G862" s="2">
        <v>1300.8</v>
      </c>
      <c r="H862" s="2">
        <v>1075</v>
      </c>
      <c r="I862" s="2">
        <v>0</v>
      </c>
      <c r="J862" s="2" t="s">
        <v>125</v>
      </c>
      <c r="K862" s="2" t="s">
        <v>41</v>
      </c>
      <c r="L862" s="2" t="s">
        <v>3033</v>
      </c>
      <c r="M862" s="7" t="s">
        <v>3034</v>
      </c>
      <c r="N862" s="7" t="s">
        <v>3035</v>
      </c>
      <c r="O862" s="2"/>
      <c r="P862" s="2"/>
      <c r="Q862" s="2" t="str">
        <f>IF(SUMPRODUCT(--ISNUMBER(SEARCH('National Domains'!$A$2:$A$48,L862)))&gt;0,"Yes","No")</f>
        <v>Yes</v>
      </c>
      <c r="R862" s="2" t="str">
        <f>IF(COUNTIFS(Calibration!$A:$A,A862,Calibration!$B:$B,B862)&gt;0,"Yes","No")</f>
        <v>No</v>
      </c>
      <c r="S862" s="6"/>
    </row>
    <row r="863" spans="1:19" ht="34.5" customHeight="1" x14ac:dyDescent="0.2">
      <c r="A863" s="4">
        <v>212</v>
      </c>
      <c r="B863" s="4">
        <v>1</v>
      </c>
      <c r="C863" s="4" t="s">
        <v>372</v>
      </c>
      <c r="D863" s="4" t="s">
        <v>39</v>
      </c>
      <c r="E863" s="4">
        <v>20200803</v>
      </c>
      <c r="F863" s="4">
        <v>20200804</v>
      </c>
      <c r="G863" s="4">
        <v>5756.1</v>
      </c>
      <c r="H863" s="4">
        <v>4757</v>
      </c>
      <c r="I863" s="4">
        <v>16</v>
      </c>
      <c r="J863" s="4" t="s">
        <v>373</v>
      </c>
      <c r="K863" s="4" t="s">
        <v>52</v>
      </c>
      <c r="L863" s="4" t="s">
        <v>3036</v>
      </c>
      <c r="M863" s="5" t="s">
        <v>3037</v>
      </c>
      <c r="N863" s="5" t="s">
        <v>3038</v>
      </c>
      <c r="O863" s="4"/>
      <c r="P863" s="4"/>
      <c r="Q863" s="4" t="str">
        <f>IF(SUMPRODUCT(--ISNUMBER(SEARCH('National Domains'!$A$2:$A$48,L863)))&gt;0,"Yes","No")</f>
        <v>No</v>
      </c>
      <c r="R863" s="4" t="str">
        <f>IF(COUNTIFS(Calibration!$A:$A,A863,Calibration!$B:$B,B863)&gt;0,"Yes","No")</f>
        <v>Yes</v>
      </c>
      <c r="S863" s="6"/>
    </row>
    <row r="864" spans="1:19" ht="34.5" customHeight="1" x14ac:dyDescent="0.2">
      <c r="A864" s="2">
        <v>212</v>
      </c>
      <c r="B864" s="2">
        <v>2</v>
      </c>
      <c r="C864" s="2" t="s">
        <v>372</v>
      </c>
      <c r="D864" s="2" t="s">
        <v>39</v>
      </c>
      <c r="E864" s="2">
        <v>20200803</v>
      </c>
      <c r="F864" s="2">
        <v>20200804</v>
      </c>
      <c r="G864" s="2">
        <v>5756.1</v>
      </c>
      <c r="H864" s="2">
        <v>4757</v>
      </c>
      <c r="I864" s="2">
        <v>16</v>
      </c>
      <c r="J864" s="2" t="s">
        <v>373</v>
      </c>
      <c r="K864" s="2" t="s">
        <v>52</v>
      </c>
      <c r="L864" s="2" t="s">
        <v>3039</v>
      </c>
      <c r="M864" s="7" t="s">
        <v>3040</v>
      </c>
      <c r="N864" s="7" t="s">
        <v>3041</v>
      </c>
      <c r="O864" s="2"/>
      <c r="P864" s="2"/>
      <c r="Q864" s="2" t="str">
        <f>IF(SUMPRODUCT(--ISNUMBER(SEARCH('National Domains'!$A$2:$A$48,L864)))&gt;0,"Yes","No")</f>
        <v>No</v>
      </c>
      <c r="R864" s="2" t="str">
        <f>IF(COUNTIFS(Calibration!$A:$A,A864,Calibration!$B:$B,B864)&gt;0,"Yes","No")</f>
        <v>No</v>
      </c>
      <c r="S864" s="6"/>
    </row>
    <row r="865" spans="1:19" ht="34.5" customHeight="1" x14ac:dyDescent="0.2">
      <c r="A865" s="2">
        <v>212</v>
      </c>
      <c r="B865" s="2">
        <v>3</v>
      </c>
      <c r="C865" s="2" t="s">
        <v>372</v>
      </c>
      <c r="D865" s="2" t="s">
        <v>39</v>
      </c>
      <c r="E865" s="2">
        <v>20200803</v>
      </c>
      <c r="F865" s="2">
        <v>20200804</v>
      </c>
      <c r="G865" s="2">
        <v>5756.1</v>
      </c>
      <c r="H865" s="2">
        <v>4757</v>
      </c>
      <c r="I865" s="2">
        <v>16</v>
      </c>
      <c r="J865" s="2" t="s">
        <v>373</v>
      </c>
      <c r="K865" s="2" t="s">
        <v>52</v>
      </c>
      <c r="L865" s="2" t="s">
        <v>3042</v>
      </c>
      <c r="M865" s="7" t="s">
        <v>3043</v>
      </c>
      <c r="N865" s="7" t="s">
        <v>3044</v>
      </c>
      <c r="O865" s="2"/>
      <c r="P865" s="2"/>
      <c r="Q865" s="2" t="str">
        <f>IF(SUMPRODUCT(--ISNUMBER(SEARCH('National Domains'!$A$2:$A$48,L865)))&gt;0,"Yes","No")</f>
        <v>No</v>
      </c>
      <c r="R865" s="2" t="str">
        <f>IF(COUNTIFS(Calibration!$A:$A,A865,Calibration!$B:$B,B865)&gt;0,"Yes","No")</f>
        <v>No</v>
      </c>
      <c r="S865" s="6"/>
    </row>
    <row r="866" spans="1:19" ht="34.5" customHeight="1" x14ac:dyDescent="0.2">
      <c r="A866" s="2">
        <v>212</v>
      </c>
      <c r="B866" s="2">
        <v>4</v>
      </c>
      <c r="C866" s="2" t="s">
        <v>372</v>
      </c>
      <c r="D866" s="2" t="s">
        <v>39</v>
      </c>
      <c r="E866" s="2">
        <v>20200803</v>
      </c>
      <c r="F866" s="2">
        <v>20200804</v>
      </c>
      <c r="G866" s="2">
        <v>5756.1</v>
      </c>
      <c r="H866" s="2">
        <v>4757</v>
      </c>
      <c r="I866" s="2">
        <v>16</v>
      </c>
      <c r="J866" s="2" t="s">
        <v>373</v>
      </c>
      <c r="K866" s="2" t="s">
        <v>52</v>
      </c>
      <c r="L866" s="2" t="s">
        <v>3045</v>
      </c>
      <c r="M866" s="7" t="s">
        <v>3046</v>
      </c>
      <c r="N866" s="7" t="s">
        <v>3047</v>
      </c>
      <c r="O866" s="2"/>
      <c r="P866" s="2"/>
      <c r="Q866" s="2" t="str">
        <f>IF(SUMPRODUCT(--ISNUMBER(SEARCH('National Domains'!$A$2:$A$48,L866)))&gt;0,"Yes","No")</f>
        <v>No</v>
      </c>
      <c r="R866" s="2" t="str">
        <f>IF(COUNTIFS(Calibration!$A:$A,A866,Calibration!$B:$B,B866)&gt;0,"Yes","No")</f>
        <v>No</v>
      </c>
      <c r="S866" s="6"/>
    </row>
    <row r="867" spans="1:19" ht="34.5" customHeight="1" x14ac:dyDescent="0.2">
      <c r="A867" s="2">
        <v>212</v>
      </c>
      <c r="B867" s="2">
        <v>5</v>
      </c>
      <c r="C867" s="2" t="s">
        <v>372</v>
      </c>
      <c r="D867" s="2" t="s">
        <v>39</v>
      </c>
      <c r="E867" s="2">
        <v>20200803</v>
      </c>
      <c r="F867" s="2">
        <v>20200804</v>
      </c>
      <c r="G867" s="2">
        <v>5756.1</v>
      </c>
      <c r="H867" s="2">
        <v>4757</v>
      </c>
      <c r="I867" s="2">
        <v>16</v>
      </c>
      <c r="J867" s="2" t="s">
        <v>373</v>
      </c>
      <c r="K867" s="2" t="s">
        <v>52</v>
      </c>
      <c r="L867" s="2" t="s">
        <v>3048</v>
      </c>
      <c r="M867" s="7" t="s">
        <v>3049</v>
      </c>
      <c r="N867" s="7" t="s">
        <v>3050</v>
      </c>
      <c r="O867" s="2"/>
      <c r="P867" s="2"/>
      <c r="Q867" s="2" t="str">
        <f>IF(SUMPRODUCT(--ISNUMBER(SEARCH('National Domains'!$A$2:$A$48,L867)))&gt;0,"Yes","No")</f>
        <v>No</v>
      </c>
      <c r="R867" s="2" t="str">
        <f>IF(COUNTIFS(Calibration!$A:$A,A867,Calibration!$B:$B,B867)&gt;0,"Yes","No")</f>
        <v>No</v>
      </c>
      <c r="S867" s="6"/>
    </row>
    <row r="868" spans="1:19" ht="34.5" customHeight="1" x14ac:dyDescent="0.2">
      <c r="A868" s="2">
        <v>212</v>
      </c>
      <c r="B868" s="2">
        <v>6</v>
      </c>
      <c r="C868" s="2" t="s">
        <v>372</v>
      </c>
      <c r="D868" s="2" t="s">
        <v>39</v>
      </c>
      <c r="E868" s="2">
        <v>20200803</v>
      </c>
      <c r="F868" s="2">
        <v>20200804</v>
      </c>
      <c r="G868" s="2">
        <v>5756.1</v>
      </c>
      <c r="H868" s="2">
        <v>4757</v>
      </c>
      <c r="I868" s="2">
        <v>16</v>
      </c>
      <c r="J868" s="2" t="s">
        <v>373</v>
      </c>
      <c r="K868" s="2" t="s">
        <v>52</v>
      </c>
      <c r="L868" s="2" t="s">
        <v>3051</v>
      </c>
      <c r="M868" s="7" t="s">
        <v>3052</v>
      </c>
      <c r="N868" s="7" t="s">
        <v>3053</v>
      </c>
      <c r="O868" s="2"/>
      <c r="P868" s="2"/>
      <c r="Q868" s="2" t="str">
        <f>IF(SUMPRODUCT(--ISNUMBER(SEARCH('National Domains'!$A$2:$A$48,L868)))&gt;0,"Yes","No")</f>
        <v>No</v>
      </c>
      <c r="R868" s="2" t="str">
        <f>IF(COUNTIFS(Calibration!$A:$A,A868,Calibration!$B:$B,B868)&gt;0,"Yes","No")</f>
        <v>No</v>
      </c>
      <c r="S868" s="6"/>
    </row>
    <row r="869" spans="1:19" ht="34.5" customHeight="1" x14ac:dyDescent="0.2">
      <c r="A869" s="2">
        <v>212</v>
      </c>
      <c r="B869" s="2">
        <v>7</v>
      </c>
      <c r="C869" s="2" t="s">
        <v>372</v>
      </c>
      <c r="D869" s="2" t="s">
        <v>39</v>
      </c>
      <c r="E869" s="2">
        <v>20200803</v>
      </c>
      <c r="F869" s="2">
        <v>20200804</v>
      </c>
      <c r="G869" s="2">
        <v>5756.1</v>
      </c>
      <c r="H869" s="2">
        <v>4757</v>
      </c>
      <c r="I869" s="2">
        <v>16</v>
      </c>
      <c r="J869" s="2" t="s">
        <v>373</v>
      </c>
      <c r="K869" s="2" t="s">
        <v>52</v>
      </c>
      <c r="L869" s="2" t="s">
        <v>3054</v>
      </c>
      <c r="M869" s="7" t="s">
        <v>3055</v>
      </c>
      <c r="N869" s="7" t="s">
        <v>3056</v>
      </c>
      <c r="O869" s="2"/>
      <c r="P869" s="2"/>
      <c r="Q869" s="2" t="str">
        <f>IF(SUMPRODUCT(--ISNUMBER(SEARCH('National Domains'!$A$2:$A$48,L869)))&gt;0,"Yes","No")</f>
        <v>No</v>
      </c>
      <c r="R869" s="2" t="str">
        <f>IF(COUNTIFS(Calibration!$A:$A,A869,Calibration!$B:$B,B869)&gt;0,"Yes","No")</f>
        <v>No</v>
      </c>
      <c r="S869" s="6"/>
    </row>
    <row r="870" spans="1:19" ht="34.5" customHeight="1" x14ac:dyDescent="0.2">
      <c r="A870" s="2">
        <v>212</v>
      </c>
      <c r="B870" s="2">
        <v>8</v>
      </c>
      <c r="C870" s="2" t="s">
        <v>372</v>
      </c>
      <c r="D870" s="2" t="s">
        <v>39</v>
      </c>
      <c r="E870" s="2">
        <v>20200803</v>
      </c>
      <c r="F870" s="2">
        <v>20200804</v>
      </c>
      <c r="G870" s="2">
        <v>5756.1</v>
      </c>
      <c r="H870" s="2">
        <v>4757</v>
      </c>
      <c r="I870" s="2">
        <v>16</v>
      </c>
      <c r="J870" s="2" t="s">
        <v>373</v>
      </c>
      <c r="K870" s="2" t="s">
        <v>52</v>
      </c>
      <c r="L870" s="2" t="s">
        <v>3057</v>
      </c>
      <c r="M870" s="7" t="s">
        <v>3058</v>
      </c>
      <c r="N870" s="7" t="s">
        <v>3059</v>
      </c>
      <c r="O870" s="2"/>
      <c r="P870" s="2"/>
      <c r="Q870" s="2" t="str">
        <f>IF(SUMPRODUCT(--ISNUMBER(SEARCH('National Domains'!$A$2:$A$48,L870)))&gt;0,"Yes","No")</f>
        <v>Yes</v>
      </c>
      <c r="R870" s="2" t="str">
        <f>IF(COUNTIFS(Calibration!$A:$A,A870,Calibration!$B:$B,B870)&gt;0,"Yes","No")</f>
        <v>No</v>
      </c>
      <c r="S870" s="6"/>
    </row>
    <row r="871" spans="1:19" ht="23.25" customHeight="1" x14ac:dyDescent="0.2">
      <c r="A871" s="2">
        <v>212</v>
      </c>
      <c r="B871" s="2">
        <v>9</v>
      </c>
      <c r="C871" s="2" t="s">
        <v>372</v>
      </c>
      <c r="D871" s="2" t="s">
        <v>39</v>
      </c>
      <c r="E871" s="2">
        <v>20200803</v>
      </c>
      <c r="F871" s="2">
        <v>20200804</v>
      </c>
      <c r="G871" s="2">
        <v>5756.1</v>
      </c>
      <c r="H871" s="2">
        <v>4757</v>
      </c>
      <c r="I871" s="2">
        <v>16</v>
      </c>
      <c r="J871" s="2" t="s">
        <v>373</v>
      </c>
      <c r="K871" s="2" t="s">
        <v>52</v>
      </c>
      <c r="L871" s="2" t="s">
        <v>3060</v>
      </c>
      <c r="M871" s="7" t="s">
        <v>3061</v>
      </c>
      <c r="N871" s="7" t="s">
        <v>3062</v>
      </c>
      <c r="O871" s="2"/>
      <c r="P871" s="2"/>
      <c r="Q871" s="2" t="str">
        <f>IF(SUMPRODUCT(--ISNUMBER(SEARCH('National Domains'!$A$2:$A$48,L871)))&gt;0,"Yes","No")</f>
        <v>Yes</v>
      </c>
      <c r="R871" s="2" t="str">
        <f>IF(COUNTIFS(Calibration!$A:$A,A871,Calibration!$B:$B,B871)&gt;0,"Yes","No")</f>
        <v>No</v>
      </c>
      <c r="S871" s="6"/>
    </row>
    <row r="872" spans="1:19" ht="34.5" customHeight="1" x14ac:dyDescent="0.2">
      <c r="A872" s="4">
        <v>212</v>
      </c>
      <c r="B872" s="4">
        <v>10</v>
      </c>
      <c r="C872" s="4" t="s">
        <v>372</v>
      </c>
      <c r="D872" s="4" t="s">
        <v>39</v>
      </c>
      <c r="E872" s="4">
        <v>20200803</v>
      </c>
      <c r="F872" s="4">
        <v>20200804</v>
      </c>
      <c r="G872" s="4">
        <v>5756.1</v>
      </c>
      <c r="H872" s="4">
        <v>4757</v>
      </c>
      <c r="I872" s="4">
        <v>16</v>
      </c>
      <c r="J872" s="4" t="s">
        <v>373</v>
      </c>
      <c r="K872" s="4" t="s">
        <v>52</v>
      </c>
      <c r="L872" s="4" t="s">
        <v>3063</v>
      </c>
      <c r="M872" s="5" t="s">
        <v>3064</v>
      </c>
      <c r="N872" s="5" t="s">
        <v>3065</v>
      </c>
      <c r="O872" s="4"/>
      <c r="P872" s="4"/>
      <c r="Q872" s="4" t="str">
        <f>IF(SUMPRODUCT(--ISNUMBER(SEARCH('National Domains'!$A$2:$A$48,L872)))&gt;0,"Yes","No")</f>
        <v>Yes</v>
      </c>
      <c r="R872" s="4" t="str">
        <f>IF(COUNTIFS(Calibration!$A:$A,A872,Calibration!$B:$B,B872)&gt;0,"Yes","No")</f>
        <v>Yes</v>
      </c>
      <c r="S872" s="6"/>
    </row>
    <row r="873" spans="1:19" ht="34.5" customHeight="1" x14ac:dyDescent="0.2">
      <c r="A873" s="2">
        <v>212</v>
      </c>
      <c r="B873" s="2">
        <v>11</v>
      </c>
      <c r="C873" s="2" t="s">
        <v>372</v>
      </c>
      <c r="D873" s="2" t="s">
        <v>39</v>
      </c>
      <c r="E873" s="2">
        <v>20200803</v>
      </c>
      <c r="F873" s="2">
        <v>20200804</v>
      </c>
      <c r="G873" s="2">
        <v>5756.1</v>
      </c>
      <c r="H873" s="2">
        <v>4757</v>
      </c>
      <c r="I873" s="2">
        <v>16</v>
      </c>
      <c r="J873" s="2" t="s">
        <v>373</v>
      </c>
      <c r="K873" s="2" t="s">
        <v>52</v>
      </c>
      <c r="L873" s="2" t="s">
        <v>3066</v>
      </c>
      <c r="M873" s="7" t="s">
        <v>3067</v>
      </c>
      <c r="N873" s="7" t="s">
        <v>3068</v>
      </c>
      <c r="O873" s="2"/>
      <c r="P873" s="2"/>
      <c r="Q873" s="2" t="str">
        <f>IF(SUMPRODUCT(--ISNUMBER(SEARCH('National Domains'!$A$2:$A$48,L873)))&gt;0,"Yes","No")</f>
        <v>Yes</v>
      </c>
      <c r="R873" s="2" t="str">
        <f>IF(COUNTIFS(Calibration!$A:$A,A873,Calibration!$B:$B,B873)&gt;0,"Yes","No")</f>
        <v>No</v>
      </c>
      <c r="S873" s="6"/>
    </row>
    <row r="874" spans="1:19" ht="34.5" customHeight="1" x14ac:dyDescent="0.2">
      <c r="A874" s="2">
        <v>212</v>
      </c>
      <c r="B874" s="2">
        <v>12</v>
      </c>
      <c r="C874" s="2" t="s">
        <v>372</v>
      </c>
      <c r="D874" s="2" t="s">
        <v>39</v>
      </c>
      <c r="E874" s="2">
        <v>20200803</v>
      </c>
      <c r="F874" s="2">
        <v>20200804</v>
      </c>
      <c r="G874" s="2">
        <v>5756.1</v>
      </c>
      <c r="H874" s="2">
        <v>4757</v>
      </c>
      <c r="I874" s="2">
        <v>16</v>
      </c>
      <c r="J874" s="2" t="s">
        <v>373</v>
      </c>
      <c r="K874" s="2" t="s">
        <v>52</v>
      </c>
      <c r="L874" s="2" t="s">
        <v>3069</v>
      </c>
      <c r="M874" s="7" t="s">
        <v>3070</v>
      </c>
      <c r="N874" s="7" t="s">
        <v>3071</v>
      </c>
      <c r="O874" s="2"/>
      <c r="P874" s="2"/>
      <c r="Q874" s="2" t="str">
        <f>IF(SUMPRODUCT(--ISNUMBER(SEARCH('National Domains'!$A$2:$A$48,L874)))&gt;0,"Yes","No")</f>
        <v>Yes</v>
      </c>
      <c r="R874" s="2" t="str">
        <f>IF(COUNTIFS(Calibration!$A:$A,A874,Calibration!$B:$B,B874)&gt;0,"Yes","No")</f>
        <v>No</v>
      </c>
      <c r="S874" s="6"/>
    </row>
    <row r="875" spans="1:19" ht="34.5" customHeight="1" x14ac:dyDescent="0.2">
      <c r="A875" s="2">
        <v>212</v>
      </c>
      <c r="B875" s="2">
        <v>13</v>
      </c>
      <c r="C875" s="2" t="s">
        <v>372</v>
      </c>
      <c r="D875" s="2" t="s">
        <v>39</v>
      </c>
      <c r="E875" s="2">
        <v>20200803</v>
      </c>
      <c r="F875" s="2">
        <v>20200804</v>
      </c>
      <c r="G875" s="2">
        <v>5756.1</v>
      </c>
      <c r="H875" s="2">
        <v>4757</v>
      </c>
      <c r="I875" s="2">
        <v>16</v>
      </c>
      <c r="J875" s="2" t="s">
        <v>373</v>
      </c>
      <c r="K875" s="2" t="s">
        <v>52</v>
      </c>
      <c r="L875" s="2" t="s">
        <v>3072</v>
      </c>
      <c r="M875" s="7" t="s">
        <v>3052</v>
      </c>
      <c r="N875" s="7" t="s">
        <v>3073</v>
      </c>
      <c r="O875" s="2"/>
      <c r="P875" s="2"/>
      <c r="Q875" s="2" t="str">
        <f>IF(SUMPRODUCT(--ISNUMBER(SEARCH('National Domains'!$A$2:$A$48,L875)))&gt;0,"Yes","No")</f>
        <v>No</v>
      </c>
      <c r="R875" s="2" t="str">
        <f>IF(COUNTIFS(Calibration!$A:$A,A875,Calibration!$B:$B,B875)&gt;0,"Yes","No")</f>
        <v>No</v>
      </c>
      <c r="S875" s="6"/>
    </row>
    <row r="876" spans="1:19" ht="34.5" customHeight="1" x14ac:dyDescent="0.2">
      <c r="A876" s="2">
        <v>212</v>
      </c>
      <c r="B876" s="2">
        <v>14</v>
      </c>
      <c r="C876" s="2" t="s">
        <v>372</v>
      </c>
      <c r="D876" s="2" t="s">
        <v>39</v>
      </c>
      <c r="E876" s="2">
        <v>20200803</v>
      </c>
      <c r="F876" s="2">
        <v>20200804</v>
      </c>
      <c r="G876" s="2">
        <v>5756.1</v>
      </c>
      <c r="H876" s="2">
        <v>4757</v>
      </c>
      <c r="I876" s="2">
        <v>16</v>
      </c>
      <c r="J876" s="2" t="s">
        <v>373</v>
      </c>
      <c r="K876" s="2" t="s">
        <v>52</v>
      </c>
      <c r="L876" s="2" t="s">
        <v>3074</v>
      </c>
      <c r="M876" s="7" t="s">
        <v>3075</v>
      </c>
      <c r="N876" s="7" t="s">
        <v>3076</v>
      </c>
      <c r="O876" s="2"/>
      <c r="P876" s="2"/>
      <c r="Q876" s="2" t="str">
        <f>IF(SUMPRODUCT(--ISNUMBER(SEARCH('National Domains'!$A$2:$A$48,L876)))&gt;0,"Yes","No")</f>
        <v>Yes</v>
      </c>
      <c r="R876" s="2" t="str">
        <f>IF(COUNTIFS(Calibration!$A:$A,A876,Calibration!$B:$B,B876)&gt;0,"Yes","No")</f>
        <v>No</v>
      </c>
      <c r="S876" s="6"/>
    </row>
    <row r="877" spans="1:19" ht="34.5" customHeight="1" x14ac:dyDescent="0.2">
      <c r="A877" s="2">
        <v>212</v>
      </c>
      <c r="B877" s="2">
        <v>15</v>
      </c>
      <c r="C877" s="2" t="s">
        <v>372</v>
      </c>
      <c r="D877" s="2" t="s">
        <v>39</v>
      </c>
      <c r="E877" s="2">
        <v>20200803</v>
      </c>
      <c r="F877" s="2">
        <v>20200804</v>
      </c>
      <c r="G877" s="2">
        <v>5756.1</v>
      </c>
      <c r="H877" s="2">
        <v>4757</v>
      </c>
      <c r="I877" s="2">
        <v>16</v>
      </c>
      <c r="J877" s="2" t="s">
        <v>373</v>
      </c>
      <c r="K877" s="2" t="s">
        <v>52</v>
      </c>
      <c r="L877" s="2" t="s">
        <v>3077</v>
      </c>
      <c r="M877" s="7" t="s">
        <v>3078</v>
      </c>
      <c r="N877" s="7" t="s">
        <v>3079</v>
      </c>
      <c r="O877" s="2"/>
      <c r="P877" s="2"/>
      <c r="Q877" s="2" t="str">
        <f>IF(SUMPRODUCT(--ISNUMBER(SEARCH('National Domains'!$A$2:$A$48,L877)))&gt;0,"Yes","No")</f>
        <v>No</v>
      </c>
      <c r="R877" s="2" t="str">
        <f>IF(COUNTIFS(Calibration!$A:$A,A877,Calibration!$B:$B,B877)&gt;0,"Yes","No")</f>
        <v>No</v>
      </c>
      <c r="S877" s="6"/>
    </row>
    <row r="878" spans="1:19" ht="34.5" customHeight="1" x14ac:dyDescent="0.2">
      <c r="A878" s="2">
        <v>212</v>
      </c>
      <c r="B878" s="2">
        <v>16</v>
      </c>
      <c r="C878" s="2" t="s">
        <v>372</v>
      </c>
      <c r="D878" s="2" t="s">
        <v>39</v>
      </c>
      <c r="E878" s="2">
        <v>20200803</v>
      </c>
      <c r="F878" s="2">
        <v>20200804</v>
      </c>
      <c r="G878" s="2">
        <v>5756.1</v>
      </c>
      <c r="H878" s="2">
        <v>4757</v>
      </c>
      <c r="I878" s="2">
        <v>16</v>
      </c>
      <c r="J878" s="2" t="s">
        <v>373</v>
      </c>
      <c r="K878" s="2" t="s">
        <v>52</v>
      </c>
      <c r="L878" s="2" t="s">
        <v>3080</v>
      </c>
      <c r="M878" s="7" t="s">
        <v>3081</v>
      </c>
      <c r="N878" s="7" t="s">
        <v>3082</v>
      </c>
      <c r="O878" s="2"/>
      <c r="P878" s="2"/>
      <c r="Q878" s="2" t="str">
        <f>IF(SUMPRODUCT(--ISNUMBER(SEARCH('National Domains'!$A$2:$A$48,L878)))&gt;0,"Yes","No")</f>
        <v>No</v>
      </c>
      <c r="R878" s="2" t="str">
        <f>IF(COUNTIFS(Calibration!$A:$A,A878,Calibration!$B:$B,B878)&gt;0,"Yes","No")</f>
        <v>No</v>
      </c>
      <c r="S878" s="6"/>
    </row>
    <row r="879" spans="1:19" ht="34.5" customHeight="1" x14ac:dyDescent="0.2">
      <c r="A879" s="2">
        <v>212</v>
      </c>
      <c r="B879" s="2">
        <v>17</v>
      </c>
      <c r="C879" s="2" t="s">
        <v>372</v>
      </c>
      <c r="D879" s="2" t="s">
        <v>39</v>
      </c>
      <c r="E879" s="2">
        <v>20200803</v>
      </c>
      <c r="F879" s="2">
        <v>20200804</v>
      </c>
      <c r="G879" s="2">
        <v>5756.1</v>
      </c>
      <c r="H879" s="2">
        <v>4757</v>
      </c>
      <c r="I879" s="2">
        <v>16</v>
      </c>
      <c r="J879" s="2" t="s">
        <v>373</v>
      </c>
      <c r="K879" s="2" t="s">
        <v>52</v>
      </c>
      <c r="L879" s="2" t="s">
        <v>3083</v>
      </c>
      <c r="M879" s="7" t="s">
        <v>3084</v>
      </c>
      <c r="N879" s="7" t="s">
        <v>3085</v>
      </c>
      <c r="O879" s="2"/>
      <c r="P879" s="2"/>
      <c r="Q879" s="2" t="str">
        <f>IF(SUMPRODUCT(--ISNUMBER(SEARCH('National Domains'!$A$2:$A$48,L879)))&gt;0,"Yes","No")</f>
        <v>No</v>
      </c>
      <c r="R879" s="2" t="str">
        <f>IF(COUNTIFS(Calibration!$A:$A,A879,Calibration!$B:$B,B879)&gt;0,"Yes","No")</f>
        <v>No</v>
      </c>
      <c r="S879" s="6"/>
    </row>
    <row r="880" spans="1:19" ht="34.5" customHeight="1" x14ac:dyDescent="0.2">
      <c r="A880" s="2">
        <v>212</v>
      </c>
      <c r="B880" s="2">
        <v>18</v>
      </c>
      <c r="C880" s="2" t="s">
        <v>372</v>
      </c>
      <c r="D880" s="2" t="s">
        <v>39</v>
      </c>
      <c r="E880" s="2">
        <v>20200803</v>
      </c>
      <c r="F880" s="2">
        <v>20200804</v>
      </c>
      <c r="G880" s="2">
        <v>5756.1</v>
      </c>
      <c r="H880" s="2">
        <v>4757</v>
      </c>
      <c r="I880" s="2">
        <v>16</v>
      </c>
      <c r="J880" s="2" t="s">
        <v>373</v>
      </c>
      <c r="K880" s="2" t="s">
        <v>52</v>
      </c>
      <c r="L880" s="2" t="s">
        <v>3086</v>
      </c>
      <c r="M880" s="7" t="s">
        <v>3087</v>
      </c>
      <c r="N880" s="7" t="s">
        <v>3088</v>
      </c>
      <c r="O880" s="2"/>
      <c r="P880" s="2"/>
      <c r="Q880" s="2" t="str">
        <f>IF(SUMPRODUCT(--ISNUMBER(SEARCH('National Domains'!$A$2:$A$48,L880)))&gt;0,"Yes","No")</f>
        <v>Yes</v>
      </c>
      <c r="R880" s="2" t="str">
        <f>IF(COUNTIFS(Calibration!$A:$A,A880,Calibration!$B:$B,B880)&gt;0,"Yes","No")</f>
        <v>No</v>
      </c>
      <c r="S880" s="6"/>
    </row>
    <row r="881" spans="1:19" ht="34.5" customHeight="1" x14ac:dyDescent="0.2">
      <c r="A881" s="2">
        <v>213</v>
      </c>
      <c r="B881" s="2">
        <v>1</v>
      </c>
      <c r="C881" s="2" t="s">
        <v>374</v>
      </c>
      <c r="D881" s="2" t="s">
        <v>17</v>
      </c>
      <c r="E881" s="2">
        <v>20200810</v>
      </c>
      <c r="F881" s="2">
        <v>20200810</v>
      </c>
      <c r="G881" s="2">
        <v>13452.9</v>
      </c>
      <c r="H881" s="2">
        <v>11027</v>
      </c>
      <c r="I881" s="2">
        <v>4</v>
      </c>
      <c r="J881" s="2" t="s">
        <v>102</v>
      </c>
      <c r="K881" s="2" t="s">
        <v>103</v>
      </c>
      <c r="L881" s="2" t="s">
        <v>3089</v>
      </c>
      <c r="M881" s="7" t="s">
        <v>3090</v>
      </c>
      <c r="N881" s="7" t="s">
        <v>3091</v>
      </c>
      <c r="O881" s="2"/>
      <c r="P881" s="2"/>
      <c r="Q881" s="2" t="str">
        <f>IF(SUMPRODUCT(--ISNUMBER(SEARCH('National Domains'!$A$2:$A$48,L881)))&gt;0,"Yes","No")</f>
        <v>No</v>
      </c>
      <c r="R881" s="2" t="str">
        <f>IF(COUNTIFS(Calibration!$A:$A,A881,Calibration!$B:$B,B881)&gt;0,"Yes","No")</f>
        <v>No</v>
      </c>
      <c r="S881" s="6"/>
    </row>
    <row r="882" spans="1:19" ht="34.5" customHeight="1" x14ac:dyDescent="0.2">
      <c r="A882" s="2">
        <v>213</v>
      </c>
      <c r="B882" s="2">
        <v>2</v>
      </c>
      <c r="C882" s="2" t="s">
        <v>374</v>
      </c>
      <c r="D882" s="2" t="s">
        <v>17</v>
      </c>
      <c r="E882" s="2">
        <v>20200810</v>
      </c>
      <c r="F882" s="2">
        <v>20200810</v>
      </c>
      <c r="G882" s="2">
        <v>13452.9</v>
      </c>
      <c r="H882" s="2">
        <v>11027</v>
      </c>
      <c r="I882" s="2">
        <v>4</v>
      </c>
      <c r="J882" s="2" t="s">
        <v>102</v>
      </c>
      <c r="K882" s="2" t="s">
        <v>103</v>
      </c>
      <c r="L882" s="2" t="s">
        <v>3092</v>
      </c>
      <c r="M882" s="7" t="s">
        <v>3093</v>
      </c>
      <c r="N882" s="7" t="s">
        <v>3094</v>
      </c>
      <c r="O882" s="2"/>
      <c r="P882" s="2"/>
      <c r="Q882" s="2" t="str">
        <f>IF(SUMPRODUCT(--ISNUMBER(SEARCH('National Domains'!$A$2:$A$48,L882)))&gt;0,"Yes","No")</f>
        <v>No</v>
      </c>
      <c r="R882" s="2" t="str">
        <f>IF(COUNTIFS(Calibration!$A:$A,A882,Calibration!$B:$B,B882)&gt;0,"Yes","No")</f>
        <v>No</v>
      </c>
      <c r="S882" s="6"/>
    </row>
    <row r="883" spans="1:19" ht="34.5" customHeight="1" x14ac:dyDescent="0.2">
      <c r="A883" s="2">
        <v>213</v>
      </c>
      <c r="B883" s="2">
        <v>3</v>
      </c>
      <c r="C883" s="2" t="s">
        <v>374</v>
      </c>
      <c r="D883" s="2" t="s">
        <v>17</v>
      </c>
      <c r="E883" s="2">
        <v>20200810</v>
      </c>
      <c r="F883" s="2">
        <v>20200810</v>
      </c>
      <c r="G883" s="2">
        <v>13452.9</v>
      </c>
      <c r="H883" s="2">
        <v>11027</v>
      </c>
      <c r="I883" s="2">
        <v>4</v>
      </c>
      <c r="J883" s="2" t="s">
        <v>102</v>
      </c>
      <c r="K883" s="2" t="s">
        <v>103</v>
      </c>
      <c r="L883" s="2" t="s">
        <v>3095</v>
      </c>
      <c r="M883" s="7" t="s">
        <v>3096</v>
      </c>
      <c r="N883" s="7" t="s">
        <v>3097</v>
      </c>
      <c r="O883" s="2"/>
      <c r="P883" s="2"/>
      <c r="Q883" s="2" t="str">
        <f>IF(SUMPRODUCT(--ISNUMBER(SEARCH('National Domains'!$A$2:$A$48,L883)))&gt;0,"Yes","No")</f>
        <v>Yes</v>
      </c>
      <c r="R883" s="2" t="str">
        <f>IF(COUNTIFS(Calibration!$A:$A,A883,Calibration!$B:$B,B883)&gt;0,"Yes","No")</f>
        <v>No</v>
      </c>
      <c r="S883" s="6"/>
    </row>
    <row r="884" spans="1:19" ht="34.5" customHeight="1" x14ac:dyDescent="0.2">
      <c r="A884" s="2">
        <v>213</v>
      </c>
      <c r="B884" s="2">
        <v>4</v>
      </c>
      <c r="C884" s="2" t="s">
        <v>374</v>
      </c>
      <c r="D884" s="2" t="s">
        <v>17</v>
      </c>
      <c r="E884" s="2">
        <v>20200810</v>
      </c>
      <c r="F884" s="2">
        <v>20200810</v>
      </c>
      <c r="G884" s="2">
        <v>13452.9</v>
      </c>
      <c r="H884" s="2">
        <v>11027</v>
      </c>
      <c r="I884" s="2">
        <v>4</v>
      </c>
      <c r="J884" s="2" t="s">
        <v>102</v>
      </c>
      <c r="K884" s="2" t="s">
        <v>103</v>
      </c>
      <c r="L884" s="2" t="s">
        <v>3098</v>
      </c>
      <c r="M884" s="7" t="s">
        <v>3099</v>
      </c>
      <c r="N884" s="7" t="s">
        <v>3100</v>
      </c>
      <c r="O884" s="2"/>
      <c r="P884" s="2"/>
      <c r="Q884" s="2" t="str">
        <f>IF(SUMPRODUCT(--ISNUMBER(SEARCH('National Domains'!$A$2:$A$48,L884)))&gt;0,"Yes","No")</f>
        <v>Yes</v>
      </c>
      <c r="R884" s="2" t="str">
        <f>IF(COUNTIFS(Calibration!$A:$A,A884,Calibration!$B:$B,B884)&gt;0,"Yes","No")</f>
        <v>No</v>
      </c>
      <c r="S884" s="6"/>
    </row>
    <row r="885" spans="1:19" ht="34.5" customHeight="1" x14ac:dyDescent="0.2">
      <c r="A885" s="2">
        <v>213</v>
      </c>
      <c r="B885" s="2">
        <v>5</v>
      </c>
      <c r="C885" s="2" t="s">
        <v>374</v>
      </c>
      <c r="D885" s="2" t="s">
        <v>17</v>
      </c>
      <c r="E885" s="2">
        <v>20200810</v>
      </c>
      <c r="F885" s="2">
        <v>20200810</v>
      </c>
      <c r="G885" s="2">
        <v>13452.9</v>
      </c>
      <c r="H885" s="2">
        <v>11027</v>
      </c>
      <c r="I885" s="2">
        <v>4</v>
      </c>
      <c r="J885" s="2" t="s">
        <v>102</v>
      </c>
      <c r="K885" s="2" t="s">
        <v>103</v>
      </c>
      <c r="L885" s="2" t="s">
        <v>3101</v>
      </c>
      <c r="M885" s="7" t="s">
        <v>3102</v>
      </c>
      <c r="N885" s="7" t="s">
        <v>3103</v>
      </c>
      <c r="O885" s="2"/>
      <c r="P885" s="2"/>
      <c r="Q885" s="2" t="str">
        <f>IF(SUMPRODUCT(--ISNUMBER(SEARCH('National Domains'!$A$2:$A$48,L885)))&gt;0,"Yes","No")</f>
        <v>Yes</v>
      </c>
      <c r="R885" s="2" t="str">
        <f>IF(COUNTIFS(Calibration!$A:$A,A885,Calibration!$B:$B,B885)&gt;0,"Yes","No")</f>
        <v>No</v>
      </c>
      <c r="S885" s="6"/>
    </row>
    <row r="886" spans="1:19" ht="34.5" customHeight="1" x14ac:dyDescent="0.2">
      <c r="A886" s="2">
        <v>213</v>
      </c>
      <c r="B886" s="2">
        <v>6</v>
      </c>
      <c r="C886" s="2" t="s">
        <v>374</v>
      </c>
      <c r="D886" s="2" t="s">
        <v>17</v>
      </c>
      <c r="E886" s="2">
        <v>20200810</v>
      </c>
      <c r="F886" s="2">
        <v>20200810</v>
      </c>
      <c r="G886" s="2">
        <v>13452.9</v>
      </c>
      <c r="H886" s="2">
        <v>11027</v>
      </c>
      <c r="I886" s="2">
        <v>4</v>
      </c>
      <c r="J886" s="2" t="s">
        <v>102</v>
      </c>
      <c r="K886" s="2" t="s">
        <v>103</v>
      </c>
      <c r="L886" s="2" t="s">
        <v>3104</v>
      </c>
      <c r="M886" s="7" t="s">
        <v>3105</v>
      </c>
      <c r="N886" s="7" t="s">
        <v>3106</v>
      </c>
      <c r="O886" s="2"/>
      <c r="P886" s="2"/>
      <c r="Q886" s="2" t="str">
        <f>IF(SUMPRODUCT(--ISNUMBER(SEARCH('National Domains'!$A$2:$A$48,L886)))&gt;0,"Yes","No")</f>
        <v>Yes</v>
      </c>
      <c r="R886" s="2" t="str">
        <f>IF(COUNTIFS(Calibration!$A:$A,A886,Calibration!$B:$B,B886)&gt;0,"Yes","No")</f>
        <v>No</v>
      </c>
      <c r="S886" s="6"/>
    </row>
    <row r="887" spans="1:19" ht="34.5" customHeight="1" x14ac:dyDescent="0.2">
      <c r="A887" s="2">
        <v>213</v>
      </c>
      <c r="B887" s="2">
        <v>7</v>
      </c>
      <c r="C887" s="2" t="s">
        <v>374</v>
      </c>
      <c r="D887" s="2" t="s">
        <v>17</v>
      </c>
      <c r="E887" s="2">
        <v>20200810</v>
      </c>
      <c r="F887" s="2">
        <v>20200810</v>
      </c>
      <c r="G887" s="2">
        <v>13452.9</v>
      </c>
      <c r="H887" s="2">
        <v>11027</v>
      </c>
      <c r="I887" s="2">
        <v>4</v>
      </c>
      <c r="J887" s="2" t="s">
        <v>102</v>
      </c>
      <c r="K887" s="2" t="s">
        <v>103</v>
      </c>
      <c r="L887" s="2" t="s">
        <v>3107</v>
      </c>
      <c r="M887" s="7" t="s">
        <v>3108</v>
      </c>
      <c r="N887" s="7" t="s">
        <v>3109</v>
      </c>
      <c r="O887" s="2"/>
      <c r="P887" s="2"/>
      <c r="Q887" s="2" t="str">
        <f>IF(SUMPRODUCT(--ISNUMBER(SEARCH('National Domains'!$A$2:$A$48,L887)))&gt;0,"Yes","No")</f>
        <v>Yes</v>
      </c>
      <c r="R887" s="2" t="str">
        <f>IF(COUNTIFS(Calibration!$A:$A,A887,Calibration!$B:$B,B887)&gt;0,"Yes","No")</f>
        <v>No</v>
      </c>
      <c r="S887" s="6"/>
    </row>
    <row r="888" spans="1:19" ht="34.5" customHeight="1" x14ac:dyDescent="0.2">
      <c r="A888" s="2">
        <v>213</v>
      </c>
      <c r="B888" s="2">
        <v>8</v>
      </c>
      <c r="C888" s="2" t="s">
        <v>374</v>
      </c>
      <c r="D888" s="2" t="s">
        <v>17</v>
      </c>
      <c r="E888" s="2">
        <v>20200810</v>
      </c>
      <c r="F888" s="2">
        <v>20200810</v>
      </c>
      <c r="G888" s="2">
        <v>13452.9</v>
      </c>
      <c r="H888" s="2">
        <v>11027</v>
      </c>
      <c r="I888" s="2">
        <v>4</v>
      </c>
      <c r="J888" s="2" t="s">
        <v>102</v>
      </c>
      <c r="K888" s="2" t="s">
        <v>103</v>
      </c>
      <c r="L888" s="2" t="s">
        <v>3110</v>
      </c>
      <c r="M888" s="7" t="s">
        <v>3111</v>
      </c>
      <c r="N888" s="7" t="s">
        <v>3112</v>
      </c>
      <c r="O888" s="2"/>
      <c r="P888" s="2"/>
      <c r="Q888" s="2" t="str">
        <f>IF(SUMPRODUCT(--ISNUMBER(SEARCH('National Domains'!$A$2:$A$48,L888)))&gt;0,"Yes","No")</f>
        <v>Yes</v>
      </c>
      <c r="R888" s="2" t="str">
        <f>IF(COUNTIFS(Calibration!$A:$A,A888,Calibration!$B:$B,B888)&gt;0,"Yes","No")</f>
        <v>No</v>
      </c>
      <c r="S888" s="6"/>
    </row>
    <row r="889" spans="1:19" ht="34.5" customHeight="1" x14ac:dyDescent="0.2">
      <c r="A889" s="2">
        <v>214</v>
      </c>
      <c r="B889" s="2">
        <v>1</v>
      </c>
      <c r="C889" s="2" t="s">
        <v>375</v>
      </c>
      <c r="D889" s="2" t="s">
        <v>39</v>
      </c>
      <c r="E889" s="2">
        <v>20200827</v>
      </c>
      <c r="F889" s="2">
        <v>20200828</v>
      </c>
      <c r="G889" s="2">
        <v>28090.3</v>
      </c>
      <c r="H889" s="2">
        <v>23215</v>
      </c>
      <c r="I889" s="2">
        <v>42</v>
      </c>
      <c r="J889" s="2" t="s">
        <v>40</v>
      </c>
      <c r="K889" s="2" t="s">
        <v>41</v>
      </c>
      <c r="L889" s="2" t="s">
        <v>3113</v>
      </c>
      <c r="M889" s="7" t="s">
        <v>3114</v>
      </c>
      <c r="N889" s="7" t="s">
        <v>3115</v>
      </c>
      <c r="O889" s="2"/>
      <c r="P889" s="2"/>
      <c r="Q889" s="2" t="str">
        <f>IF(SUMPRODUCT(--ISNUMBER(SEARCH('National Domains'!$A$2:$A$48,L889)))&gt;0,"Yes","No")</f>
        <v>No</v>
      </c>
      <c r="R889" s="2" t="str">
        <f>IF(COUNTIFS(Calibration!$A:$A,A889,Calibration!$B:$B,B889)&gt;0,"Yes","No")</f>
        <v>No</v>
      </c>
      <c r="S889" s="6"/>
    </row>
    <row r="890" spans="1:19" ht="34.5" customHeight="1" x14ac:dyDescent="0.2">
      <c r="A890" s="2">
        <v>214</v>
      </c>
      <c r="B890" s="2">
        <v>2</v>
      </c>
      <c r="C890" s="2" t="s">
        <v>375</v>
      </c>
      <c r="D890" s="2" t="s">
        <v>39</v>
      </c>
      <c r="E890" s="2">
        <v>20200827</v>
      </c>
      <c r="F890" s="2">
        <v>20200828</v>
      </c>
      <c r="G890" s="2">
        <v>28090.3</v>
      </c>
      <c r="H890" s="2">
        <v>23215</v>
      </c>
      <c r="I890" s="2">
        <v>42</v>
      </c>
      <c r="J890" s="2" t="s">
        <v>40</v>
      </c>
      <c r="K890" s="2" t="s">
        <v>41</v>
      </c>
      <c r="L890" s="2" t="s">
        <v>3116</v>
      </c>
      <c r="M890" s="7" t="s">
        <v>3117</v>
      </c>
      <c r="N890" s="7" t="s">
        <v>3118</v>
      </c>
      <c r="O890" s="2"/>
      <c r="P890" s="2"/>
      <c r="Q890" s="2" t="str">
        <f>IF(SUMPRODUCT(--ISNUMBER(SEARCH('National Domains'!$A$2:$A$48,L890)))&gt;0,"Yes","No")</f>
        <v>No</v>
      </c>
      <c r="R890" s="2" t="str">
        <f>IF(COUNTIFS(Calibration!$A:$A,A890,Calibration!$B:$B,B890)&gt;0,"Yes","No")</f>
        <v>No</v>
      </c>
      <c r="S890" s="6"/>
    </row>
    <row r="891" spans="1:19" ht="34.5" customHeight="1" x14ac:dyDescent="0.2">
      <c r="A891" s="2">
        <v>214</v>
      </c>
      <c r="B891" s="2">
        <v>3</v>
      </c>
      <c r="C891" s="2" t="s">
        <v>375</v>
      </c>
      <c r="D891" s="2" t="s">
        <v>39</v>
      </c>
      <c r="E891" s="2">
        <v>20200827</v>
      </c>
      <c r="F891" s="2">
        <v>20200828</v>
      </c>
      <c r="G891" s="2">
        <v>28090.3</v>
      </c>
      <c r="H891" s="2">
        <v>23215</v>
      </c>
      <c r="I891" s="2">
        <v>42</v>
      </c>
      <c r="J891" s="2" t="s">
        <v>40</v>
      </c>
      <c r="K891" s="2" t="s">
        <v>41</v>
      </c>
      <c r="L891" s="2" t="s">
        <v>3119</v>
      </c>
      <c r="M891" s="7" t="s">
        <v>3120</v>
      </c>
      <c r="N891" s="7" t="s">
        <v>3121</v>
      </c>
      <c r="O891" s="2"/>
      <c r="P891" s="2"/>
      <c r="Q891" s="2" t="str">
        <f>IF(SUMPRODUCT(--ISNUMBER(SEARCH('National Domains'!$A$2:$A$48,L891)))&gt;0,"Yes","No")</f>
        <v>No</v>
      </c>
      <c r="R891" s="2" t="str">
        <f>IF(COUNTIFS(Calibration!$A:$A,A891,Calibration!$B:$B,B891)&gt;0,"Yes","No")</f>
        <v>No</v>
      </c>
      <c r="S891" s="6"/>
    </row>
    <row r="892" spans="1:19" ht="34.5" customHeight="1" x14ac:dyDescent="0.2">
      <c r="A892" s="2">
        <v>214</v>
      </c>
      <c r="B892" s="2">
        <v>4</v>
      </c>
      <c r="C892" s="2" t="s">
        <v>375</v>
      </c>
      <c r="D892" s="2" t="s">
        <v>39</v>
      </c>
      <c r="E892" s="2">
        <v>20200827</v>
      </c>
      <c r="F892" s="2">
        <v>20200828</v>
      </c>
      <c r="G892" s="2">
        <v>28090.3</v>
      </c>
      <c r="H892" s="2">
        <v>23215</v>
      </c>
      <c r="I892" s="2">
        <v>42</v>
      </c>
      <c r="J892" s="2" t="s">
        <v>40</v>
      </c>
      <c r="K892" s="2" t="s">
        <v>41</v>
      </c>
      <c r="L892" s="2" t="s">
        <v>3122</v>
      </c>
      <c r="M892" s="7" t="s">
        <v>3123</v>
      </c>
      <c r="N892" s="7" t="s">
        <v>3124</v>
      </c>
      <c r="O892" s="2"/>
      <c r="P892" s="2"/>
      <c r="Q892" s="2" t="str">
        <f>IF(SUMPRODUCT(--ISNUMBER(SEARCH('National Domains'!$A$2:$A$48,L892)))&gt;0,"Yes","No")</f>
        <v>No</v>
      </c>
      <c r="R892" s="2" t="str">
        <f>IF(COUNTIFS(Calibration!$A:$A,A892,Calibration!$B:$B,B892)&gt;0,"Yes","No")</f>
        <v>No</v>
      </c>
      <c r="S892" s="6"/>
    </row>
    <row r="893" spans="1:19" ht="23.25" customHeight="1" x14ac:dyDescent="0.2">
      <c r="A893" s="2">
        <v>214</v>
      </c>
      <c r="B893" s="2">
        <v>5</v>
      </c>
      <c r="C893" s="2" t="s">
        <v>375</v>
      </c>
      <c r="D893" s="2" t="s">
        <v>39</v>
      </c>
      <c r="E893" s="2">
        <v>20200827</v>
      </c>
      <c r="F893" s="2">
        <v>20200828</v>
      </c>
      <c r="G893" s="2">
        <v>28090.3</v>
      </c>
      <c r="H893" s="2">
        <v>23215</v>
      </c>
      <c r="I893" s="2">
        <v>42</v>
      </c>
      <c r="J893" s="2" t="s">
        <v>40</v>
      </c>
      <c r="K893" s="2" t="s">
        <v>41</v>
      </c>
      <c r="L893" s="2" t="s">
        <v>3125</v>
      </c>
      <c r="M893" s="7" t="s">
        <v>3126</v>
      </c>
      <c r="N893" s="7" t="s">
        <v>3127</v>
      </c>
      <c r="O893" s="2"/>
      <c r="P893" s="2"/>
      <c r="Q893" s="2" t="str">
        <f>IF(SUMPRODUCT(--ISNUMBER(SEARCH('National Domains'!$A$2:$A$48,L893)))&gt;0,"Yes","No")</f>
        <v>No</v>
      </c>
      <c r="R893" s="2" t="str">
        <f>IF(COUNTIFS(Calibration!$A:$A,A893,Calibration!$B:$B,B893)&gt;0,"Yes","No")</f>
        <v>No</v>
      </c>
      <c r="S893" s="6"/>
    </row>
    <row r="894" spans="1:19" ht="34.5" customHeight="1" x14ac:dyDescent="0.2">
      <c r="A894" s="2">
        <v>214</v>
      </c>
      <c r="B894" s="2">
        <v>6</v>
      </c>
      <c r="C894" s="2" t="s">
        <v>375</v>
      </c>
      <c r="D894" s="2" t="s">
        <v>39</v>
      </c>
      <c r="E894" s="2">
        <v>20200827</v>
      </c>
      <c r="F894" s="2">
        <v>20200828</v>
      </c>
      <c r="G894" s="2">
        <v>28090.3</v>
      </c>
      <c r="H894" s="2">
        <v>23215</v>
      </c>
      <c r="I894" s="2">
        <v>42</v>
      </c>
      <c r="J894" s="2" t="s">
        <v>40</v>
      </c>
      <c r="K894" s="2" t="s">
        <v>41</v>
      </c>
      <c r="L894" s="2" t="s">
        <v>3128</v>
      </c>
      <c r="M894" s="7" t="s">
        <v>3129</v>
      </c>
      <c r="N894" s="7" t="s">
        <v>3130</v>
      </c>
      <c r="O894" s="2"/>
      <c r="P894" s="2"/>
      <c r="Q894" s="2" t="str">
        <f>IF(SUMPRODUCT(--ISNUMBER(SEARCH('National Domains'!$A$2:$A$48,L894)))&gt;0,"Yes","No")</f>
        <v>No</v>
      </c>
      <c r="R894" s="2" t="str">
        <f>IF(COUNTIFS(Calibration!$A:$A,A894,Calibration!$B:$B,B894)&gt;0,"Yes","No")</f>
        <v>No</v>
      </c>
      <c r="S894" s="6"/>
    </row>
    <row r="895" spans="1:19" ht="34.5" customHeight="1" x14ac:dyDescent="0.2">
      <c r="A895" s="2">
        <v>214</v>
      </c>
      <c r="B895" s="2">
        <v>7</v>
      </c>
      <c r="C895" s="2" t="s">
        <v>375</v>
      </c>
      <c r="D895" s="2" t="s">
        <v>39</v>
      </c>
      <c r="E895" s="2">
        <v>20200827</v>
      </c>
      <c r="F895" s="2">
        <v>20200828</v>
      </c>
      <c r="G895" s="2">
        <v>28090.3</v>
      </c>
      <c r="H895" s="2">
        <v>23215</v>
      </c>
      <c r="I895" s="2">
        <v>42</v>
      </c>
      <c r="J895" s="2" t="s">
        <v>40</v>
      </c>
      <c r="K895" s="2" t="s">
        <v>41</v>
      </c>
      <c r="L895" s="2" t="s">
        <v>3131</v>
      </c>
      <c r="M895" s="7" t="s">
        <v>3132</v>
      </c>
      <c r="N895" s="7" t="s">
        <v>3133</v>
      </c>
      <c r="O895" s="2"/>
      <c r="P895" s="2"/>
      <c r="Q895" s="2" t="str">
        <f>IF(SUMPRODUCT(--ISNUMBER(SEARCH('National Domains'!$A$2:$A$48,L895)))&gt;0,"Yes","No")</f>
        <v>Yes</v>
      </c>
      <c r="R895" s="2" t="str">
        <f>IF(COUNTIFS(Calibration!$A:$A,A895,Calibration!$B:$B,B895)&gt;0,"Yes","No")</f>
        <v>No</v>
      </c>
      <c r="S895" s="6"/>
    </row>
    <row r="896" spans="1:19" ht="34.5" customHeight="1" x14ac:dyDescent="0.2">
      <c r="A896" s="2">
        <v>214</v>
      </c>
      <c r="B896" s="2">
        <v>8</v>
      </c>
      <c r="C896" s="2" t="s">
        <v>375</v>
      </c>
      <c r="D896" s="2" t="s">
        <v>39</v>
      </c>
      <c r="E896" s="2">
        <v>20200827</v>
      </c>
      <c r="F896" s="2">
        <v>20200828</v>
      </c>
      <c r="G896" s="2">
        <v>28090.3</v>
      </c>
      <c r="H896" s="2">
        <v>23215</v>
      </c>
      <c r="I896" s="2">
        <v>42</v>
      </c>
      <c r="J896" s="2" t="s">
        <v>40</v>
      </c>
      <c r="K896" s="2" t="s">
        <v>41</v>
      </c>
      <c r="L896" s="2" t="s">
        <v>3134</v>
      </c>
      <c r="M896" s="7" t="s">
        <v>3135</v>
      </c>
      <c r="N896" s="7" t="s">
        <v>3136</v>
      </c>
      <c r="O896" s="2"/>
      <c r="P896" s="2"/>
      <c r="Q896" s="2" t="str">
        <f>IF(SUMPRODUCT(--ISNUMBER(SEARCH('National Domains'!$A$2:$A$48,L896)))&gt;0,"Yes","No")</f>
        <v>Yes</v>
      </c>
      <c r="R896" s="2" t="str">
        <f>IF(COUNTIFS(Calibration!$A:$A,A896,Calibration!$B:$B,B896)&gt;0,"Yes","No")</f>
        <v>No</v>
      </c>
      <c r="S896" s="6"/>
    </row>
    <row r="897" spans="1:19" ht="23.25" customHeight="1" x14ac:dyDescent="0.2">
      <c r="A897" s="2">
        <v>214</v>
      </c>
      <c r="B897" s="2">
        <v>9</v>
      </c>
      <c r="C897" s="2" t="s">
        <v>375</v>
      </c>
      <c r="D897" s="2" t="s">
        <v>39</v>
      </c>
      <c r="E897" s="2">
        <v>20200827</v>
      </c>
      <c r="F897" s="2">
        <v>20200828</v>
      </c>
      <c r="G897" s="2">
        <v>28090.3</v>
      </c>
      <c r="H897" s="2">
        <v>23215</v>
      </c>
      <c r="I897" s="2">
        <v>42</v>
      </c>
      <c r="J897" s="2" t="s">
        <v>40</v>
      </c>
      <c r="K897" s="2" t="s">
        <v>41</v>
      </c>
      <c r="L897" s="2" t="s">
        <v>3137</v>
      </c>
      <c r="M897" s="7" t="s">
        <v>3138</v>
      </c>
      <c r="N897" s="7" t="s">
        <v>3139</v>
      </c>
      <c r="O897" s="2"/>
      <c r="P897" s="2"/>
      <c r="Q897" s="2" t="str">
        <f>IF(SUMPRODUCT(--ISNUMBER(SEARCH('National Domains'!$A$2:$A$48,L897)))&gt;0,"Yes","No")</f>
        <v>Yes</v>
      </c>
      <c r="R897" s="2" t="str">
        <f>IF(COUNTIFS(Calibration!$A:$A,A897,Calibration!$B:$B,B897)&gt;0,"Yes","No")</f>
        <v>No</v>
      </c>
      <c r="S897" s="6"/>
    </row>
    <row r="898" spans="1:19" ht="34.5" customHeight="1" x14ac:dyDescent="0.2">
      <c r="A898" s="2">
        <v>214</v>
      </c>
      <c r="B898" s="2">
        <v>10</v>
      </c>
      <c r="C898" s="2" t="s">
        <v>375</v>
      </c>
      <c r="D898" s="2" t="s">
        <v>39</v>
      </c>
      <c r="E898" s="2">
        <v>20200827</v>
      </c>
      <c r="F898" s="2">
        <v>20200828</v>
      </c>
      <c r="G898" s="2">
        <v>28090.3</v>
      </c>
      <c r="H898" s="2">
        <v>23215</v>
      </c>
      <c r="I898" s="2">
        <v>42</v>
      </c>
      <c r="J898" s="2" t="s">
        <v>40</v>
      </c>
      <c r="K898" s="2" t="s">
        <v>41</v>
      </c>
      <c r="L898" s="2" t="s">
        <v>3140</v>
      </c>
      <c r="M898" s="7" t="s">
        <v>3141</v>
      </c>
      <c r="N898" s="7" t="s">
        <v>3142</v>
      </c>
      <c r="O898" s="2"/>
      <c r="P898" s="2"/>
      <c r="Q898" s="2" t="str">
        <f>IF(SUMPRODUCT(--ISNUMBER(SEARCH('National Domains'!$A$2:$A$48,L898)))&gt;0,"Yes","No")</f>
        <v>Yes</v>
      </c>
      <c r="R898" s="2" t="str">
        <f>IF(COUNTIFS(Calibration!$A:$A,A898,Calibration!$B:$B,B898)&gt;0,"Yes","No")</f>
        <v>No</v>
      </c>
      <c r="S898" s="6"/>
    </row>
    <row r="899" spans="1:19" ht="34.5" customHeight="1" x14ac:dyDescent="0.2">
      <c r="A899" s="2">
        <v>214</v>
      </c>
      <c r="B899" s="2">
        <v>11</v>
      </c>
      <c r="C899" s="2" t="s">
        <v>375</v>
      </c>
      <c r="D899" s="2" t="s">
        <v>39</v>
      </c>
      <c r="E899" s="2">
        <v>20200827</v>
      </c>
      <c r="F899" s="2">
        <v>20200828</v>
      </c>
      <c r="G899" s="2">
        <v>28090.3</v>
      </c>
      <c r="H899" s="2">
        <v>23215</v>
      </c>
      <c r="I899" s="2">
        <v>42</v>
      </c>
      <c r="J899" s="2" t="s">
        <v>40</v>
      </c>
      <c r="K899" s="2" t="s">
        <v>41</v>
      </c>
      <c r="L899" s="2" t="s">
        <v>3143</v>
      </c>
      <c r="M899" s="7" t="s">
        <v>3144</v>
      </c>
      <c r="N899" s="7" t="s">
        <v>3145</v>
      </c>
      <c r="O899" s="2"/>
      <c r="P899" s="2"/>
      <c r="Q899" s="2" t="str">
        <f>IF(SUMPRODUCT(--ISNUMBER(SEARCH('National Domains'!$A$2:$A$48,L899)))&gt;0,"Yes","No")</f>
        <v>Yes</v>
      </c>
      <c r="R899" s="2" t="str">
        <f>IF(COUNTIFS(Calibration!$A:$A,A899,Calibration!$B:$B,B899)&gt;0,"Yes","No")</f>
        <v>No</v>
      </c>
      <c r="S899" s="6"/>
    </row>
    <row r="900" spans="1:19" ht="34.5" customHeight="1" x14ac:dyDescent="0.2">
      <c r="A900" s="2">
        <v>214</v>
      </c>
      <c r="B900" s="2">
        <v>12</v>
      </c>
      <c r="C900" s="2" t="s">
        <v>375</v>
      </c>
      <c r="D900" s="2" t="s">
        <v>39</v>
      </c>
      <c r="E900" s="2">
        <v>20200827</v>
      </c>
      <c r="F900" s="2">
        <v>20200828</v>
      </c>
      <c r="G900" s="2">
        <v>28090.3</v>
      </c>
      <c r="H900" s="2">
        <v>23215</v>
      </c>
      <c r="I900" s="2">
        <v>42</v>
      </c>
      <c r="J900" s="2" t="s">
        <v>40</v>
      </c>
      <c r="K900" s="2" t="s">
        <v>41</v>
      </c>
      <c r="L900" s="2" t="s">
        <v>3146</v>
      </c>
      <c r="M900" s="7" t="s">
        <v>3147</v>
      </c>
      <c r="N900" s="7" t="s">
        <v>3148</v>
      </c>
      <c r="O900" s="2"/>
      <c r="P900" s="2"/>
      <c r="Q900" s="2" t="str">
        <f>IF(SUMPRODUCT(--ISNUMBER(SEARCH('National Domains'!$A$2:$A$48,L900)))&gt;0,"Yes","No")</f>
        <v>Yes</v>
      </c>
      <c r="R900" s="2" t="str">
        <f>IF(COUNTIFS(Calibration!$A:$A,A900,Calibration!$B:$B,B900)&gt;0,"Yes","No")</f>
        <v>No</v>
      </c>
      <c r="S900" s="6"/>
    </row>
    <row r="901" spans="1:19" ht="34.5" customHeight="1" x14ac:dyDescent="0.2">
      <c r="A901" s="2">
        <v>214</v>
      </c>
      <c r="B901" s="2">
        <v>13</v>
      </c>
      <c r="C901" s="2" t="s">
        <v>375</v>
      </c>
      <c r="D901" s="2" t="s">
        <v>39</v>
      </c>
      <c r="E901" s="2">
        <v>20200827</v>
      </c>
      <c r="F901" s="2">
        <v>20200828</v>
      </c>
      <c r="G901" s="2">
        <v>28090.3</v>
      </c>
      <c r="H901" s="2">
        <v>23215</v>
      </c>
      <c r="I901" s="2">
        <v>42</v>
      </c>
      <c r="J901" s="2" t="s">
        <v>40</v>
      </c>
      <c r="K901" s="2" t="s">
        <v>41</v>
      </c>
      <c r="L901" s="2" t="s">
        <v>3149</v>
      </c>
      <c r="M901" s="7" t="s">
        <v>3150</v>
      </c>
      <c r="N901" s="7" t="s">
        <v>3151</v>
      </c>
      <c r="O901" s="2"/>
      <c r="P901" s="2"/>
      <c r="Q901" s="2" t="str">
        <f>IF(SUMPRODUCT(--ISNUMBER(SEARCH('National Domains'!$A$2:$A$48,L901)))&gt;0,"Yes","No")</f>
        <v>Yes</v>
      </c>
      <c r="R901" s="2" t="str">
        <f>IF(COUNTIFS(Calibration!$A:$A,A901,Calibration!$B:$B,B901)&gt;0,"Yes","No")</f>
        <v>No</v>
      </c>
      <c r="S901" s="6"/>
    </row>
    <row r="902" spans="1:19" ht="34.5" customHeight="1" x14ac:dyDescent="0.2">
      <c r="A902" s="2">
        <v>214</v>
      </c>
      <c r="B902" s="2">
        <v>14</v>
      </c>
      <c r="C902" s="2" t="s">
        <v>375</v>
      </c>
      <c r="D902" s="2" t="s">
        <v>39</v>
      </c>
      <c r="E902" s="2">
        <v>20200827</v>
      </c>
      <c r="F902" s="2">
        <v>20200828</v>
      </c>
      <c r="G902" s="2">
        <v>28090.3</v>
      </c>
      <c r="H902" s="2">
        <v>23215</v>
      </c>
      <c r="I902" s="2">
        <v>42</v>
      </c>
      <c r="J902" s="2" t="s">
        <v>40</v>
      </c>
      <c r="K902" s="2" t="s">
        <v>41</v>
      </c>
      <c r="L902" s="2" t="s">
        <v>3152</v>
      </c>
      <c r="M902" s="7" t="s">
        <v>3153</v>
      </c>
      <c r="N902" s="7" t="s">
        <v>3154</v>
      </c>
      <c r="O902" s="2"/>
      <c r="P902" s="2"/>
      <c r="Q902" s="2" t="str">
        <f>IF(SUMPRODUCT(--ISNUMBER(SEARCH('National Domains'!$A$2:$A$48,L902)))&gt;0,"Yes","No")</f>
        <v>Yes</v>
      </c>
      <c r="R902" s="2" t="str">
        <f>IF(COUNTIFS(Calibration!$A:$A,A902,Calibration!$B:$B,B902)&gt;0,"Yes","No")</f>
        <v>No</v>
      </c>
      <c r="S902" s="6"/>
    </row>
    <row r="903" spans="1:19" ht="34.5" customHeight="1" x14ac:dyDescent="0.2">
      <c r="A903" s="2">
        <v>214</v>
      </c>
      <c r="B903" s="2">
        <v>15</v>
      </c>
      <c r="C903" s="2" t="s">
        <v>375</v>
      </c>
      <c r="D903" s="2" t="s">
        <v>39</v>
      </c>
      <c r="E903" s="2">
        <v>20200827</v>
      </c>
      <c r="F903" s="2">
        <v>20200828</v>
      </c>
      <c r="G903" s="2">
        <v>28090.3</v>
      </c>
      <c r="H903" s="2">
        <v>23215</v>
      </c>
      <c r="I903" s="2">
        <v>42</v>
      </c>
      <c r="J903" s="2" t="s">
        <v>40</v>
      </c>
      <c r="K903" s="2" t="s">
        <v>41</v>
      </c>
      <c r="L903" s="2" t="s">
        <v>3155</v>
      </c>
      <c r="M903" s="7" t="s">
        <v>3156</v>
      </c>
      <c r="N903" s="7" t="s">
        <v>3157</v>
      </c>
      <c r="O903" s="2"/>
      <c r="P903" s="2"/>
      <c r="Q903" s="2" t="str">
        <f>IF(SUMPRODUCT(--ISNUMBER(SEARCH('National Domains'!$A$2:$A$48,L903)))&gt;0,"Yes","No")</f>
        <v>No</v>
      </c>
      <c r="R903" s="2" t="str">
        <f>IF(COUNTIFS(Calibration!$A:$A,A903,Calibration!$B:$B,B903)&gt;0,"Yes","No")</f>
        <v>No</v>
      </c>
      <c r="S903" s="6"/>
    </row>
    <row r="904" spans="1:19" ht="34.5" customHeight="1" x14ac:dyDescent="0.2">
      <c r="A904" s="2">
        <v>214</v>
      </c>
      <c r="B904" s="2">
        <v>16</v>
      </c>
      <c r="C904" s="2" t="s">
        <v>375</v>
      </c>
      <c r="D904" s="2" t="s">
        <v>39</v>
      </c>
      <c r="E904" s="2">
        <v>20200827</v>
      </c>
      <c r="F904" s="2">
        <v>20200828</v>
      </c>
      <c r="G904" s="2">
        <v>28090.3</v>
      </c>
      <c r="H904" s="2">
        <v>23215</v>
      </c>
      <c r="I904" s="2">
        <v>42</v>
      </c>
      <c r="J904" s="2" t="s">
        <v>40</v>
      </c>
      <c r="K904" s="2" t="s">
        <v>41</v>
      </c>
      <c r="L904" s="2" t="s">
        <v>3158</v>
      </c>
      <c r="M904" s="7" t="s">
        <v>3159</v>
      </c>
      <c r="N904" s="7" t="s">
        <v>3160</v>
      </c>
      <c r="O904" s="2"/>
      <c r="P904" s="2"/>
      <c r="Q904" s="2" t="str">
        <f>IF(SUMPRODUCT(--ISNUMBER(SEARCH('National Domains'!$A$2:$A$48,L904)))&gt;0,"Yes","No")</f>
        <v>No</v>
      </c>
      <c r="R904" s="2" t="str">
        <f>IF(COUNTIFS(Calibration!$A:$A,A904,Calibration!$B:$B,B904)&gt;0,"Yes","No")</f>
        <v>No</v>
      </c>
      <c r="S904" s="6"/>
    </row>
    <row r="905" spans="1:19" ht="34.5" customHeight="1" x14ac:dyDescent="0.2">
      <c r="A905" s="2">
        <v>214</v>
      </c>
      <c r="B905" s="2">
        <v>17</v>
      </c>
      <c r="C905" s="2" t="s">
        <v>375</v>
      </c>
      <c r="D905" s="2" t="s">
        <v>39</v>
      </c>
      <c r="E905" s="2">
        <v>20200827</v>
      </c>
      <c r="F905" s="2">
        <v>20200828</v>
      </c>
      <c r="G905" s="2">
        <v>28090.3</v>
      </c>
      <c r="H905" s="2">
        <v>23215</v>
      </c>
      <c r="I905" s="2">
        <v>42</v>
      </c>
      <c r="J905" s="2" t="s">
        <v>40</v>
      </c>
      <c r="K905" s="2" t="s">
        <v>41</v>
      </c>
      <c r="L905" s="2" t="s">
        <v>3161</v>
      </c>
      <c r="M905" s="7" t="s">
        <v>3162</v>
      </c>
      <c r="N905" s="7" t="s">
        <v>3163</v>
      </c>
      <c r="O905" s="2"/>
      <c r="P905" s="2"/>
      <c r="Q905" s="2" t="str">
        <f>IF(SUMPRODUCT(--ISNUMBER(SEARCH('National Domains'!$A$2:$A$48,L905)))&gt;0,"Yes","No")</f>
        <v>No</v>
      </c>
      <c r="R905" s="2" t="str">
        <f>IF(COUNTIFS(Calibration!$A:$A,A905,Calibration!$B:$B,B905)&gt;0,"Yes","No")</f>
        <v>No</v>
      </c>
      <c r="S905" s="6"/>
    </row>
    <row r="906" spans="1:19" ht="34.5" customHeight="1" x14ac:dyDescent="0.2">
      <c r="A906" s="2">
        <v>214</v>
      </c>
      <c r="B906" s="2">
        <v>18</v>
      </c>
      <c r="C906" s="2" t="s">
        <v>375</v>
      </c>
      <c r="D906" s="2" t="s">
        <v>39</v>
      </c>
      <c r="E906" s="2">
        <v>20200827</v>
      </c>
      <c r="F906" s="2">
        <v>20200828</v>
      </c>
      <c r="G906" s="2">
        <v>28090.3</v>
      </c>
      <c r="H906" s="2">
        <v>23215</v>
      </c>
      <c r="I906" s="2">
        <v>42</v>
      </c>
      <c r="J906" s="2" t="s">
        <v>40</v>
      </c>
      <c r="K906" s="2" t="s">
        <v>41</v>
      </c>
      <c r="L906" s="2" t="s">
        <v>3164</v>
      </c>
      <c r="M906" s="7" t="s">
        <v>3165</v>
      </c>
      <c r="N906" s="7" t="s">
        <v>3166</v>
      </c>
      <c r="O906" s="2"/>
      <c r="P906" s="2"/>
      <c r="Q906" s="2" t="str">
        <f>IF(SUMPRODUCT(--ISNUMBER(SEARCH('National Domains'!$A$2:$A$48,L906)))&gt;0,"Yes","No")</f>
        <v>Yes</v>
      </c>
      <c r="R906" s="2" t="str">
        <f>IF(COUNTIFS(Calibration!$A:$A,A906,Calibration!$B:$B,B906)&gt;0,"Yes","No")</f>
        <v>No</v>
      </c>
      <c r="S906" s="6"/>
    </row>
    <row r="907" spans="1:19" ht="34.5" customHeight="1" x14ac:dyDescent="0.2">
      <c r="A907" s="2">
        <v>215</v>
      </c>
      <c r="B907" s="2">
        <v>1</v>
      </c>
      <c r="C907" s="2" t="s">
        <v>376</v>
      </c>
      <c r="D907" s="2" t="s">
        <v>39</v>
      </c>
      <c r="E907" s="2">
        <v>20200915</v>
      </c>
      <c r="F907" s="2">
        <v>20200917</v>
      </c>
      <c r="G907" s="2">
        <v>8801.5</v>
      </c>
      <c r="H907" s="2">
        <v>7274</v>
      </c>
      <c r="I907" s="2">
        <v>5</v>
      </c>
      <c r="J907" s="2" t="s">
        <v>377</v>
      </c>
      <c r="K907" s="2" t="s">
        <v>15</v>
      </c>
      <c r="L907" s="2" t="s">
        <v>3167</v>
      </c>
      <c r="M907" s="7" t="s">
        <v>3168</v>
      </c>
      <c r="N907" s="7" t="s">
        <v>3169</v>
      </c>
      <c r="O907" s="2"/>
      <c r="P907" s="2"/>
      <c r="Q907" s="2" t="str">
        <f>IF(SUMPRODUCT(--ISNUMBER(SEARCH('National Domains'!$A$2:$A$48,L907)))&gt;0,"Yes","No")</f>
        <v>No</v>
      </c>
      <c r="R907" s="2" t="str">
        <f>IF(COUNTIFS(Calibration!$A:$A,A907,Calibration!$B:$B,B907)&gt;0,"Yes","No")</f>
        <v>No</v>
      </c>
      <c r="S907" s="6"/>
    </row>
    <row r="908" spans="1:19" ht="34.5" customHeight="1" x14ac:dyDescent="0.2">
      <c r="A908" s="2">
        <v>215</v>
      </c>
      <c r="B908" s="2">
        <v>2</v>
      </c>
      <c r="C908" s="2" t="s">
        <v>376</v>
      </c>
      <c r="D908" s="2" t="s">
        <v>39</v>
      </c>
      <c r="E908" s="2">
        <v>20200915</v>
      </c>
      <c r="F908" s="2">
        <v>20200917</v>
      </c>
      <c r="G908" s="2">
        <v>8801.5</v>
      </c>
      <c r="H908" s="2">
        <v>7274</v>
      </c>
      <c r="I908" s="2">
        <v>5</v>
      </c>
      <c r="J908" s="2" t="s">
        <v>377</v>
      </c>
      <c r="K908" s="2" t="s">
        <v>15</v>
      </c>
      <c r="L908" s="2" t="s">
        <v>3170</v>
      </c>
      <c r="M908" s="7" t="s">
        <v>3171</v>
      </c>
      <c r="N908" s="7" t="s">
        <v>3172</v>
      </c>
      <c r="O908" s="2"/>
      <c r="P908" s="2"/>
      <c r="Q908" s="2" t="str">
        <f>IF(SUMPRODUCT(--ISNUMBER(SEARCH('National Domains'!$A$2:$A$48,L908)))&gt;0,"Yes","No")</f>
        <v>No</v>
      </c>
      <c r="R908" s="2" t="str">
        <f>IF(COUNTIFS(Calibration!$A:$A,A908,Calibration!$B:$B,B908)&gt;0,"Yes","No")</f>
        <v>No</v>
      </c>
      <c r="S908" s="6"/>
    </row>
    <row r="909" spans="1:19" ht="34.5" customHeight="1" x14ac:dyDescent="0.2">
      <c r="A909" s="2">
        <v>215</v>
      </c>
      <c r="B909" s="2">
        <v>3</v>
      </c>
      <c r="C909" s="2" t="s">
        <v>376</v>
      </c>
      <c r="D909" s="2" t="s">
        <v>39</v>
      </c>
      <c r="E909" s="2">
        <v>20200915</v>
      </c>
      <c r="F909" s="2">
        <v>20200917</v>
      </c>
      <c r="G909" s="2">
        <v>8801.5</v>
      </c>
      <c r="H909" s="2">
        <v>7274</v>
      </c>
      <c r="I909" s="2">
        <v>5</v>
      </c>
      <c r="J909" s="2" t="s">
        <v>377</v>
      </c>
      <c r="K909" s="2" t="s">
        <v>15</v>
      </c>
      <c r="L909" s="2" t="s">
        <v>3173</v>
      </c>
      <c r="M909" s="7" t="s">
        <v>3174</v>
      </c>
      <c r="N909" s="7" t="s">
        <v>3175</v>
      </c>
      <c r="O909" s="2"/>
      <c r="P909" s="2"/>
      <c r="Q909" s="2" t="str">
        <f>IF(SUMPRODUCT(--ISNUMBER(SEARCH('National Domains'!$A$2:$A$48,L909)))&gt;0,"Yes","No")</f>
        <v>No</v>
      </c>
      <c r="R909" s="2" t="str">
        <f>IF(COUNTIFS(Calibration!$A:$A,A909,Calibration!$B:$B,B909)&gt;0,"Yes","No")</f>
        <v>No</v>
      </c>
      <c r="S909" s="6"/>
    </row>
    <row r="910" spans="1:19" ht="34.5" customHeight="1" x14ac:dyDescent="0.2">
      <c r="A910" s="2">
        <v>215</v>
      </c>
      <c r="B910" s="2">
        <v>4</v>
      </c>
      <c r="C910" s="2" t="s">
        <v>376</v>
      </c>
      <c r="D910" s="2" t="s">
        <v>39</v>
      </c>
      <c r="E910" s="2">
        <v>20200915</v>
      </c>
      <c r="F910" s="2">
        <v>20200917</v>
      </c>
      <c r="G910" s="2">
        <v>8801.5</v>
      </c>
      <c r="H910" s="2">
        <v>7274</v>
      </c>
      <c r="I910" s="2">
        <v>5</v>
      </c>
      <c r="J910" s="2" t="s">
        <v>377</v>
      </c>
      <c r="K910" s="2" t="s">
        <v>15</v>
      </c>
      <c r="L910" s="2" t="s">
        <v>3176</v>
      </c>
      <c r="M910" s="7" t="s">
        <v>3177</v>
      </c>
      <c r="N910" s="7" t="s">
        <v>3178</v>
      </c>
      <c r="O910" s="2"/>
      <c r="P910" s="2"/>
      <c r="Q910" s="2" t="str">
        <f>IF(SUMPRODUCT(--ISNUMBER(SEARCH('National Domains'!$A$2:$A$48,L910)))&gt;0,"Yes","No")</f>
        <v>No</v>
      </c>
      <c r="R910" s="2" t="str">
        <f>IF(COUNTIFS(Calibration!$A:$A,A910,Calibration!$B:$B,B910)&gt;0,"Yes","No")</f>
        <v>No</v>
      </c>
      <c r="S910" s="6"/>
    </row>
    <row r="911" spans="1:19" ht="34.5" customHeight="1" x14ac:dyDescent="0.2">
      <c r="A911" s="2">
        <v>215</v>
      </c>
      <c r="B911" s="2">
        <v>5</v>
      </c>
      <c r="C911" s="2" t="s">
        <v>376</v>
      </c>
      <c r="D911" s="2" t="s">
        <v>39</v>
      </c>
      <c r="E911" s="2">
        <v>20200915</v>
      </c>
      <c r="F911" s="2">
        <v>20200917</v>
      </c>
      <c r="G911" s="2">
        <v>8801.5</v>
      </c>
      <c r="H911" s="2">
        <v>7274</v>
      </c>
      <c r="I911" s="2">
        <v>5</v>
      </c>
      <c r="J911" s="2" t="s">
        <v>377</v>
      </c>
      <c r="K911" s="2" t="s">
        <v>15</v>
      </c>
      <c r="L911" s="2" t="s">
        <v>3179</v>
      </c>
      <c r="M911" s="7" t="s">
        <v>3180</v>
      </c>
      <c r="N911" s="7" t="s">
        <v>3181</v>
      </c>
      <c r="O911" s="2"/>
      <c r="P911" s="2"/>
      <c r="Q911" s="2" t="str">
        <f>IF(SUMPRODUCT(--ISNUMBER(SEARCH('National Domains'!$A$2:$A$48,L911)))&gt;0,"Yes","No")</f>
        <v>No</v>
      </c>
      <c r="R911" s="2" t="str">
        <f>IF(COUNTIFS(Calibration!$A:$A,A911,Calibration!$B:$B,B911)&gt;0,"Yes","No")</f>
        <v>No</v>
      </c>
      <c r="S911" s="6"/>
    </row>
    <row r="912" spans="1:19" ht="34.5" customHeight="1" x14ac:dyDescent="0.2">
      <c r="A912" s="2">
        <v>215</v>
      </c>
      <c r="B912" s="2">
        <v>6</v>
      </c>
      <c r="C912" s="2" t="s">
        <v>376</v>
      </c>
      <c r="D912" s="2" t="s">
        <v>39</v>
      </c>
      <c r="E912" s="2">
        <v>20200915</v>
      </c>
      <c r="F912" s="2">
        <v>20200917</v>
      </c>
      <c r="G912" s="2">
        <v>8801.5</v>
      </c>
      <c r="H912" s="2">
        <v>7274</v>
      </c>
      <c r="I912" s="2">
        <v>5</v>
      </c>
      <c r="J912" s="2" t="s">
        <v>377</v>
      </c>
      <c r="K912" s="2" t="s">
        <v>15</v>
      </c>
      <c r="L912" s="2" t="s">
        <v>3182</v>
      </c>
      <c r="M912" s="7" t="s">
        <v>3183</v>
      </c>
      <c r="N912" s="7" t="s">
        <v>3184</v>
      </c>
      <c r="O912" s="2"/>
      <c r="P912" s="2"/>
      <c r="Q912" s="2" t="str">
        <f>IF(SUMPRODUCT(--ISNUMBER(SEARCH('National Domains'!$A$2:$A$48,L912)))&gt;0,"Yes","No")</f>
        <v>No</v>
      </c>
      <c r="R912" s="2" t="str">
        <f>IF(COUNTIFS(Calibration!$A:$A,A912,Calibration!$B:$B,B912)&gt;0,"Yes","No")</f>
        <v>No</v>
      </c>
      <c r="S912" s="6"/>
    </row>
    <row r="913" spans="1:19" ht="34.5" customHeight="1" x14ac:dyDescent="0.2">
      <c r="A913" s="2">
        <v>215</v>
      </c>
      <c r="B913" s="2">
        <v>7</v>
      </c>
      <c r="C913" s="2" t="s">
        <v>376</v>
      </c>
      <c r="D913" s="2" t="s">
        <v>39</v>
      </c>
      <c r="E913" s="2">
        <v>20200915</v>
      </c>
      <c r="F913" s="2">
        <v>20200917</v>
      </c>
      <c r="G913" s="2">
        <v>8801.5</v>
      </c>
      <c r="H913" s="2">
        <v>7274</v>
      </c>
      <c r="I913" s="2">
        <v>5</v>
      </c>
      <c r="J913" s="2" t="s">
        <v>377</v>
      </c>
      <c r="K913" s="2" t="s">
        <v>15</v>
      </c>
      <c r="L913" s="2" t="s">
        <v>3185</v>
      </c>
      <c r="M913" s="7" t="s">
        <v>3186</v>
      </c>
      <c r="N913" s="7" t="s">
        <v>3187</v>
      </c>
      <c r="O913" s="2"/>
      <c r="P913" s="2"/>
      <c r="Q913" s="2" t="str">
        <f>IF(SUMPRODUCT(--ISNUMBER(SEARCH('National Domains'!$A$2:$A$48,L913)))&gt;0,"Yes","No")</f>
        <v>No</v>
      </c>
      <c r="R913" s="2" t="str">
        <f>IF(COUNTIFS(Calibration!$A:$A,A913,Calibration!$B:$B,B913)&gt;0,"Yes","No")</f>
        <v>No</v>
      </c>
      <c r="S913" s="6"/>
    </row>
    <row r="914" spans="1:19" ht="34.5" customHeight="1" x14ac:dyDescent="0.2">
      <c r="A914" s="2">
        <v>215</v>
      </c>
      <c r="B914" s="2">
        <v>8</v>
      </c>
      <c r="C914" s="2" t="s">
        <v>376</v>
      </c>
      <c r="D914" s="2" t="s">
        <v>39</v>
      </c>
      <c r="E914" s="2">
        <v>20200915</v>
      </c>
      <c r="F914" s="2">
        <v>20200917</v>
      </c>
      <c r="G914" s="2">
        <v>8801.5</v>
      </c>
      <c r="H914" s="2">
        <v>7274</v>
      </c>
      <c r="I914" s="2">
        <v>5</v>
      </c>
      <c r="J914" s="2" t="s">
        <v>377</v>
      </c>
      <c r="K914" s="2" t="s">
        <v>15</v>
      </c>
      <c r="L914" s="2" t="s">
        <v>3188</v>
      </c>
      <c r="M914" s="7" t="s">
        <v>3189</v>
      </c>
      <c r="N914" s="7" t="s">
        <v>3190</v>
      </c>
      <c r="O914" s="2"/>
      <c r="P914" s="2"/>
      <c r="Q914" s="2" t="str">
        <f>IF(SUMPRODUCT(--ISNUMBER(SEARCH('National Domains'!$A$2:$A$48,L914)))&gt;0,"Yes","No")</f>
        <v>No</v>
      </c>
      <c r="R914" s="2" t="str">
        <f>IF(COUNTIFS(Calibration!$A:$A,A914,Calibration!$B:$B,B914)&gt;0,"Yes","No")</f>
        <v>No</v>
      </c>
      <c r="S914" s="6"/>
    </row>
    <row r="915" spans="1:19" ht="23.25" customHeight="1" x14ac:dyDescent="0.2">
      <c r="A915" s="2">
        <v>215</v>
      </c>
      <c r="B915" s="2">
        <v>9</v>
      </c>
      <c r="C915" s="2" t="s">
        <v>376</v>
      </c>
      <c r="D915" s="2" t="s">
        <v>39</v>
      </c>
      <c r="E915" s="2">
        <v>20200915</v>
      </c>
      <c r="F915" s="2">
        <v>20200917</v>
      </c>
      <c r="G915" s="2">
        <v>8801.5</v>
      </c>
      <c r="H915" s="2">
        <v>7274</v>
      </c>
      <c r="I915" s="2">
        <v>5</v>
      </c>
      <c r="J915" s="2" t="s">
        <v>377</v>
      </c>
      <c r="K915" s="2" t="s">
        <v>15</v>
      </c>
      <c r="L915" s="2" t="s">
        <v>3191</v>
      </c>
      <c r="M915" s="7" t="s">
        <v>3192</v>
      </c>
      <c r="N915" s="7" t="s">
        <v>3193</v>
      </c>
      <c r="O915" s="2"/>
      <c r="P915" s="2"/>
      <c r="Q915" s="2" t="str">
        <f>IF(SUMPRODUCT(--ISNUMBER(SEARCH('National Domains'!$A$2:$A$48,L915)))&gt;0,"Yes","No")</f>
        <v>No</v>
      </c>
      <c r="R915" s="2" t="str">
        <f>IF(COUNTIFS(Calibration!$A:$A,A915,Calibration!$B:$B,B915)&gt;0,"Yes","No")</f>
        <v>No</v>
      </c>
      <c r="S915" s="6"/>
    </row>
    <row r="916" spans="1:19" ht="34.5" customHeight="1" x14ac:dyDescent="0.2">
      <c r="A916" s="2">
        <v>215</v>
      </c>
      <c r="B916" s="2">
        <v>10</v>
      </c>
      <c r="C916" s="2" t="s">
        <v>376</v>
      </c>
      <c r="D916" s="2" t="s">
        <v>39</v>
      </c>
      <c r="E916" s="2">
        <v>20200915</v>
      </c>
      <c r="F916" s="2">
        <v>20200917</v>
      </c>
      <c r="G916" s="2">
        <v>8801.5</v>
      </c>
      <c r="H916" s="2">
        <v>7274</v>
      </c>
      <c r="I916" s="2">
        <v>5</v>
      </c>
      <c r="J916" s="2" t="s">
        <v>377</v>
      </c>
      <c r="K916" s="2" t="s">
        <v>15</v>
      </c>
      <c r="L916" s="2" t="s">
        <v>3194</v>
      </c>
      <c r="M916" s="7" t="s">
        <v>3195</v>
      </c>
      <c r="N916" s="7" t="s">
        <v>3196</v>
      </c>
      <c r="O916" s="2"/>
      <c r="P916" s="2"/>
      <c r="Q916" s="2" t="str">
        <f>IF(SUMPRODUCT(--ISNUMBER(SEARCH('National Domains'!$A$2:$A$48,L916)))&gt;0,"Yes","No")</f>
        <v>No</v>
      </c>
      <c r="R916" s="2" t="str">
        <f>IF(COUNTIFS(Calibration!$A:$A,A916,Calibration!$B:$B,B916)&gt;0,"Yes","No")</f>
        <v>No</v>
      </c>
      <c r="S916" s="6"/>
    </row>
    <row r="917" spans="1:19" ht="34.5" customHeight="1" x14ac:dyDescent="0.2">
      <c r="A917" s="2">
        <v>215</v>
      </c>
      <c r="B917" s="2">
        <v>11</v>
      </c>
      <c r="C917" s="2" t="s">
        <v>376</v>
      </c>
      <c r="D917" s="2" t="s">
        <v>39</v>
      </c>
      <c r="E917" s="2">
        <v>20200915</v>
      </c>
      <c r="F917" s="2">
        <v>20200917</v>
      </c>
      <c r="G917" s="2">
        <v>8801.5</v>
      </c>
      <c r="H917" s="2">
        <v>7274</v>
      </c>
      <c r="I917" s="2">
        <v>5</v>
      </c>
      <c r="J917" s="2" t="s">
        <v>377</v>
      </c>
      <c r="K917" s="2" t="s">
        <v>15</v>
      </c>
      <c r="L917" s="2" t="s">
        <v>3197</v>
      </c>
      <c r="M917" s="7" t="s">
        <v>3198</v>
      </c>
      <c r="N917" s="7" t="s">
        <v>3199</v>
      </c>
      <c r="O917" s="2"/>
      <c r="P917" s="2"/>
      <c r="Q917" s="2" t="str">
        <f>IF(SUMPRODUCT(--ISNUMBER(SEARCH('National Domains'!$A$2:$A$48,L917)))&gt;0,"Yes","No")</f>
        <v>Yes</v>
      </c>
      <c r="R917" s="2" t="str">
        <f>IF(COUNTIFS(Calibration!$A:$A,A917,Calibration!$B:$B,B917)&gt;0,"Yes","No")</f>
        <v>No</v>
      </c>
      <c r="S917" s="6"/>
    </row>
    <row r="918" spans="1:19" ht="23.25" customHeight="1" x14ac:dyDescent="0.2">
      <c r="A918" s="2">
        <v>215</v>
      </c>
      <c r="B918" s="2">
        <v>12</v>
      </c>
      <c r="C918" s="2" t="s">
        <v>376</v>
      </c>
      <c r="D918" s="2" t="s">
        <v>39</v>
      </c>
      <c r="E918" s="2">
        <v>20200915</v>
      </c>
      <c r="F918" s="2">
        <v>20200917</v>
      </c>
      <c r="G918" s="2">
        <v>8801.5</v>
      </c>
      <c r="H918" s="2">
        <v>7274</v>
      </c>
      <c r="I918" s="2">
        <v>5</v>
      </c>
      <c r="J918" s="2" t="s">
        <v>377</v>
      </c>
      <c r="K918" s="2" t="s">
        <v>15</v>
      </c>
      <c r="L918" s="2" t="s">
        <v>3200</v>
      </c>
      <c r="M918" s="7" t="s">
        <v>3201</v>
      </c>
      <c r="N918" s="7" t="s">
        <v>3202</v>
      </c>
      <c r="O918" s="2"/>
      <c r="P918" s="2"/>
      <c r="Q918" s="2" t="str">
        <f>IF(SUMPRODUCT(--ISNUMBER(SEARCH('National Domains'!$A$2:$A$48,L918)))&gt;0,"Yes","No")</f>
        <v>Yes</v>
      </c>
      <c r="R918" s="2" t="str">
        <f>IF(COUNTIFS(Calibration!$A:$A,A918,Calibration!$B:$B,B918)&gt;0,"Yes","No")</f>
        <v>No</v>
      </c>
      <c r="S918" s="6"/>
    </row>
    <row r="919" spans="1:19" ht="34.5" customHeight="1" x14ac:dyDescent="0.2">
      <c r="A919" s="2">
        <v>215</v>
      </c>
      <c r="B919" s="2">
        <v>13</v>
      </c>
      <c r="C919" s="2" t="s">
        <v>376</v>
      </c>
      <c r="D919" s="2" t="s">
        <v>39</v>
      </c>
      <c r="E919" s="2">
        <v>20200915</v>
      </c>
      <c r="F919" s="2">
        <v>20200917</v>
      </c>
      <c r="G919" s="2">
        <v>8801.5</v>
      </c>
      <c r="H919" s="2">
        <v>7274</v>
      </c>
      <c r="I919" s="2">
        <v>5</v>
      </c>
      <c r="J919" s="2" t="s">
        <v>377</v>
      </c>
      <c r="K919" s="2" t="s">
        <v>15</v>
      </c>
      <c r="L919" s="2" t="s">
        <v>3203</v>
      </c>
      <c r="M919" s="7" t="s">
        <v>3204</v>
      </c>
      <c r="N919" s="7" t="s">
        <v>3205</v>
      </c>
      <c r="O919" s="2"/>
      <c r="P919" s="2"/>
      <c r="Q919" s="2" t="str">
        <f>IF(SUMPRODUCT(--ISNUMBER(SEARCH('National Domains'!$A$2:$A$48,L919)))&gt;0,"Yes","No")</f>
        <v>Yes</v>
      </c>
      <c r="R919" s="2" t="str">
        <f>IF(COUNTIFS(Calibration!$A:$A,A919,Calibration!$B:$B,B919)&gt;0,"Yes","No")</f>
        <v>No</v>
      </c>
      <c r="S919" s="6"/>
    </row>
    <row r="920" spans="1:19" ht="23.25" customHeight="1" x14ac:dyDescent="0.2">
      <c r="A920" s="2">
        <v>215</v>
      </c>
      <c r="B920" s="2">
        <v>14</v>
      </c>
      <c r="C920" s="2" t="s">
        <v>376</v>
      </c>
      <c r="D920" s="2" t="s">
        <v>39</v>
      </c>
      <c r="E920" s="2">
        <v>20200915</v>
      </c>
      <c r="F920" s="2">
        <v>20200917</v>
      </c>
      <c r="G920" s="2">
        <v>8801.5</v>
      </c>
      <c r="H920" s="2">
        <v>7274</v>
      </c>
      <c r="I920" s="2">
        <v>5</v>
      </c>
      <c r="J920" s="2" t="s">
        <v>377</v>
      </c>
      <c r="K920" s="2" t="s">
        <v>15</v>
      </c>
      <c r="L920" s="2" t="s">
        <v>3206</v>
      </c>
      <c r="M920" s="7" t="s">
        <v>3207</v>
      </c>
      <c r="N920" s="7" t="s">
        <v>3208</v>
      </c>
      <c r="O920" s="2"/>
      <c r="P920" s="2"/>
      <c r="Q920" s="2" t="str">
        <f>IF(SUMPRODUCT(--ISNUMBER(SEARCH('National Domains'!$A$2:$A$48,L920)))&gt;0,"Yes","No")</f>
        <v>Yes</v>
      </c>
      <c r="R920" s="2" t="str">
        <f>IF(COUNTIFS(Calibration!$A:$A,A920,Calibration!$B:$B,B920)&gt;0,"Yes","No")</f>
        <v>No</v>
      </c>
      <c r="S920" s="6"/>
    </row>
    <row r="921" spans="1:19" ht="34.5" customHeight="1" x14ac:dyDescent="0.2">
      <c r="A921" s="2">
        <v>215</v>
      </c>
      <c r="B921" s="2">
        <v>15</v>
      </c>
      <c r="C921" s="2" t="s">
        <v>376</v>
      </c>
      <c r="D921" s="2" t="s">
        <v>39</v>
      </c>
      <c r="E921" s="2">
        <v>20200915</v>
      </c>
      <c r="F921" s="2">
        <v>20200917</v>
      </c>
      <c r="G921" s="2">
        <v>8801.5</v>
      </c>
      <c r="H921" s="2">
        <v>7274</v>
      </c>
      <c r="I921" s="2">
        <v>5</v>
      </c>
      <c r="J921" s="2" t="s">
        <v>377</v>
      </c>
      <c r="K921" s="2" t="s">
        <v>15</v>
      </c>
      <c r="L921" s="2" t="s">
        <v>3209</v>
      </c>
      <c r="M921" s="7" t="s">
        <v>3210</v>
      </c>
      <c r="N921" s="7" t="s">
        <v>3211</v>
      </c>
      <c r="O921" s="2"/>
      <c r="P921" s="2"/>
      <c r="Q921" s="2" t="str">
        <f>IF(SUMPRODUCT(--ISNUMBER(SEARCH('National Domains'!$A$2:$A$48,L921)))&gt;0,"Yes","No")</f>
        <v>Yes</v>
      </c>
      <c r="R921" s="2" t="str">
        <f>IF(COUNTIFS(Calibration!$A:$A,A921,Calibration!$B:$B,B921)&gt;0,"Yes","No")</f>
        <v>No</v>
      </c>
      <c r="S921" s="6"/>
    </row>
    <row r="922" spans="1:19" ht="34.5" customHeight="1" x14ac:dyDescent="0.2">
      <c r="A922" s="2">
        <v>215</v>
      </c>
      <c r="B922" s="2">
        <v>16</v>
      </c>
      <c r="C922" s="2" t="s">
        <v>376</v>
      </c>
      <c r="D922" s="2" t="s">
        <v>39</v>
      </c>
      <c r="E922" s="2">
        <v>20200915</v>
      </c>
      <c r="F922" s="2">
        <v>20200917</v>
      </c>
      <c r="G922" s="2">
        <v>8801.5</v>
      </c>
      <c r="H922" s="2">
        <v>7274</v>
      </c>
      <c r="I922" s="2">
        <v>5</v>
      </c>
      <c r="J922" s="2" t="s">
        <v>377</v>
      </c>
      <c r="K922" s="2" t="s">
        <v>15</v>
      </c>
      <c r="L922" s="2" t="s">
        <v>3212</v>
      </c>
      <c r="M922" s="7" t="s">
        <v>3213</v>
      </c>
      <c r="N922" s="7" t="s">
        <v>3214</v>
      </c>
      <c r="O922" s="2"/>
      <c r="P922" s="2"/>
      <c r="Q922" s="2" t="str">
        <f>IF(SUMPRODUCT(--ISNUMBER(SEARCH('National Domains'!$A$2:$A$48,L922)))&gt;0,"Yes","No")</f>
        <v>No</v>
      </c>
      <c r="R922" s="2" t="str">
        <f>IF(COUNTIFS(Calibration!$A:$A,A922,Calibration!$B:$B,B922)&gt;0,"Yes","No")</f>
        <v>No</v>
      </c>
      <c r="S922" s="6"/>
    </row>
    <row r="923" spans="1:19" ht="34.5" customHeight="1" x14ac:dyDescent="0.2">
      <c r="A923" s="4">
        <v>215</v>
      </c>
      <c r="B923" s="4">
        <v>17</v>
      </c>
      <c r="C923" s="4" t="s">
        <v>376</v>
      </c>
      <c r="D923" s="4" t="s">
        <v>39</v>
      </c>
      <c r="E923" s="4">
        <v>20200915</v>
      </c>
      <c r="F923" s="4">
        <v>20200917</v>
      </c>
      <c r="G923" s="4">
        <v>8801.5</v>
      </c>
      <c r="H923" s="4">
        <v>7274</v>
      </c>
      <c r="I923" s="4">
        <v>5</v>
      </c>
      <c r="J923" s="4" t="s">
        <v>377</v>
      </c>
      <c r="K923" s="4" t="s">
        <v>15</v>
      </c>
      <c r="L923" s="4" t="s">
        <v>3215</v>
      </c>
      <c r="M923" s="5" t="s">
        <v>3216</v>
      </c>
      <c r="N923" s="5" t="s">
        <v>3217</v>
      </c>
      <c r="O923" s="4"/>
      <c r="P923" s="4"/>
      <c r="Q923" s="4" t="str">
        <f>IF(SUMPRODUCT(--ISNUMBER(SEARCH('National Domains'!$A$2:$A$48,L923)))&gt;0,"Yes","No")</f>
        <v>No</v>
      </c>
      <c r="R923" s="4" t="str">
        <f>IF(COUNTIFS(Calibration!$A:$A,A923,Calibration!$B:$B,B923)&gt;0,"Yes","No")</f>
        <v>Yes</v>
      </c>
      <c r="S923" s="6"/>
    </row>
    <row r="924" spans="1:19" ht="34.5" customHeight="1" x14ac:dyDescent="0.2">
      <c r="A924" s="2">
        <v>215</v>
      </c>
      <c r="B924" s="2">
        <v>18</v>
      </c>
      <c r="C924" s="2" t="s">
        <v>376</v>
      </c>
      <c r="D924" s="2" t="s">
        <v>39</v>
      </c>
      <c r="E924" s="2">
        <v>20200915</v>
      </c>
      <c r="F924" s="2">
        <v>20200917</v>
      </c>
      <c r="G924" s="2">
        <v>8801.5</v>
      </c>
      <c r="H924" s="2">
        <v>7274</v>
      </c>
      <c r="I924" s="2">
        <v>5</v>
      </c>
      <c r="J924" s="2" t="s">
        <v>377</v>
      </c>
      <c r="K924" s="2" t="s">
        <v>15</v>
      </c>
      <c r="L924" s="2" t="s">
        <v>3218</v>
      </c>
      <c r="M924" s="7" t="s">
        <v>3219</v>
      </c>
      <c r="N924" s="7" t="s">
        <v>3220</v>
      </c>
      <c r="O924" s="2"/>
      <c r="P924" s="2"/>
      <c r="Q924" s="2" t="str">
        <f>IF(SUMPRODUCT(--ISNUMBER(SEARCH('National Domains'!$A$2:$A$48,L924)))&gt;0,"Yes","No")</f>
        <v>Yes</v>
      </c>
      <c r="R924" s="2" t="str">
        <f>IF(COUNTIFS(Calibration!$A:$A,A924,Calibration!$B:$B,B924)&gt;0,"Yes","No")</f>
        <v>No</v>
      </c>
      <c r="S924" s="6"/>
    </row>
    <row r="925" spans="1:19" ht="34.5" customHeight="1" x14ac:dyDescent="0.2">
      <c r="A925" s="2">
        <v>215</v>
      </c>
      <c r="B925" s="2">
        <v>19</v>
      </c>
      <c r="C925" s="2" t="s">
        <v>376</v>
      </c>
      <c r="D925" s="2" t="s">
        <v>39</v>
      </c>
      <c r="E925" s="2">
        <v>20200915</v>
      </c>
      <c r="F925" s="2">
        <v>20200917</v>
      </c>
      <c r="G925" s="2">
        <v>8801.5</v>
      </c>
      <c r="H925" s="2">
        <v>7274</v>
      </c>
      <c r="I925" s="2">
        <v>5</v>
      </c>
      <c r="J925" s="2" t="s">
        <v>377</v>
      </c>
      <c r="K925" s="2" t="s">
        <v>15</v>
      </c>
      <c r="L925" s="2" t="s">
        <v>3221</v>
      </c>
      <c r="M925" s="7" t="s">
        <v>3222</v>
      </c>
      <c r="N925" s="7" t="s">
        <v>3223</v>
      </c>
      <c r="O925" s="2"/>
      <c r="P925" s="2"/>
      <c r="Q925" s="2" t="str">
        <f>IF(SUMPRODUCT(--ISNUMBER(SEARCH('National Domains'!$A$2:$A$48,L925)))&gt;0,"Yes","No")</f>
        <v>No</v>
      </c>
      <c r="R925" s="2" t="str">
        <f>IF(COUNTIFS(Calibration!$A:$A,A925,Calibration!$B:$B,B925)&gt;0,"Yes","No")</f>
        <v>No</v>
      </c>
      <c r="S925" s="6"/>
    </row>
    <row r="926" spans="1:19" ht="23.25" customHeight="1" x14ac:dyDescent="0.2">
      <c r="A926" s="2">
        <v>215</v>
      </c>
      <c r="B926" s="2">
        <v>20</v>
      </c>
      <c r="C926" s="2" t="s">
        <v>376</v>
      </c>
      <c r="D926" s="2" t="s">
        <v>39</v>
      </c>
      <c r="E926" s="2">
        <v>20200915</v>
      </c>
      <c r="F926" s="2">
        <v>20200917</v>
      </c>
      <c r="G926" s="2">
        <v>8801.5</v>
      </c>
      <c r="H926" s="2">
        <v>7274</v>
      </c>
      <c r="I926" s="2">
        <v>5</v>
      </c>
      <c r="J926" s="2" t="s">
        <v>377</v>
      </c>
      <c r="K926" s="2" t="s">
        <v>15</v>
      </c>
      <c r="L926" s="2" t="s">
        <v>3224</v>
      </c>
      <c r="M926" s="7" t="s">
        <v>3225</v>
      </c>
      <c r="N926" s="7" t="s">
        <v>3226</v>
      </c>
      <c r="O926" s="2"/>
      <c r="P926" s="2"/>
      <c r="Q926" s="2" t="str">
        <f>IF(SUMPRODUCT(--ISNUMBER(SEARCH('National Domains'!$A$2:$A$48,L926)))&gt;0,"Yes","No")</f>
        <v>No</v>
      </c>
      <c r="R926" s="2" t="str">
        <f>IF(COUNTIFS(Calibration!$A:$A,A926,Calibration!$B:$B,B926)&gt;0,"Yes","No")</f>
        <v>No</v>
      </c>
      <c r="S926" s="6"/>
    </row>
    <row r="927" spans="1:19" ht="34.5" customHeight="1" x14ac:dyDescent="0.2">
      <c r="A927" s="2">
        <v>215</v>
      </c>
      <c r="B927" s="2">
        <v>21</v>
      </c>
      <c r="C927" s="2" t="s">
        <v>376</v>
      </c>
      <c r="D927" s="2" t="s">
        <v>39</v>
      </c>
      <c r="E927" s="2">
        <v>20200915</v>
      </c>
      <c r="F927" s="2">
        <v>20200917</v>
      </c>
      <c r="G927" s="2">
        <v>8801.5</v>
      </c>
      <c r="H927" s="2">
        <v>7274</v>
      </c>
      <c r="I927" s="2">
        <v>5</v>
      </c>
      <c r="J927" s="2" t="s">
        <v>377</v>
      </c>
      <c r="K927" s="2" t="s">
        <v>15</v>
      </c>
      <c r="L927" s="2" t="s">
        <v>3227</v>
      </c>
      <c r="M927" s="7" t="s">
        <v>3228</v>
      </c>
      <c r="N927" s="7" t="s">
        <v>3229</v>
      </c>
      <c r="O927" s="2"/>
      <c r="P927" s="2"/>
      <c r="Q927" s="2" t="str">
        <f>IF(SUMPRODUCT(--ISNUMBER(SEARCH('National Domains'!$A$2:$A$48,L927)))&gt;0,"Yes","No")</f>
        <v>No</v>
      </c>
      <c r="R927" s="2" t="str">
        <f>IF(COUNTIFS(Calibration!$A:$A,A927,Calibration!$B:$B,B927)&gt;0,"Yes","No")</f>
        <v>No</v>
      </c>
      <c r="S927" s="6"/>
    </row>
    <row r="928" spans="1:19" ht="34.5" customHeight="1" x14ac:dyDescent="0.2">
      <c r="A928" s="2">
        <v>215</v>
      </c>
      <c r="B928" s="2">
        <v>22</v>
      </c>
      <c r="C928" s="2" t="s">
        <v>376</v>
      </c>
      <c r="D928" s="2" t="s">
        <v>39</v>
      </c>
      <c r="E928" s="2">
        <v>20200915</v>
      </c>
      <c r="F928" s="2">
        <v>20200917</v>
      </c>
      <c r="G928" s="2">
        <v>8801.5</v>
      </c>
      <c r="H928" s="2">
        <v>7274</v>
      </c>
      <c r="I928" s="2">
        <v>5</v>
      </c>
      <c r="J928" s="2" t="s">
        <v>377</v>
      </c>
      <c r="K928" s="2" t="s">
        <v>15</v>
      </c>
      <c r="L928" s="2" t="s">
        <v>3230</v>
      </c>
      <c r="M928" s="7" t="s">
        <v>3231</v>
      </c>
      <c r="N928" s="7" t="s">
        <v>3232</v>
      </c>
      <c r="O928" s="2"/>
      <c r="P928" s="2"/>
      <c r="Q928" s="2" t="str">
        <f>IF(SUMPRODUCT(--ISNUMBER(SEARCH('National Domains'!$A$2:$A$48,L928)))&gt;0,"Yes","No")</f>
        <v>No</v>
      </c>
      <c r="R928" s="2" t="str">
        <f>IF(COUNTIFS(Calibration!$A:$A,A928,Calibration!$B:$B,B928)&gt;0,"Yes","No")</f>
        <v>No</v>
      </c>
      <c r="S928" s="6"/>
    </row>
    <row r="929" spans="1:19" ht="34.5" customHeight="1" x14ac:dyDescent="0.2">
      <c r="A929" s="2">
        <v>216</v>
      </c>
      <c r="B929" s="2">
        <v>1</v>
      </c>
      <c r="C929" s="2" t="s">
        <v>378</v>
      </c>
      <c r="D929" s="2" t="s">
        <v>39</v>
      </c>
      <c r="E929" s="2">
        <v>20201009</v>
      </c>
      <c r="F929" s="2">
        <v>20201011</v>
      </c>
      <c r="G929" s="2">
        <v>3469.3</v>
      </c>
      <c r="H929" s="2">
        <v>2867</v>
      </c>
      <c r="I929" s="2">
        <v>5</v>
      </c>
      <c r="J929" s="2" t="s">
        <v>46</v>
      </c>
      <c r="K929" s="2" t="s">
        <v>41</v>
      </c>
      <c r="L929" s="2" t="s">
        <v>3233</v>
      </c>
      <c r="M929" s="7" t="s">
        <v>3234</v>
      </c>
      <c r="N929" s="7" t="s">
        <v>3235</v>
      </c>
      <c r="O929" s="2"/>
      <c r="P929" s="2"/>
      <c r="Q929" s="2" t="str">
        <f>IF(SUMPRODUCT(--ISNUMBER(SEARCH('National Domains'!$A$2:$A$48,L929)))&gt;0,"Yes","No")</f>
        <v>No</v>
      </c>
      <c r="R929" s="2" t="str">
        <f>IF(COUNTIFS(Calibration!$A:$A,A929,Calibration!$B:$B,B929)&gt;0,"Yes","No")</f>
        <v>No</v>
      </c>
      <c r="S929" s="6"/>
    </row>
    <row r="930" spans="1:19" ht="34.5" customHeight="1" x14ac:dyDescent="0.2">
      <c r="A930" s="2">
        <v>216</v>
      </c>
      <c r="B930" s="2">
        <v>2</v>
      </c>
      <c r="C930" s="2" t="s">
        <v>378</v>
      </c>
      <c r="D930" s="2" t="s">
        <v>39</v>
      </c>
      <c r="E930" s="2">
        <v>20201009</v>
      </c>
      <c r="F930" s="2">
        <v>20201011</v>
      </c>
      <c r="G930" s="2">
        <v>3469.3</v>
      </c>
      <c r="H930" s="2">
        <v>2867</v>
      </c>
      <c r="I930" s="2">
        <v>5</v>
      </c>
      <c r="J930" s="2" t="s">
        <v>46</v>
      </c>
      <c r="K930" s="2" t="s">
        <v>41</v>
      </c>
      <c r="L930" s="2" t="s">
        <v>3236</v>
      </c>
      <c r="M930" s="7" t="s">
        <v>3237</v>
      </c>
      <c r="N930" s="7" t="s">
        <v>3238</v>
      </c>
      <c r="O930" s="2"/>
      <c r="P930" s="2"/>
      <c r="Q930" s="2" t="str">
        <f>IF(SUMPRODUCT(--ISNUMBER(SEARCH('National Domains'!$A$2:$A$48,L930)))&gt;0,"Yes","No")</f>
        <v>No</v>
      </c>
      <c r="R930" s="2" t="str">
        <f>IF(COUNTIFS(Calibration!$A:$A,A930,Calibration!$B:$B,B930)&gt;0,"Yes","No")</f>
        <v>No</v>
      </c>
      <c r="S930" s="6"/>
    </row>
    <row r="931" spans="1:19" ht="34.5" customHeight="1" x14ac:dyDescent="0.2">
      <c r="A931" s="2">
        <v>216</v>
      </c>
      <c r="B931" s="2">
        <v>3</v>
      </c>
      <c r="C931" s="2" t="s">
        <v>378</v>
      </c>
      <c r="D931" s="2" t="s">
        <v>39</v>
      </c>
      <c r="E931" s="2">
        <v>20201009</v>
      </c>
      <c r="F931" s="2">
        <v>20201011</v>
      </c>
      <c r="G931" s="2">
        <v>3469.3</v>
      </c>
      <c r="H931" s="2">
        <v>2867</v>
      </c>
      <c r="I931" s="2">
        <v>5</v>
      </c>
      <c r="J931" s="2" t="s">
        <v>46</v>
      </c>
      <c r="K931" s="2" t="s">
        <v>41</v>
      </c>
      <c r="L931" s="2" t="s">
        <v>3239</v>
      </c>
      <c r="M931" s="7" t="s">
        <v>3240</v>
      </c>
      <c r="N931" s="7" t="s">
        <v>3241</v>
      </c>
      <c r="O931" s="2"/>
      <c r="P931" s="2"/>
      <c r="Q931" s="2" t="str">
        <f>IF(SUMPRODUCT(--ISNUMBER(SEARCH('National Domains'!$A$2:$A$48,L931)))&gt;0,"Yes","No")</f>
        <v>Yes</v>
      </c>
      <c r="R931" s="2" t="str">
        <f>IF(COUNTIFS(Calibration!$A:$A,A931,Calibration!$B:$B,B931)&gt;0,"Yes","No")</f>
        <v>No</v>
      </c>
      <c r="S931" s="6"/>
    </row>
    <row r="932" spans="1:19" ht="34.5" customHeight="1" x14ac:dyDescent="0.2">
      <c r="A932" s="2">
        <v>216</v>
      </c>
      <c r="B932" s="2">
        <v>4</v>
      </c>
      <c r="C932" s="2" t="s">
        <v>378</v>
      </c>
      <c r="D932" s="2" t="s">
        <v>39</v>
      </c>
      <c r="E932" s="2">
        <v>20201009</v>
      </c>
      <c r="F932" s="2">
        <v>20201011</v>
      </c>
      <c r="G932" s="2">
        <v>3469.3</v>
      </c>
      <c r="H932" s="2">
        <v>2867</v>
      </c>
      <c r="I932" s="2">
        <v>5</v>
      </c>
      <c r="J932" s="2" t="s">
        <v>46</v>
      </c>
      <c r="K932" s="2" t="s">
        <v>41</v>
      </c>
      <c r="L932" s="2" t="s">
        <v>3242</v>
      </c>
      <c r="M932" s="7" t="s">
        <v>3243</v>
      </c>
      <c r="N932" s="7" t="s">
        <v>3244</v>
      </c>
      <c r="O932" s="2"/>
      <c r="P932" s="2"/>
      <c r="Q932" s="2" t="str">
        <f>IF(SUMPRODUCT(--ISNUMBER(SEARCH('National Domains'!$A$2:$A$48,L932)))&gt;0,"Yes","No")</f>
        <v>Yes</v>
      </c>
      <c r="R932" s="2" t="str">
        <f>IF(COUNTIFS(Calibration!$A:$A,A932,Calibration!$B:$B,B932)&gt;0,"Yes","No")</f>
        <v>No</v>
      </c>
      <c r="S932" s="6"/>
    </row>
    <row r="933" spans="1:19" ht="34.5" customHeight="1" x14ac:dyDescent="0.2">
      <c r="A933" s="2">
        <v>216</v>
      </c>
      <c r="B933" s="2">
        <v>5</v>
      </c>
      <c r="C933" s="2" t="s">
        <v>378</v>
      </c>
      <c r="D933" s="2" t="s">
        <v>39</v>
      </c>
      <c r="E933" s="2">
        <v>20201009</v>
      </c>
      <c r="F933" s="2">
        <v>20201011</v>
      </c>
      <c r="G933" s="2">
        <v>3469.3</v>
      </c>
      <c r="H933" s="2">
        <v>2867</v>
      </c>
      <c r="I933" s="2">
        <v>5</v>
      </c>
      <c r="J933" s="2" t="s">
        <v>46</v>
      </c>
      <c r="K933" s="2" t="s">
        <v>41</v>
      </c>
      <c r="L933" s="2" t="s">
        <v>3245</v>
      </c>
      <c r="M933" s="7" t="s">
        <v>3246</v>
      </c>
      <c r="N933" s="7" t="s">
        <v>3247</v>
      </c>
      <c r="O933" s="2"/>
      <c r="P933" s="2"/>
      <c r="Q933" s="2" t="str">
        <f>IF(SUMPRODUCT(--ISNUMBER(SEARCH('National Domains'!$A$2:$A$48,L933)))&gt;0,"Yes","No")</f>
        <v>Yes</v>
      </c>
      <c r="R933" s="2" t="str">
        <f>IF(COUNTIFS(Calibration!$A:$A,A933,Calibration!$B:$B,B933)&gt;0,"Yes","No")</f>
        <v>No</v>
      </c>
      <c r="S933" s="6"/>
    </row>
    <row r="934" spans="1:19" ht="34.5" customHeight="1" x14ac:dyDescent="0.2">
      <c r="A934" s="2">
        <v>216</v>
      </c>
      <c r="B934" s="2">
        <v>6</v>
      </c>
      <c r="C934" s="2" t="s">
        <v>378</v>
      </c>
      <c r="D934" s="2" t="s">
        <v>39</v>
      </c>
      <c r="E934" s="2">
        <v>20201009</v>
      </c>
      <c r="F934" s="2">
        <v>20201011</v>
      </c>
      <c r="G934" s="2">
        <v>3469.3</v>
      </c>
      <c r="H934" s="2">
        <v>2867</v>
      </c>
      <c r="I934" s="2">
        <v>5</v>
      </c>
      <c r="J934" s="2" t="s">
        <v>46</v>
      </c>
      <c r="K934" s="2" t="s">
        <v>41</v>
      </c>
      <c r="L934" s="2" t="s">
        <v>3248</v>
      </c>
      <c r="M934" s="7" t="s">
        <v>3249</v>
      </c>
      <c r="N934" s="7" t="s">
        <v>3250</v>
      </c>
      <c r="O934" s="2"/>
      <c r="P934" s="2"/>
      <c r="Q934" s="2" t="str">
        <f>IF(SUMPRODUCT(--ISNUMBER(SEARCH('National Domains'!$A$2:$A$48,L934)))&gt;0,"Yes","No")</f>
        <v>Yes</v>
      </c>
      <c r="R934" s="2" t="str">
        <f>IF(COUNTIFS(Calibration!$A:$A,A934,Calibration!$B:$B,B934)&gt;0,"Yes","No")</f>
        <v>No</v>
      </c>
      <c r="S934" s="6"/>
    </row>
    <row r="935" spans="1:19" ht="34.5" customHeight="1" x14ac:dyDescent="0.2">
      <c r="A935" s="2">
        <v>216</v>
      </c>
      <c r="B935" s="2">
        <v>7</v>
      </c>
      <c r="C935" s="2" t="s">
        <v>378</v>
      </c>
      <c r="D935" s="2" t="s">
        <v>39</v>
      </c>
      <c r="E935" s="2">
        <v>20201009</v>
      </c>
      <c r="F935" s="2">
        <v>20201011</v>
      </c>
      <c r="G935" s="2">
        <v>3469.3</v>
      </c>
      <c r="H935" s="2">
        <v>2867</v>
      </c>
      <c r="I935" s="2">
        <v>5</v>
      </c>
      <c r="J935" s="2" t="s">
        <v>46</v>
      </c>
      <c r="K935" s="2" t="s">
        <v>41</v>
      </c>
      <c r="L935" s="2" t="s">
        <v>3251</v>
      </c>
      <c r="M935" s="7" t="s">
        <v>3252</v>
      </c>
      <c r="N935" s="7" t="s">
        <v>3253</v>
      </c>
      <c r="O935" s="2"/>
      <c r="P935" s="2"/>
      <c r="Q935" s="2" t="str">
        <f>IF(SUMPRODUCT(--ISNUMBER(SEARCH('National Domains'!$A$2:$A$48,L935)))&gt;0,"Yes","No")</f>
        <v>Yes</v>
      </c>
      <c r="R935" s="2" t="str">
        <f>IF(COUNTIFS(Calibration!$A:$A,A935,Calibration!$B:$B,B935)&gt;0,"Yes","No")</f>
        <v>No</v>
      </c>
      <c r="S935" s="6"/>
    </row>
    <row r="936" spans="1:19" ht="34.5" customHeight="1" x14ac:dyDescent="0.2">
      <c r="A936" s="2">
        <v>216</v>
      </c>
      <c r="B936" s="2">
        <v>8</v>
      </c>
      <c r="C936" s="2" t="s">
        <v>378</v>
      </c>
      <c r="D936" s="2" t="s">
        <v>39</v>
      </c>
      <c r="E936" s="2">
        <v>20201009</v>
      </c>
      <c r="F936" s="2">
        <v>20201011</v>
      </c>
      <c r="G936" s="2">
        <v>3469.3</v>
      </c>
      <c r="H936" s="2">
        <v>2867</v>
      </c>
      <c r="I936" s="2">
        <v>5</v>
      </c>
      <c r="J936" s="2" t="s">
        <v>46</v>
      </c>
      <c r="K936" s="2" t="s">
        <v>41</v>
      </c>
      <c r="L936" s="2" t="s">
        <v>3254</v>
      </c>
      <c r="M936" s="7" t="s">
        <v>3255</v>
      </c>
      <c r="N936" s="7" t="s">
        <v>3256</v>
      </c>
      <c r="O936" s="2"/>
      <c r="P936" s="2"/>
      <c r="Q936" s="2" t="str">
        <f>IF(SUMPRODUCT(--ISNUMBER(SEARCH('National Domains'!$A$2:$A$48,L936)))&gt;0,"Yes","No")</f>
        <v>No</v>
      </c>
      <c r="R936" s="2" t="str">
        <f>IF(COUNTIFS(Calibration!$A:$A,A936,Calibration!$B:$B,B936)&gt;0,"Yes","No")</f>
        <v>No</v>
      </c>
      <c r="S936" s="6"/>
    </row>
    <row r="937" spans="1:19" ht="34.5" customHeight="1" x14ac:dyDescent="0.2">
      <c r="A937" s="4">
        <v>216</v>
      </c>
      <c r="B937" s="4">
        <v>9</v>
      </c>
      <c r="C937" s="4" t="s">
        <v>378</v>
      </c>
      <c r="D937" s="4" t="s">
        <v>39</v>
      </c>
      <c r="E937" s="4">
        <v>20201009</v>
      </c>
      <c r="F937" s="4">
        <v>20201011</v>
      </c>
      <c r="G937" s="4">
        <v>3469.3</v>
      </c>
      <c r="H937" s="4">
        <v>2867</v>
      </c>
      <c r="I937" s="4">
        <v>5</v>
      </c>
      <c r="J937" s="4" t="s">
        <v>46</v>
      </c>
      <c r="K937" s="4" t="s">
        <v>41</v>
      </c>
      <c r="L937" s="4" t="s">
        <v>3257</v>
      </c>
      <c r="M937" s="5" t="s">
        <v>3258</v>
      </c>
      <c r="N937" s="5" t="s">
        <v>3259</v>
      </c>
      <c r="O937" s="4"/>
      <c r="P937" s="4"/>
      <c r="Q937" s="4" t="str">
        <f>IF(SUMPRODUCT(--ISNUMBER(SEARCH('National Domains'!$A$2:$A$48,L937)))&gt;0,"Yes","No")</f>
        <v>Yes</v>
      </c>
      <c r="R937" s="4" t="str">
        <f>IF(COUNTIFS(Calibration!$A:$A,A937,Calibration!$B:$B,B937)&gt;0,"Yes","No")</f>
        <v>Yes</v>
      </c>
      <c r="S937" s="6"/>
    </row>
    <row r="938" spans="1:19" ht="34.5" customHeight="1" x14ac:dyDescent="0.2">
      <c r="A938" s="2">
        <v>216</v>
      </c>
      <c r="B938" s="2">
        <v>10</v>
      </c>
      <c r="C938" s="2" t="s">
        <v>378</v>
      </c>
      <c r="D938" s="2" t="s">
        <v>39</v>
      </c>
      <c r="E938" s="2">
        <v>20201009</v>
      </c>
      <c r="F938" s="2">
        <v>20201011</v>
      </c>
      <c r="G938" s="2">
        <v>3469.3</v>
      </c>
      <c r="H938" s="2">
        <v>2867</v>
      </c>
      <c r="I938" s="2">
        <v>5</v>
      </c>
      <c r="J938" s="2" t="s">
        <v>46</v>
      </c>
      <c r="K938" s="2" t="s">
        <v>41</v>
      </c>
      <c r="L938" s="2" t="s">
        <v>3260</v>
      </c>
      <c r="M938" s="7" t="s">
        <v>3261</v>
      </c>
      <c r="N938" s="7" t="s">
        <v>3262</v>
      </c>
      <c r="O938" s="2"/>
      <c r="P938" s="2"/>
      <c r="Q938" s="2" t="str">
        <f>IF(SUMPRODUCT(--ISNUMBER(SEARCH('National Domains'!$A$2:$A$48,L938)))&gt;0,"Yes","No")</f>
        <v>Yes</v>
      </c>
      <c r="R938" s="2" t="str">
        <f>IF(COUNTIFS(Calibration!$A:$A,A938,Calibration!$B:$B,B938)&gt;0,"Yes","No")</f>
        <v>No</v>
      </c>
      <c r="S938" s="6"/>
    </row>
    <row r="939" spans="1:19" ht="34.5" customHeight="1" x14ac:dyDescent="0.2">
      <c r="A939" s="2">
        <v>216</v>
      </c>
      <c r="B939" s="2">
        <v>11</v>
      </c>
      <c r="C939" s="2" t="s">
        <v>378</v>
      </c>
      <c r="D939" s="2" t="s">
        <v>39</v>
      </c>
      <c r="E939" s="2">
        <v>20201009</v>
      </c>
      <c r="F939" s="2">
        <v>20201011</v>
      </c>
      <c r="G939" s="2">
        <v>3469.3</v>
      </c>
      <c r="H939" s="2">
        <v>2867</v>
      </c>
      <c r="I939" s="2">
        <v>5</v>
      </c>
      <c r="J939" s="2" t="s">
        <v>46</v>
      </c>
      <c r="K939" s="2" t="s">
        <v>41</v>
      </c>
      <c r="L939" s="2" t="s">
        <v>3263</v>
      </c>
      <c r="M939" s="7" t="s">
        <v>3264</v>
      </c>
      <c r="N939" s="7" t="s">
        <v>3265</v>
      </c>
      <c r="O939" s="2"/>
      <c r="P939" s="2"/>
      <c r="Q939" s="2" t="str">
        <f>IF(SUMPRODUCT(--ISNUMBER(SEARCH('National Domains'!$A$2:$A$48,L939)))&gt;0,"Yes","No")</f>
        <v>Yes</v>
      </c>
      <c r="R939" s="2" t="str">
        <f>IF(COUNTIFS(Calibration!$A:$A,A939,Calibration!$B:$B,B939)&gt;0,"Yes","No")</f>
        <v>No</v>
      </c>
      <c r="S939" s="6"/>
    </row>
    <row r="940" spans="1:19" ht="34.5" customHeight="1" x14ac:dyDescent="0.2">
      <c r="A940" s="2">
        <v>216</v>
      </c>
      <c r="B940" s="2">
        <v>12</v>
      </c>
      <c r="C940" s="2" t="s">
        <v>378</v>
      </c>
      <c r="D940" s="2" t="s">
        <v>39</v>
      </c>
      <c r="E940" s="2">
        <v>20201009</v>
      </c>
      <c r="F940" s="2">
        <v>20201011</v>
      </c>
      <c r="G940" s="2">
        <v>3469.3</v>
      </c>
      <c r="H940" s="2">
        <v>2867</v>
      </c>
      <c r="I940" s="2">
        <v>5</v>
      </c>
      <c r="J940" s="2" t="s">
        <v>46</v>
      </c>
      <c r="K940" s="2" t="s">
        <v>41</v>
      </c>
      <c r="L940" s="2" t="s">
        <v>3266</v>
      </c>
      <c r="M940" s="7" t="s">
        <v>3267</v>
      </c>
      <c r="N940" s="7" t="s">
        <v>3268</v>
      </c>
      <c r="O940" s="2"/>
      <c r="P940" s="2"/>
      <c r="Q940" s="2" t="str">
        <f>IF(SUMPRODUCT(--ISNUMBER(SEARCH('National Domains'!$A$2:$A$48,L940)))&gt;0,"Yes","No")</f>
        <v>No</v>
      </c>
      <c r="R940" s="2" t="str">
        <f>IF(COUNTIFS(Calibration!$A:$A,A940,Calibration!$B:$B,B940)&gt;0,"Yes","No")</f>
        <v>No</v>
      </c>
      <c r="S940" s="6"/>
    </row>
    <row r="941" spans="1:19" ht="34.5" customHeight="1" x14ac:dyDescent="0.2">
      <c r="A941" s="2">
        <v>216</v>
      </c>
      <c r="B941" s="2">
        <v>13</v>
      </c>
      <c r="C941" s="2" t="s">
        <v>378</v>
      </c>
      <c r="D941" s="2" t="s">
        <v>39</v>
      </c>
      <c r="E941" s="2">
        <v>20201009</v>
      </c>
      <c r="F941" s="2">
        <v>20201011</v>
      </c>
      <c r="G941" s="2">
        <v>3469.3</v>
      </c>
      <c r="H941" s="2">
        <v>2867</v>
      </c>
      <c r="I941" s="2">
        <v>5</v>
      </c>
      <c r="J941" s="2" t="s">
        <v>46</v>
      </c>
      <c r="K941" s="2" t="s">
        <v>41</v>
      </c>
      <c r="L941" s="2" t="s">
        <v>3269</v>
      </c>
      <c r="M941" s="7" t="s">
        <v>3270</v>
      </c>
      <c r="N941" s="7" t="s">
        <v>3271</v>
      </c>
      <c r="O941" s="2"/>
      <c r="P941" s="2"/>
      <c r="Q941" s="2" t="str">
        <f>IF(SUMPRODUCT(--ISNUMBER(SEARCH('National Domains'!$A$2:$A$48,L941)))&gt;0,"Yes","No")</f>
        <v>Yes</v>
      </c>
      <c r="R941" s="2" t="str">
        <f>IF(COUNTIFS(Calibration!$A:$A,A941,Calibration!$B:$B,B941)&gt;0,"Yes","No")</f>
        <v>No</v>
      </c>
      <c r="S941" s="6"/>
    </row>
    <row r="942" spans="1:19" ht="34.5" customHeight="1" x14ac:dyDescent="0.2">
      <c r="A942" s="2">
        <v>217</v>
      </c>
      <c r="B942" s="2">
        <v>1</v>
      </c>
      <c r="C942" s="2" t="s">
        <v>379</v>
      </c>
      <c r="D942" s="2" t="s">
        <v>39</v>
      </c>
      <c r="E942" s="2">
        <v>20201028</v>
      </c>
      <c r="F942" s="2">
        <v>20201029</v>
      </c>
      <c r="G942" s="2">
        <v>5266</v>
      </c>
      <c r="H942" s="2">
        <v>4352</v>
      </c>
      <c r="I942" s="2">
        <v>6</v>
      </c>
      <c r="J942" s="2" t="s">
        <v>380</v>
      </c>
      <c r="K942" s="2" t="s">
        <v>381</v>
      </c>
      <c r="L942" s="2" t="s">
        <v>3272</v>
      </c>
      <c r="M942" s="7" t="s">
        <v>3273</v>
      </c>
      <c r="N942" s="7" t="s">
        <v>3274</v>
      </c>
      <c r="O942" s="2"/>
      <c r="P942" s="2"/>
      <c r="Q942" s="2" t="str">
        <f>IF(SUMPRODUCT(--ISNUMBER(SEARCH('National Domains'!$A$2:$A$48,L942)))&gt;0,"Yes","No")</f>
        <v>No</v>
      </c>
      <c r="R942" s="2" t="str">
        <f>IF(COUNTIFS(Calibration!$A:$A,A942,Calibration!$B:$B,B942)&gt;0,"Yes","No")</f>
        <v>No</v>
      </c>
      <c r="S942" s="6"/>
    </row>
    <row r="943" spans="1:19" ht="34.5" customHeight="1" x14ac:dyDescent="0.2">
      <c r="A943" s="2">
        <v>217</v>
      </c>
      <c r="B943" s="2">
        <v>2</v>
      </c>
      <c r="C943" s="2" t="s">
        <v>379</v>
      </c>
      <c r="D943" s="2" t="s">
        <v>39</v>
      </c>
      <c r="E943" s="2">
        <v>20201028</v>
      </c>
      <c r="F943" s="2">
        <v>20201029</v>
      </c>
      <c r="G943" s="2">
        <v>5266</v>
      </c>
      <c r="H943" s="2">
        <v>4352</v>
      </c>
      <c r="I943" s="2">
        <v>6</v>
      </c>
      <c r="J943" s="2" t="s">
        <v>380</v>
      </c>
      <c r="K943" s="2" t="s">
        <v>381</v>
      </c>
      <c r="L943" s="2" t="s">
        <v>3275</v>
      </c>
      <c r="M943" s="7" t="s">
        <v>3276</v>
      </c>
      <c r="N943" s="7" t="s">
        <v>3277</v>
      </c>
      <c r="O943" s="2"/>
      <c r="P943" s="2"/>
      <c r="Q943" s="2" t="str">
        <f>IF(SUMPRODUCT(--ISNUMBER(SEARCH('National Domains'!$A$2:$A$48,L943)))&gt;0,"Yes","No")</f>
        <v>No</v>
      </c>
      <c r="R943" s="2" t="str">
        <f>IF(COUNTIFS(Calibration!$A:$A,A943,Calibration!$B:$B,B943)&gt;0,"Yes","No")</f>
        <v>No</v>
      </c>
      <c r="S943" s="6"/>
    </row>
    <row r="944" spans="1:19" ht="34.5" customHeight="1" x14ac:dyDescent="0.2">
      <c r="A944" s="2">
        <v>217</v>
      </c>
      <c r="B944" s="2">
        <v>3</v>
      </c>
      <c r="C944" s="2" t="s">
        <v>379</v>
      </c>
      <c r="D944" s="2" t="s">
        <v>39</v>
      </c>
      <c r="E944" s="2">
        <v>20201028</v>
      </c>
      <c r="F944" s="2">
        <v>20201029</v>
      </c>
      <c r="G944" s="2">
        <v>5266</v>
      </c>
      <c r="H944" s="2">
        <v>4352</v>
      </c>
      <c r="I944" s="2">
        <v>6</v>
      </c>
      <c r="J944" s="2" t="s">
        <v>380</v>
      </c>
      <c r="K944" s="2" t="s">
        <v>381</v>
      </c>
      <c r="L944" s="2" t="s">
        <v>3278</v>
      </c>
      <c r="M944" s="7" t="s">
        <v>3279</v>
      </c>
      <c r="N944" s="7" t="s">
        <v>3280</v>
      </c>
      <c r="O944" s="2"/>
      <c r="P944" s="2"/>
      <c r="Q944" s="2" t="str">
        <f>IF(SUMPRODUCT(--ISNUMBER(SEARCH('National Domains'!$A$2:$A$48,L944)))&gt;0,"Yes","No")</f>
        <v>No</v>
      </c>
      <c r="R944" s="2" t="str">
        <f>IF(COUNTIFS(Calibration!$A:$A,A944,Calibration!$B:$B,B944)&gt;0,"Yes","No")</f>
        <v>No</v>
      </c>
      <c r="S944" s="6"/>
    </row>
    <row r="945" spans="1:19" ht="34.5" customHeight="1" x14ac:dyDescent="0.2">
      <c r="A945" s="2">
        <v>217</v>
      </c>
      <c r="B945" s="2">
        <v>4</v>
      </c>
      <c r="C945" s="2" t="s">
        <v>379</v>
      </c>
      <c r="D945" s="2" t="s">
        <v>39</v>
      </c>
      <c r="E945" s="2">
        <v>20201028</v>
      </c>
      <c r="F945" s="2">
        <v>20201029</v>
      </c>
      <c r="G945" s="2">
        <v>5266</v>
      </c>
      <c r="H945" s="2">
        <v>4352</v>
      </c>
      <c r="I945" s="2">
        <v>6</v>
      </c>
      <c r="J945" s="2" t="s">
        <v>380</v>
      </c>
      <c r="K945" s="2" t="s">
        <v>381</v>
      </c>
      <c r="L945" s="2" t="s">
        <v>3281</v>
      </c>
      <c r="M945" s="7" t="s">
        <v>3282</v>
      </c>
      <c r="N945" s="7" t="s">
        <v>3283</v>
      </c>
      <c r="O945" s="2"/>
      <c r="P945" s="2"/>
      <c r="Q945" s="2" t="str">
        <f>IF(SUMPRODUCT(--ISNUMBER(SEARCH('National Domains'!$A$2:$A$48,L945)))&gt;0,"Yes","No")</f>
        <v>No</v>
      </c>
      <c r="R945" s="2" t="str">
        <f>IF(COUNTIFS(Calibration!$A:$A,A945,Calibration!$B:$B,B945)&gt;0,"Yes","No")</f>
        <v>No</v>
      </c>
      <c r="S945" s="6"/>
    </row>
    <row r="946" spans="1:19" ht="34.5" customHeight="1" x14ac:dyDescent="0.2">
      <c r="A946" s="2">
        <v>217</v>
      </c>
      <c r="B946" s="2">
        <v>5</v>
      </c>
      <c r="C946" s="2" t="s">
        <v>379</v>
      </c>
      <c r="D946" s="2" t="s">
        <v>39</v>
      </c>
      <c r="E946" s="2">
        <v>20201028</v>
      </c>
      <c r="F946" s="2">
        <v>20201029</v>
      </c>
      <c r="G946" s="2">
        <v>5266</v>
      </c>
      <c r="H946" s="2">
        <v>4352</v>
      </c>
      <c r="I946" s="2">
        <v>6</v>
      </c>
      <c r="J946" s="2" t="s">
        <v>380</v>
      </c>
      <c r="K946" s="2" t="s">
        <v>381</v>
      </c>
      <c r="L946" s="2" t="s">
        <v>3284</v>
      </c>
      <c r="M946" s="7" t="s">
        <v>3285</v>
      </c>
      <c r="N946" s="7" t="s">
        <v>3286</v>
      </c>
      <c r="O946" s="2"/>
      <c r="P946" s="2"/>
      <c r="Q946" s="2" t="str">
        <f>IF(SUMPRODUCT(--ISNUMBER(SEARCH('National Domains'!$A$2:$A$48,L946)))&gt;0,"Yes","No")</f>
        <v>No</v>
      </c>
      <c r="R946" s="2" t="str">
        <f>IF(COUNTIFS(Calibration!$A:$A,A946,Calibration!$B:$B,B946)&gt;0,"Yes","No")</f>
        <v>No</v>
      </c>
      <c r="S946" s="6"/>
    </row>
    <row r="947" spans="1:19" ht="34.5" customHeight="1" x14ac:dyDescent="0.2">
      <c r="A947" s="2">
        <v>217</v>
      </c>
      <c r="B947" s="2">
        <v>6</v>
      </c>
      <c r="C947" s="2" t="s">
        <v>379</v>
      </c>
      <c r="D947" s="2" t="s">
        <v>39</v>
      </c>
      <c r="E947" s="2">
        <v>20201028</v>
      </c>
      <c r="F947" s="2">
        <v>20201029</v>
      </c>
      <c r="G947" s="2">
        <v>5266</v>
      </c>
      <c r="H947" s="2">
        <v>4352</v>
      </c>
      <c r="I947" s="2">
        <v>6</v>
      </c>
      <c r="J947" s="2" t="s">
        <v>380</v>
      </c>
      <c r="K947" s="2" t="s">
        <v>381</v>
      </c>
      <c r="L947" s="2" t="s">
        <v>3287</v>
      </c>
      <c r="M947" s="7" t="s">
        <v>3288</v>
      </c>
      <c r="N947" s="7" t="s">
        <v>3289</v>
      </c>
      <c r="O947" s="2"/>
      <c r="P947" s="2"/>
      <c r="Q947" s="2" t="str">
        <f>IF(SUMPRODUCT(--ISNUMBER(SEARCH('National Domains'!$A$2:$A$48,L947)))&gt;0,"Yes","No")</f>
        <v>No</v>
      </c>
      <c r="R947" s="2" t="str">
        <f>IF(COUNTIFS(Calibration!$A:$A,A947,Calibration!$B:$B,B947)&gt;0,"Yes","No")</f>
        <v>No</v>
      </c>
      <c r="S947" s="6"/>
    </row>
    <row r="948" spans="1:19" ht="34.5" customHeight="1" x14ac:dyDescent="0.2">
      <c r="A948" s="2">
        <v>217</v>
      </c>
      <c r="B948" s="2">
        <v>7</v>
      </c>
      <c r="C948" s="2" t="s">
        <v>379</v>
      </c>
      <c r="D948" s="2" t="s">
        <v>39</v>
      </c>
      <c r="E948" s="2">
        <v>20201028</v>
      </c>
      <c r="F948" s="2">
        <v>20201029</v>
      </c>
      <c r="G948" s="2">
        <v>5266</v>
      </c>
      <c r="H948" s="2">
        <v>4352</v>
      </c>
      <c r="I948" s="2">
        <v>6</v>
      </c>
      <c r="J948" s="2" t="s">
        <v>380</v>
      </c>
      <c r="K948" s="2" t="s">
        <v>381</v>
      </c>
      <c r="L948" s="2" t="s">
        <v>3290</v>
      </c>
      <c r="M948" s="7" t="s">
        <v>3291</v>
      </c>
      <c r="N948" s="7" t="s">
        <v>3292</v>
      </c>
      <c r="O948" s="2"/>
      <c r="P948" s="2"/>
      <c r="Q948" s="2" t="str">
        <f>IF(SUMPRODUCT(--ISNUMBER(SEARCH('National Domains'!$A$2:$A$48,L948)))&gt;0,"Yes","No")</f>
        <v>No</v>
      </c>
      <c r="R948" s="2" t="str">
        <f>IF(COUNTIFS(Calibration!$A:$A,A948,Calibration!$B:$B,B948)&gt;0,"Yes","No")</f>
        <v>No</v>
      </c>
      <c r="S948" s="6"/>
    </row>
    <row r="949" spans="1:19" ht="23.25" customHeight="1" x14ac:dyDescent="0.2">
      <c r="A949" s="2">
        <v>217</v>
      </c>
      <c r="B949" s="2">
        <v>8</v>
      </c>
      <c r="C949" s="2" t="s">
        <v>379</v>
      </c>
      <c r="D949" s="2" t="s">
        <v>39</v>
      </c>
      <c r="E949" s="2">
        <v>20201028</v>
      </c>
      <c r="F949" s="2">
        <v>20201029</v>
      </c>
      <c r="G949" s="2">
        <v>5266</v>
      </c>
      <c r="H949" s="2">
        <v>4352</v>
      </c>
      <c r="I949" s="2">
        <v>6</v>
      </c>
      <c r="J949" s="2" t="s">
        <v>380</v>
      </c>
      <c r="K949" s="2" t="s">
        <v>381</v>
      </c>
      <c r="L949" s="2" t="s">
        <v>3293</v>
      </c>
      <c r="M949" s="7" t="s">
        <v>3294</v>
      </c>
      <c r="N949" s="7" t="s">
        <v>3295</v>
      </c>
      <c r="O949" s="2"/>
      <c r="P949" s="2"/>
      <c r="Q949" s="2" t="str">
        <f>IF(SUMPRODUCT(--ISNUMBER(SEARCH('National Domains'!$A$2:$A$48,L949)))&gt;0,"Yes","No")</f>
        <v>No</v>
      </c>
      <c r="R949" s="2" t="str">
        <f>IF(COUNTIFS(Calibration!$A:$A,A949,Calibration!$B:$B,B949)&gt;0,"Yes","No")</f>
        <v>No</v>
      </c>
      <c r="S949" s="6"/>
    </row>
    <row r="950" spans="1:19" ht="34.5" customHeight="1" x14ac:dyDescent="0.2">
      <c r="A950" s="2">
        <v>217</v>
      </c>
      <c r="B950" s="2">
        <v>9</v>
      </c>
      <c r="C950" s="2" t="s">
        <v>379</v>
      </c>
      <c r="D950" s="2" t="s">
        <v>39</v>
      </c>
      <c r="E950" s="2">
        <v>20201028</v>
      </c>
      <c r="F950" s="2">
        <v>20201029</v>
      </c>
      <c r="G950" s="2">
        <v>5266</v>
      </c>
      <c r="H950" s="2">
        <v>4352</v>
      </c>
      <c r="I950" s="2">
        <v>6</v>
      </c>
      <c r="J950" s="2" t="s">
        <v>380</v>
      </c>
      <c r="K950" s="2" t="s">
        <v>381</v>
      </c>
      <c r="L950" s="2" t="s">
        <v>3296</v>
      </c>
      <c r="M950" s="7" t="s">
        <v>3297</v>
      </c>
      <c r="N950" s="7" t="s">
        <v>3298</v>
      </c>
      <c r="O950" s="2"/>
      <c r="P950" s="2"/>
      <c r="Q950" s="2" t="str">
        <f>IF(SUMPRODUCT(--ISNUMBER(SEARCH('National Domains'!$A$2:$A$48,L950)))&gt;0,"Yes","No")</f>
        <v>No</v>
      </c>
      <c r="R950" s="2" t="str">
        <f>IF(COUNTIFS(Calibration!$A:$A,A950,Calibration!$B:$B,B950)&gt;0,"Yes","No")</f>
        <v>No</v>
      </c>
      <c r="S950" s="6"/>
    </row>
    <row r="951" spans="1:19" ht="34.5" customHeight="1" x14ac:dyDescent="0.2">
      <c r="A951" s="2">
        <v>217</v>
      </c>
      <c r="B951" s="2">
        <v>10</v>
      </c>
      <c r="C951" s="2" t="s">
        <v>379</v>
      </c>
      <c r="D951" s="2" t="s">
        <v>39</v>
      </c>
      <c r="E951" s="2">
        <v>20201028</v>
      </c>
      <c r="F951" s="2">
        <v>20201029</v>
      </c>
      <c r="G951" s="2">
        <v>5266</v>
      </c>
      <c r="H951" s="2">
        <v>4352</v>
      </c>
      <c r="I951" s="2">
        <v>6</v>
      </c>
      <c r="J951" s="2" t="s">
        <v>380</v>
      </c>
      <c r="K951" s="2" t="s">
        <v>381</v>
      </c>
      <c r="L951" s="2" t="s">
        <v>3299</v>
      </c>
      <c r="M951" s="7" t="s">
        <v>3300</v>
      </c>
      <c r="N951" s="7" t="s">
        <v>3301</v>
      </c>
      <c r="O951" s="2"/>
      <c r="P951" s="2"/>
      <c r="Q951" s="2" t="str">
        <f>IF(SUMPRODUCT(--ISNUMBER(SEARCH('National Domains'!$A$2:$A$48,L951)))&gt;0,"Yes","No")</f>
        <v>No</v>
      </c>
      <c r="R951" s="2" t="str">
        <f>IF(COUNTIFS(Calibration!$A:$A,A951,Calibration!$B:$B,B951)&gt;0,"Yes","No")</f>
        <v>No</v>
      </c>
      <c r="S951" s="6"/>
    </row>
    <row r="952" spans="1:19" ht="34.5" customHeight="1" x14ac:dyDescent="0.2">
      <c r="A952" s="2">
        <v>217</v>
      </c>
      <c r="B952" s="2">
        <v>11</v>
      </c>
      <c r="C952" s="2" t="s">
        <v>379</v>
      </c>
      <c r="D952" s="2" t="s">
        <v>39</v>
      </c>
      <c r="E952" s="2">
        <v>20201028</v>
      </c>
      <c r="F952" s="2">
        <v>20201029</v>
      </c>
      <c r="G952" s="2">
        <v>5266</v>
      </c>
      <c r="H952" s="2">
        <v>4352</v>
      </c>
      <c r="I952" s="2">
        <v>6</v>
      </c>
      <c r="J952" s="2" t="s">
        <v>380</v>
      </c>
      <c r="K952" s="2" t="s">
        <v>381</v>
      </c>
      <c r="L952" s="2" t="s">
        <v>3302</v>
      </c>
      <c r="M952" s="7" t="s">
        <v>3303</v>
      </c>
      <c r="N952" s="7" t="s">
        <v>3304</v>
      </c>
      <c r="O952" s="2"/>
      <c r="P952" s="2"/>
      <c r="Q952" s="2" t="str">
        <f>IF(SUMPRODUCT(--ISNUMBER(SEARCH('National Domains'!$A$2:$A$48,L952)))&gt;0,"Yes","No")</f>
        <v>No</v>
      </c>
      <c r="R952" s="2" t="str">
        <f>IF(COUNTIFS(Calibration!$A:$A,A952,Calibration!$B:$B,B952)&gt;0,"Yes","No")</f>
        <v>No</v>
      </c>
      <c r="S952" s="6"/>
    </row>
    <row r="953" spans="1:19" ht="23.25" customHeight="1" x14ac:dyDescent="0.2">
      <c r="A953" s="2">
        <v>217</v>
      </c>
      <c r="B953" s="2">
        <v>12</v>
      </c>
      <c r="C953" s="2" t="s">
        <v>379</v>
      </c>
      <c r="D953" s="2" t="s">
        <v>39</v>
      </c>
      <c r="E953" s="2">
        <v>20201028</v>
      </c>
      <c r="F953" s="2">
        <v>20201029</v>
      </c>
      <c r="G953" s="2">
        <v>5266</v>
      </c>
      <c r="H953" s="2">
        <v>4352</v>
      </c>
      <c r="I953" s="2">
        <v>6</v>
      </c>
      <c r="J953" s="2" t="s">
        <v>380</v>
      </c>
      <c r="K953" s="2" t="s">
        <v>381</v>
      </c>
      <c r="L953" s="2" t="s">
        <v>3305</v>
      </c>
      <c r="M953" s="7" t="s">
        <v>3306</v>
      </c>
      <c r="N953" s="7" t="s">
        <v>3307</v>
      </c>
      <c r="O953" s="2"/>
      <c r="P953" s="2"/>
      <c r="Q953" s="2" t="str">
        <f>IF(SUMPRODUCT(--ISNUMBER(SEARCH('National Domains'!$A$2:$A$48,L953)))&gt;0,"Yes","No")</f>
        <v>No</v>
      </c>
      <c r="R953" s="2" t="str">
        <f>IF(COUNTIFS(Calibration!$A:$A,A953,Calibration!$B:$B,B953)&gt;0,"Yes","No")</f>
        <v>No</v>
      </c>
      <c r="S953" s="6"/>
    </row>
    <row r="954" spans="1:19" ht="34.5" customHeight="1" x14ac:dyDescent="0.2">
      <c r="A954" s="2">
        <v>217</v>
      </c>
      <c r="B954" s="2">
        <v>13</v>
      </c>
      <c r="C954" s="2" t="s">
        <v>379</v>
      </c>
      <c r="D954" s="2" t="s">
        <v>39</v>
      </c>
      <c r="E954" s="2">
        <v>20201028</v>
      </c>
      <c r="F954" s="2">
        <v>20201029</v>
      </c>
      <c r="G954" s="2">
        <v>5266</v>
      </c>
      <c r="H954" s="2">
        <v>4352</v>
      </c>
      <c r="I954" s="2">
        <v>6</v>
      </c>
      <c r="J954" s="2" t="s">
        <v>380</v>
      </c>
      <c r="K954" s="2" t="s">
        <v>381</v>
      </c>
      <c r="L954" s="2" t="s">
        <v>3308</v>
      </c>
      <c r="M954" s="7" t="s">
        <v>3309</v>
      </c>
      <c r="N954" s="7" t="s">
        <v>3310</v>
      </c>
      <c r="O954" s="2"/>
      <c r="P954" s="2"/>
      <c r="Q954" s="2" t="str">
        <f>IF(SUMPRODUCT(--ISNUMBER(SEARCH('National Domains'!$A$2:$A$48,L954)))&gt;0,"Yes","No")</f>
        <v>No</v>
      </c>
      <c r="R954" s="2" t="str">
        <f>IF(COUNTIFS(Calibration!$A:$A,A954,Calibration!$B:$B,B954)&gt;0,"Yes","No")</f>
        <v>No</v>
      </c>
      <c r="S954" s="6"/>
    </row>
    <row r="955" spans="1:19" ht="34.5" customHeight="1" x14ac:dyDescent="0.2">
      <c r="A955" s="2">
        <v>217</v>
      </c>
      <c r="B955" s="2">
        <v>14</v>
      </c>
      <c r="C955" s="2" t="s">
        <v>379</v>
      </c>
      <c r="D955" s="2" t="s">
        <v>39</v>
      </c>
      <c r="E955" s="2">
        <v>20201028</v>
      </c>
      <c r="F955" s="2">
        <v>20201029</v>
      </c>
      <c r="G955" s="2">
        <v>5266</v>
      </c>
      <c r="H955" s="2">
        <v>4352</v>
      </c>
      <c r="I955" s="2">
        <v>6</v>
      </c>
      <c r="J955" s="2" t="s">
        <v>380</v>
      </c>
      <c r="K955" s="2" t="s">
        <v>381</v>
      </c>
      <c r="L955" s="2" t="s">
        <v>3311</v>
      </c>
      <c r="M955" s="7" t="s">
        <v>3312</v>
      </c>
      <c r="N955" s="7" t="s">
        <v>3313</v>
      </c>
      <c r="O955" s="2"/>
      <c r="P955" s="2"/>
      <c r="Q955" s="2" t="str">
        <f>IF(SUMPRODUCT(--ISNUMBER(SEARCH('National Domains'!$A$2:$A$48,L955)))&gt;0,"Yes","No")</f>
        <v>No</v>
      </c>
      <c r="R955" s="2" t="str">
        <f>IF(COUNTIFS(Calibration!$A:$A,A955,Calibration!$B:$B,B955)&gt;0,"Yes","No")</f>
        <v>No</v>
      </c>
      <c r="S955" s="6"/>
    </row>
    <row r="956" spans="1:19" ht="34.5" customHeight="1" x14ac:dyDescent="0.2">
      <c r="A956" s="2">
        <v>217</v>
      </c>
      <c r="B956" s="2">
        <v>15</v>
      </c>
      <c r="C956" s="2" t="s">
        <v>379</v>
      </c>
      <c r="D956" s="2" t="s">
        <v>39</v>
      </c>
      <c r="E956" s="2">
        <v>20201028</v>
      </c>
      <c r="F956" s="2">
        <v>20201029</v>
      </c>
      <c r="G956" s="2">
        <v>5266</v>
      </c>
      <c r="H956" s="2">
        <v>4352</v>
      </c>
      <c r="I956" s="2">
        <v>6</v>
      </c>
      <c r="J956" s="2" t="s">
        <v>380</v>
      </c>
      <c r="K956" s="2" t="s">
        <v>381</v>
      </c>
      <c r="L956" s="2" t="s">
        <v>3314</v>
      </c>
      <c r="M956" s="7" t="s">
        <v>3315</v>
      </c>
      <c r="N956" s="7" t="s">
        <v>3316</v>
      </c>
      <c r="O956" s="2"/>
      <c r="P956" s="2"/>
      <c r="Q956" s="2" t="str">
        <f>IF(SUMPRODUCT(--ISNUMBER(SEARCH('National Domains'!$A$2:$A$48,L956)))&gt;0,"Yes","No")</f>
        <v>No</v>
      </c>
      <c r="R956" s="2" t="str">
        <f>IF(COUNTIFS(Calibration!$A:$A,A956,Calibration!$B:$B,B956)&gt;0,"Yes","No")</f>
        <v>No</v>
      </c>
      <c r="S956" s="6"/>
    </row>
    <row r="957" spans="1:19" ht="34.5" customHeight="1" x14ac:dyDescent="0.2">
      <c r="A957" s="2">
        <v>217</v>
      </c>
      <c r="B957" s="2">
        <v>16</v>
      </c>
      <c r="C957" s="2" t="s">
        <v>379</v>
      </c>
      <c r="D957" s="2" t="s">
        <v>39</v>
      </c>
      <c r="E957" s="2">
        <v>20201028</v>
      </c>
      <c r="F957" s="2">
        <v>20201029</v>
      </c>
      <c r="G957" s="2">
        <v>5266</v>
      </c>
      <c r="H957" s="2">
        <v>4352</v>
      </c>
      <c r="I957" s="2">
        <v>6</v>
      </c>
      <c r="J957" s="2" t="s">
        <v>380</v>
      </c>
      <c r="K957" s="2" t="s">
        <v>381</v>
      </c>
      <c r="L957" s="2" t="s">
        <v>3317</v>
      </c>
      <c r="M957" s="7" t="s">
        <v>3318</v>
      </c>
      <c r="N957" s="7" t="s">
        <v>3319</v>
      </c>
      <c r="O957" s="2"/>
      <c r="P957" s="2"/>
      <c r="Q957" s="2" t="str">
        <f>IF(SUMPRODUCT(--ISNUMBER(SEARCH('National Domains'!$A$2:$A$48,L957)))&gt;0,"Yes","No")</f>
        <v>No</v>
      </c>
      <c r="R957" s="2" t="str">
        <f>IF(COUNTIFS(Calibration!$A:$A,A957,Calibration!$B:$B,B957)&gt;0,"Yes","No")</f>
        <v>No</v>
      </c>
      <c r="S957" s="6"/>
    </row>
    <row r="958" spans="1:19" ht="34.5" customHeight="1" x14ac:dyDescent="0.2">
      <c r="A958" s="2">
        <v>217</v>
      </c>
      <c r="B958" s="2">
        <v>17</v>
      </c>
      <c r="C958" s="2" t="s">
        <v>379</v>
      </c>
      <c r="D958" s="2" t="s">
        <v>39</v>
      </c>
      <c r="E958" s="2">
        <v>20201028</v>
      </c>
      <c r="F958" s="2">
        <v>20201029</v>
      </c>
      <c r="G958" s="2">
        <v>5266</v>
      </c>
      <c r="H958" s="2">
        <v>4352</v>
      </c>
      <c r="I958" s="2">
        <v>6</v>
      </c>
      <c r="J958" s="2" t="s">
        <v>380</v>
      </c>
      <c r="K958" s="2" t="s">
        <v>381</v>
      </c>
      <c r="L958" s="2" t="s">
        <v>3320</v>
      </c>
      <c r="M958" s="7" t="s">
        <v>3321</v>
      </c>
      <c r="N958" s="7" t="s">
        <v>3322</v>
      </c>
      <c r="O958" s="2"/>
      <c r="P958" s="2"/>
      <c r="Q958" s="2" t="str">
        <f>IF(SUMPRODUCT(--ISNUMBER(SEARCH('National Domains'!$A$2:$A$48,L958)))&gt;0,"Yes","No")</f>
        <v>Yes</v>
      </c>
      <c r="R958" s="2" t="str">
        <f>IF(COUNTIFS(Calibration!$A:$A,A958,Calibration!$B:$B,B958)&gt;0,"Yes","No")</f>
        <v>No</v>
      </c>
      <c r="S958" s="6"/>
    </row>
    <row r="959" spans="1:19" ht="23.25" customHeight="1" x14ac:dyDescent="0.2">
      <c r="A959" s="2">
        <v>217</v>
      </c>
      <c r="B959" s="2">
        <v>18</v>
      </c>
      <c r="C959" s="2" t="s">
        <v>379</v>
      </c>
      <c r="D959" s="2" t="s">
        <v>39</v>
      </c>
      <c r="E959" s="2">
        <v>20201028</v>
      </c>
      <c r="F959" s="2">
        <v>20201029</v>
      </c>
      <c r="G959" s="2">
        <v>5266</v>
      </c>
      <c r="H959" s="2">
        <v>4352</v>
      </c>
      <c r="I959" s="2">
        <v>6</v>
      </c>
      <c r="J959" s="2" t="s">
        <v>380</v>
      </c>
      <c r="K959" s="2" t="s">
        <v>381</v>
      </c>
      <c r="L959" s="2" t="s">
        <v>3323</v>
      </c>
      <c r="M959" s="7" t="s">
        <v>3324</v>
      </c>
      <c r="N959" s="7" t="s">
        <v>3325</v>
      </c>
      <c r="O959" s="2"/>
      <c r="P959" s="2"/>
      <c r="Q959" s="2" t="str">
        <f>IF(SUMPRODUCT(--ISNUMBER(SEARCH('National Domains'!$A$2:$A$48,L959)))&gt;0,"Yes","No")</f>
        <v>Yes</v>
      </c>
      <c r="R959" s="2" t="str">
        <f>IF(COUNTIFS(Calibration!$A:$A,A959,Calibration!$B:$B,B959)&gt;0,"Yes","No")</f>
        <v>No</v>
      </c>
      <c r="S959" s="6"/>
    </row>
    <row r="960" spans="1:19" ht="34.5" customHeight="1" x14ac:dyDescent="0.2">
      <c r="A960" s="2">
        <v>217</v>
      </c>
      <c r="B960" s="2">
        <v>19</v>
      </c>
      <c r="C960" s="2" t="s">
        <v>379</v>
      </c>
      <c r="D960" s="2" t="s">
        <v>39</v>
      </c>
      <c r="E960" s="2">
        <v>20201028</v>
      </c>
      <c r="F960" s="2">
        <v>20201029</v>
      </c>
      <c r="G960" s="2">
        <v>5266</v>
      </c>
      <c r="H960" s="2">
        <v>4352</v>
      </c>
      <c r="I960" s="2">
        <v>6</v>
      </c>
      <c r="J960" s="2" t="s">
        <v>380</v>
      </c>
      <c r="K960" s="2" t="s">
        <v>381</v>
      </c>
      <c r="L960" s="2" t="s">
        <v>3326</v>
      </c>
      <c r="M960" s="7" t="s">
        <v>3327</v>
      </c>
      <c r="N960" s="7" t="s">
        <v>3328</v>
      </c>
      <c r="O960" s="2"/>
      <c r="P960" s="2"/>
      <c r="Q960" s="2" t="str">
        <f>IF(SUMPRODUCT(--ISNUMBER(SEARCH('National Domains'!$A$2:$A$48,L960)))&gt;0,"Yes","No")</f>
        <v>Yes</v>
      </c>
      <c r="R960" s="2" t="str">
        <f>IF(COUNTIFS(Calibration!$A:$A,A960,Calibration!$B:$B,B960)&gt;0,"Yes","No")</f>
        <v>No</v>
      </c>
      <c r="S960" s="6"/>
    </row>
    <row r="961" spans="1:19" ht="34.5" customHeight="1" x14ac:dyDescent="0.2">
      <c r="A961" s="2">
        <v>217</v>
      </c>
      <c r="B961" s="2">
        <v>20</v>
      </c>
      <c r="C961" s="2" t="s">
        <v>379</v>
      </c>
      <c r="D961" s="2" t="s">
        <v>39</v>
      </c>
      <c r="E961" s="2">
        <v>20201028</v>
      </c>
      <c r="F961" s="2">
        <v>20201029</v>
      </c>
      <c r="G961" s="2">
        <v>5266</v>
      </c>
      <c r="H961" s="2">
        <v>4352</v>
      </c>
      <c r="I961" s="2">
        <v>6</v>
      </c>
      <c r="J961" s="2" t="s">
        <v>380</v>
      </c>
      <c r="K961" s="2" t="s">
        <v>381</v>
      </c>
      <c r="L961" s="2" t="s">
        <v>3329</v>
      </c>
      <c r="M961" s="7" t="s">
        <v>3330</v>
      </c>
      <c r="N961" s="7" t="s">
        <v>3331</v>
      </c>
      <c r="O961" s="2"/>
      <c r="P961" s="2"/>
      <c r="Q961" s="2" t="str">
        <f>IF(SUMPRODUCT(--ISNUMBER(SEARCH('National Domains'!$A$2:$A$48,L961)))&gt;0,"Yes","No")</f>
        <v>Yes</v>
      </c>
      <c r="R961" s="2" t="str">
        <f>IF(COUNTIFS(Calibration!$A:$A,A961,Calibration!$B:$B,B961)&gt;0,"Yes","No")</f>
        <v>No</v>
      </c>
      <c r="S961" s="6"/>
    </row>
    <row r="962" spans="1:19" ht="34.5" customHeight="1" x14ac:dyDescent="0.2">
      <c r="A962" s="2">
        <v>217</v>
      </c>
      <c r="B962" s="2">
        <v>21</v>
      </c>
      <c r="C962" s="2" t="s">
        <v>379</v>
      </c>
      <c r="D962" s="2" t="s">
        <v>39</v>
      </c>
      <c r="E962" s="2">
        <v>20201028</v>
      </c>
      <c r="F962" s="2">
        <v>20201029</v>
      </c>
      <c r="G962" s="2">
        <v>5266</v>
      </c>
      <c r="H962" s="2">
        <v>4352</v>
      </c>
      <c r="I962" s="2">
        <v>6</v>
      </c>
      <c r="J962" s="2" t="s">
        <v>380</v>
      </c>
      <c r="K962" s="2" t="s">
        <v>381</v>
      </c>
      <c r="L962" s="2" t="s">
        <v>3332</v>
      </c>
      <c r="M962" s="7" t="s">
        <v>3333</v>
      </c>
      <c r="N962" s="7" t="s">
        <v>3334</v>
      </c>
      <c r="O962" s="2"/>
      <c r="P962" s="2"/>
      <c r="Q962" s="2" t="str">
        <f>IF(SUMPRODUCT(--ISNUMBER(SEARCH('National Domains'!$A$2:$A$48,L962)))&gt;0,"Yes","No")</f>
        <v>Yes</v>
      </c>
      <c r="R962" s="2" t="str">
        <f>IF(COUNTIFS(Calibration!$A:$A,A962,Calibration!$B:$B,B962)&gt;0,"Yes","No")</f>
        <v>No</v>
      </c>
      <c r="S962" s="6"/>
    </row>
    <row r="963" spans="1:19" ht="34.5" customHeight="1" x14ac:dyDescent="0.2">
      <c r="A963" s="2">
        <v>217</v>
      </c>
      <c r="B963" s="2">
        <v>22</v>
      </c>
      <c r="C963" s="2" t="s">
        <v>379</v>
      </c>
      <c r="D963" s="2" t="s">
        <v>39</v>
      </c>
      <c r="E963" s="2">
        <v>20201028</v>
      </c>
      <c r="F963" s="2">
        <v>20201029</v>
      </c>
      <c r="G963" s="2">
        <v>5266</v>
      </c>
      <c r="H963" s="2">
        <v>4352</v>
      </c>
      <c r="I963" s="2">
        <v>6</v>
      </c>
      <c r="J963" s="2" t="s">
        <v>380</v>
      </c>
      <c r="K963" s="2" t="s">
        <v>381</v>
      </c>
      <c r="L963" s="2" t="s">
        <v>3335</v>
      </c>
      <c r="M963" s="7" t="s">
        <v>3336</v>
      </c>
      <c r="N963" s="7" t="s">
        <v>3337</v>
      </c>
      <c r="O963" s="2"/>
      <c r="P963" s="2"/>
      <c r="Q963" s="2" t="str">
        <f>IF(SUMPRODUCT(--ISNUMBER(SEARCH('National Domains'!$A$2:$A$48,L963)))&gt;0,"Yes","No")</f>
        <v>No</v>
      </c>
      <c r="R963" s="2" t="str">
        <f>IF(COUNTIFS(Calibration!$A:$A,A963,Calibration!$B:$B,B963)&gt;0,"Yes","No")</f>
        <v>No</v>
      </c>
      <c r="S963" s="6"/>
    </row>
    <row r="964" spans="1:19" ht="34.5" customHeight="1" x14ac:dyDescent="0.2">
      <c r="A964" s="2">
        <v>217</v>
      </c>
      <c r="B964" s="2">
        <v>23</v>
      </c>
      <c r="C964" s="2" t="s">
        <v>379</v>
      </c>
      <c r="D964" s="2" t="s">
        <v>39</v>
      </c>
      <c r="E964" s="2">
        <v>20201028</v>
      </c>
      <c r="F964" s="2">
        <v>20201029</v>
      </c>
      <c r="G964" s="2">
        <v>5266</v>
      </c>
      <c r="H964" s="2">
        <v>4352</v>
      </c>
      <c r="I964" s="2">
        <v>6</v>
      </c>
      <c r="J964" s="2" t="s">
        <v>380</v>
      </c>
      <c r="K964" s="2" t="s">
        <v>381</v>
      </c>
      <c r="L964" s="2" t="s">
        <v>3338</v>
      </c>
      <c r="M964" s="7" t="s">
        <v>3339</v>
      </c>
      <c r="N964" s="7" t="s">
        <v>3340</v>
      </c>
      <c r="O964" s="2"/>
      <c r="P964" s="2"/>
      <c r="Q964" s="2" t="str">
        <f>IF(SUMPRODUCT(--ISNUMBER(SEARCH('National Domains'!$A$2:$A$48,L964)))&gt;0,"Yes","No")</f>
        <v>No</v>
      </c>
      <c r="R964" s="2" t="str">
        <f>IF(COUNTIFS(Calibration!$A:$A,A964,Calibration!$B:$B,B964)&gt;0,"Yes","No")</f>
        <v>No</v>
      </c>
      <c r="S964" s="6"/>
    </row>
    <row r="965" spans="1:19" ht="34.5" customHeight="1" x14ac:dyDescent="0.2">
      <c r="A965" s="2">
        <v>217</v>
      </c>
      <c r="B965" s="2">
        <v>24</v>
      </c>
      <c r="C965" s="2" t="s">
        <v>379</v>
      </c>
      <c r="D965" s="2" t="s">
        <v>39</v>
      </c>
      <c r="E965" s="2">
        <v>20201028</v>
      </c>
      <c r="F965" s="2">
        <v>20201029</v>
      </c>
      <c r="G965" s="2">
        <v>5266</v>
      </c>
      <c r="H965" s="2">
        <v>4352</v>
      </c>
      <c r="I965" s="2">
        <v>6</v>
      </c>
      <c r="J965" s="2" t="s">
        <v>380</v>
      </c>
      <c r="K965" s="2" t="s">
        <v>381</v>
      </c>
      <c r="L965" s="2" t="s">
        <v>3341</v>
      </c>
      <c r="M965" s="7" t="s">
        <v>3342</v>
      </c>
      <c r="N965" s="7" t="s">
        <v>3343</v>
      </c>
      <c r="O965" s="2"/>
      <c r="P965" s="2"/>
      <c r="Q965" s="2" t="str">
        <f>IF(SUMPRODUCT(--ISNUMBER(SEARCH('National Domains'!$A$2:$A$48,L965)))&gt;0,"Yes","No")</f>
        <v>No</v>
      </c>
      <c r="R965" s="2" t="str">
        <f>IF(COUNTIFS(Calibration!$A:$A,A965,Calibration!$B:$B,B965)&gt;0,"Yes","No")</f>
        <v>No</v>
      </c>
      <c r="S965" s="6"/>
    </row>
    <row r="966" spans="1:19" ht="34.5" customHeight="1" x14ac:dyDescent="0.2">
      <c r="A966" s="2">
        <v>217</v>
      </c>
      <c r="B966" s="2">
        <v>25</v>
      </c>
      <c r="C966" s="2" t="s">
        <v>379</v>
      </c>
      <c r="D966" s="2" t="s">
        <v>39</v>
      </c>
      <c r="E966" s="2">
        <v>20201028</v>
      </c>
      <c r="F966" s="2">
        <v>20201029</v>
      </c>
      <c r="G966" s="2">
        <v>5266</v>
      </c>
      <c r="H966" s="2">
        <v>4352</v>
      </c>
      <c r="I966" s="2">
        <v>6</v>
      </c>
      <c r="J966" s="2" t="s">
        <v>380</v>
      </c>
      <c r="K966" s="2" t="s">
        <v>381</v>
      </c>
      <c r="L966" s="2" t="s">
        <v>3344</v>
      </c>
      <c r="M966" s="7" t="s">
        <v>3345</v>
      </c>
      <c r="N966" s="7" t="s">
        <v>3346</v>
      </c>
      <c r="O966" s="2"/>
      <c r="P966" s="2"/>
      <c r="Q966" s="2" t="str">
        <f>IF(SUMPRODUCT(--ISNUMBER(SEARCH('National Domains'!$A$2:$A$48,L966)))&gt;0,"Yes","No")</f>
        <v>No</v>
      </c>
      <c r="R966" s="2" t="str">
        <f>IF(COUNTIFS(Calibration!$A:$A,A966,Calibration!$B:$B,B966)&gt;0,"Yes","No")</f>
        <v>No</v>
      </c>
      <c r="S966" s="6"/>
    </row>
    <row r="967" spans="1:19" ht="34.5" customHeight="1" x14ac:dyDescent="0.2">
      <c r="A967" s="2">
        <v>217</v>
      </c>
      <c r="B967" s="2">
        <v>26</v>
      </c>
      <c r="C967" s="2" t="s">
        <v>379</v>
      </c>
      <c r="D967" s="2" t="s">
        <v>39</v>
      </c>
      <c r="E967" s="2">
        <v>20201028</v>
      </c>
      <c r="F967" s="2">
        <v>20201029</v>
      </c>
      <c r="G967" s="2">
        <v>5266</v>
      </c>
      <c r="H967" s="2">
        <v>4352</v>
      </c>
      <c r="I967" s="2">
        <v>6</v>
      </c>
      <c r="J967" s="2" t="s">
        <v>380</v>
      </c>
      <c r="K967" s="2" t="s">
        <v>381</v>
      </c>
      <c r="L967" s="2" t="s">
        <v>3347</v>
      </c>
      <c r="M967" s="7" t="s">
        <v>3348</v>
      </c>
      <c r="N967" s="7" t="s">
        <v>3349</v>
      </c>
      <c r="O967" s="2"/>
      <c r="P967" s="2"/>
      <c r="Q967" s="2" t="str">
        <f>IF(SUMPRODUCT(--ISNUMBER(SEARCH('National Domains'!$A$2:$A$48,L967)))&gt;0,"Yes","No")</f>
        <v>No</v>
      </c>
      <c r="R967" s="2" t="str">
        <f>IF(COUNTIFS(Calibration!$A:$A,A967,Calibration!$B:$B,B967)&gt;0,"Yes","No")</f>
        <v>No</v>
      </c>
      <c r="S967" s="6"/>
    </row>
    <row r="968" spans="1:19" ht="34.5" customHeight="1" x14ac:dyDescent="0.2">
      <c r="A968" s="2">
        <v>217</v>
      </c>
      <c r="B968" s="2">
        <v>27</v>
      </c>
      <c r="C968" s="2" t="s">
        <v>379</v>
      </c>
      <c r="D968" s="2" t="s">
        <v>39</v>
      </c>
      <c r="E968" s="2">
        <v>20201028</v>
      </c>
      <c r="F968" s="2">
        <v>20201029</v>
      </c>
      <c r="G968" s="2">
        <v>5266</v>
      </c>
      <c r="H968" s="2">
        <v>4352</v>
      </c>
      <c r="I968" s="2">
        <v>6</v>
      </c>
      <c r="J968" s="2" t="s">
        <v>380</v>
      </c>
      <c r="K968" s="2" t="s">
        <v>381</v>
      </c>
      <c r="L968" s="2" t="s">
        <v>3350</v>
      </c>
      <c r="M968" s="7" t="s">
        <v>3351</v>
      </c>
      <c r="N968" s="7" t="s">
        <v>3352</v>
      </c>
      <c r="O968" s="2"/>
      <c r="P968" s="2"/>
      <c r="Q968" s="2" t="str">
        <f>IF(SUMPRODUCT(--ISNUMBER(SEARCH('National Domains'!$A$2:$A$48,L968)))&gt;0,"Yes","No")</f>
        <v>Yes</v>
      </c>
      <c r="R968" s="2" t="str">
        <f>IF(COUNTIFS(Calibration!$A:$A,A968,Calibration!$B:$B,B968)&gt;0,"Yes","No")</f>
        <v>No</v>
      </c>
      <c r="S968" s="6"/>
    </row>
    <row r="969" spans="1:19" ht="34.5" customHeight="1" x14ac:dyDescent="0.2">
      <c r="A969" s="2">
        <v>217</v>
      </c>
      <c r="B969" s="2">
        <v>28</v>
      </c>
      <c r="C969" s="2" t="s">
        <v>379</v>
      </c>
      <c r="D969" s="2" t="s">
        <v>39</v>
      </c>
      <c r="E969" s="2">
        <v>20201028</v>
      </c>
      <c r="F969" s="2">
        <v>20201029</v>
      </c>
      <c r="G969" s="2">
        <v>5266</v>
      </c>
      <c r="H969" s="2">
        <v>4352</v>
      </c>
      <c r="I969" s="2">
        <v>6</v>
      </c>
      <c r="J969" s="2" t="s">
        <v>380</v>
      </c>
      <c r="K969" s="2" t="s">
        <v>381</v>
      </c>
      <c r="L969" s="2" t="s">
        <v>3353</v>
      </c>
      <c r="M969" s="7" t="s">
        <v>3354</v>
      </c>
      <c r="N969" s="7" t="s">
        <v>3355</v>
      </c>
      <c r="O969" s="2"/>
      <c r="P969" s="2"/>
      <c r="Q969" s="2" t="str">
        <f>IF(SUMPRODUCT(--ISNUMBER(SEARCH('National Domains'!$A$2:$A$48,L969)))&gt;0,"Yes","No")</f>
        <v>No</v>
      </c>
      <c r="R969" s="2" t="str">
        <f>IF(COUNTIFS(Calibration!$A:$A,A969,Calibration!$B:$B,B969)&gt;0,"Yes","No")</f>
        <v>No</v>
      </c>
      <c r="S969" s="6"/>
    </row>
    <row r="970" spans="1:19" ht="34.5" customHeight="1" x14ac:dyDescent="0.2">
      <c r="A970" s="2">
        <v>217</v>
      </c>
      <c r="B970" s="2">
        <v>29</v>
      </c>
      <c r="C970" s="2" t="s">
        <v>379</v>
      </c>
      <c r="D970" s="2" t="s">
        <v>39</v>
      </c>
      <c r="E970" s="2">
        <v>20201028</v>
      </c>
      <c r="F970" s="2">
        <v>20201029</v>
      </c>
      <c r="G970" s="2">
        <v>5266</v>
      </c>
      <c r="H970" s="2">
        <v>4352</v>
      </c>
      <c r="I970" s="2">
        <v>6</v>
      </c>
      <c r="J970" s="2" t="s">
        <v>380</v>
      </c>
      <c r="K970" s="2" t="s">
        <v>381</v>
      </c>
      <c r="L970" s="2" t="s">
        <v>3356</v>
      </c>
      <c r="M970" s="7" t="s">
        <v>3357</v>
      </c>
      <c r="N970" s="7" t="s">
        <v>3358</v>
      </c>
      <c r="O970" s="2"/>
      <c r="P970" s="2"/>
      <c r="Q970" s="2" t="str">
        <f>IF(SUMPRODUCT(--ISNUMBER(SEARCH('National Domains'!$A$2:$A$48,L970)))&gt;0,"Yes","No")</f>
        <v>No</v>
      </c>
      <c r="R970" s="2" t="str">
        <f>IF(COUNTIFS(Calibration!$A:$A,A970,Calibration!$B:$B,B970)&gt;0,"Yes","No")</f>
        <v>No</v>
      </c>
      <c r="S970" s="6"/>
    </row>
    <row r="971" spans="1:19" ht="34.5" customHeight="1" x14ac:dyDescent="0.2">
      <c r="A971" s="2">
        <v>217</v>
      </c>
      <c r="B971" s="2">
        <v>30</v>
      </c>
      <c r="C971" s="2" t="s">
        <v>379</v>
      </c>
      <c r="D971" s="2" t="s">
        <v>39</v>
      </c>
      <c r="E971" s="2">
        <v>20201028</v>
      </c>
      <c r="F971" s="2">
        <v>20201029</v>
      </c>
      <c r="G971" s="2">
        <v>5266</v>
      </c>
      <c r="H971" s="2">
        <v>4352</v>
      </c>
      <c r="I971" s="2">
        <v>6</v>
      </c>
      <c r="J971" s="2" t="s">
        <v>380</v>
      </c>
      <c r="K971" s="2" t="s">
        <v>381</v>
      </c>
      <c r="L971" s="2" t="s">
        <v>3359</v>
      </c>
      <c r="M971" s="7" t="s">
        <v>3360</v>
      </c>
      <c r="N971" s="7" t="s">
        <v>3361</v>
      </c>
      <c r="O971" s="2"/>
      <c r="P971" s="2"/>
      <c r="Q971" s="2" t="str">
        <f>IF(SUMPRODUCT(--ISNUMBER(SEARCH('National Domains'!$A$2:$A$48,L971)))&gt;0,"Yes","No")</f>
        <v>No</v>
      </c>
      <c r="R971" s="2" t="str">
        <f>IF(COUNTIFS(Calibration!$A:$A,A971,Calibration!$B:$B,B971)&gt;0,"Yes","No")</f>
        <v>No</v>
      </c>
      <c r="S971" s="6"/>
    </row>
    <row r="972" spans="1:19" ht="34.5" customHeight="1" x14ac:dyDescent="0.2">
      <c r="A972" s="2">
        <v>218</v>
      </c>
      <c r="B972" s="2">
        <v>1</v>
      </c>
      <c r="C972" s="2" t="s">
        <v>382</v>
      </c>
      <c r="D972" s="2" t="s">
        <v>39</v>
      </c>
      <c r="E972" s="2">
        <v>20201108</v>
      </c>
      <c r="F972" s="2">
        <v>20201112</v>
      </c>
      <c r="G972" s="2">
        <v>1766.7</v>
      </c>
      <c r="H972" s="2">
        <v>1460</v>
      </c>
      <c r="I972" s="2">
        <v>12</v>
      </c>
      <c r="J972" s="2" t="s">
        <v>26</v>
      </c>
      <c r="K972" s="2" t="s">
        <v>27</v>
      </c>
      <c r="L972" s="2" t="s">
        <v>3362</v>
      </c>
      <c r="M972" s="7" t="s">
        <v>3363</v>
      </c>
      <c r="N972" s="7" t="s">
        <v>3364</v>
      </c>
      <c r="O972" s="2"/>
      <c r="P972" s="2"/>
      <c r="Q972" s="2" t="str">
        <f>IF(SUMPRODUCT(--ISNUMBER(SEARCH('National Domains'!$A$2:$A$48,L972)))&gt;0,"Yes","No")</f>
        <v>No</v>
      </c>
      <c r="R972" s="2" t="str">
        <f>IF(COUNTIFS(Calibration!$A:$A,A972,Calibration!$B:$B,B972)&gt;0,"Yes","No")</f>
        <v>No</v>
      </c>
      <c r="S972" s="6"/>
    </row>
    <row r="973" spans="1:19" ht="34.5" customHeight="1" x14ac:dyDescent="0.2">
      <c r="A973" s="2">
        <v>218</v>
      </c>
      <c r="B973" s="2">
        <v>2</v>
      </c>
      <c r="C973" s="2" t="s">
        <v>382</v>
      </c>
      <c r="D973" s="2" t="s">
        <v>39</v>
      </c>
      <c r="E973" s="2">
        <v>20201108</v>
      </c>
      <c r="F973" s="2">
        <v>20201112</v>
      </c>
      <c r="G973" s="2">
        <v>1766.7</v>
      </c>
      <c r="H973" s="2">
        <v>1460</v>
      </c>
      <c r="I973" s="2">
        <v>12</v>
      </c>
      <c r="J973" s="2" t="s">
        <v>26</v>
      </c>
      <c r="K973" s="2" t="s">
        <v>27</v>
      </c>
      <c r="L973" s="2" t="s">
        <v>3365</v>
      </c>
      <c r="M973" s="7" t="s">
        <v>3366</v>
      </c>
      <c r="N973" s="7" t="s">
        <v>3367</v>
      </c>
      <c r="O973" s="2"/>
      <c r="P973" s="2"/>
      <c r="Q973" s="2" t="str">
        <f>IF(SUMPRODUCT(--ISNUMBER(SEARCH('National Domains'!$A$2:$A$48,L973)))&gt;0,"Yes","No")</f>
        <v>No</v>
      </c>
      <c r="R973" s="2" t="str">
        <f>IF(COUNTIFS(Calibration!$A:$A,A973,Calibration!$B:$B,B973)&gt;0,"Yes","No")</f>
        <v>No</v>
      </c>
      <c r="S973" s="6"/>
    </row>
    <row r="974" spans="1:19" ht="34.5" customHeight="1" x14ac:dyDescent="0.2">
      <c r="A974" s="2">
        <v>218</v>
      </c>
      <c r="B974" s="2">
        <v>3</v>
      </c>
      <c r="C974" s="2" t="s">
        <v>382</v>
      </c>
      <c r="D974" s="2" t="s">
        <v>39</v>
      </c>
      <c r="E974" s="2">
        <v>20201108</v>
      </c>
      <c r="F974" s="2">
        <v>20201112</v>
      </c>
      <c r="G974" s="2">
        <v>1766.7</v>
      </c>
      <c r="H974" s="2">
        <v>1460</v>
      </c>
      <c r="I974" s="2">
        <v>12</v>
      </c>
      <c r="J974" s="2" t="s">
        <v>26</v>
      </c>
      <c r="K974" s="2" t="s">
        <v>27</v>
      </c>
      <c r="L974" s="2" t="s">
        <v>3368</v>
      </c>
      <c r="M974" s="7" t="s">
        <v>3369</v>
      </c>
      <c r="N974" s="7" t="s">
        <v>3370</v>
      </c>
      <c r="O974" s="2"/>
      <c r="P974" s="2"/>
      <c r="Q974" s="2" t="str">
        <f>IF(SUMPRODUCT(--ISNUMBER(SEARCH('National Domains'!$A$2:$A$48,L974)))&gt;0,"Yes","No")</f>
        <v>No</v>
      </c>
      <c r="R974" s="2" t="str">
        <f>IF(COUNTIFS(Calibration!$A:$A,A974,Calibration!$B:$B,B974)&gt;0,"Yes","No")</f>
        <v>No</v>
      </c>
      <c r="S974" s="6"/>
    </row>
    <row r="975" spans="1:19" ht="34.5" customHeight="1" x14ac:dyDescent="0.2">
      <c r="A975" s="2">
        <v>218</v>
      </c>
      <c r="B975" s="2">
        <v>4</v>
      </c>
      <c r="C975" s="2" t="s">
        <v>382</v>
      </c>
      <c r="D975" s="2" t="s">
        <v>39</v>
      </c>
      <c r="E975" s="2">
        <v>20201108</v>
      </c>
      <c r="F975" s="2">
        <v>20201112</v>
      </c>
      <c r="G975" s="2">
        <v>1766.7</v>
      </c>
      <c r="H975" s="2">
        <v>1460</v>
      </c>
      <c r="I975" s="2">
        <v>12</v>
      </c>
      <c r="J975" s="2" t="s">
        <v>26</v>
      </c>
      <c r="K975" s="2" t="s">
        <v>27</v>
      </c>
      <c r="L975" s="2" t="s">
        <v>3371</v>
      </c>
      <c r="M975" s="7" t="s">
        <v>3372</v>
      </c>
      <c r="N975" s="7" t="s">
        <v>3373</v>
      </c>
      <c r="O975" s="2"/>
      <c r="P975" s="2"/>
      <c r="Q975" s="2" t="str">
        <f>IF(SUMPRODUCT(--ISNUMBER(SEARCH('National Domains'!$A$2:$A$48,L975)))&gt;0,"Yes","No")</f>
        <v>No</v>
      </c>
      <c r="R975" s="2" t="str">
        <f>IF(COUNTIFS(Calibration!$A:$A,A975,Calibration!$B:$B,B975)&gt;0,"Yes","No")</f>
        <v>No</v>
      </c>
      <c r="S975" s="6"/>
    </row>
    <row r="976" spans="1:19" ht="34.5" customHeight="1" x14ac:dyDescent="0.2">
      <c r="A976" s="2">
        <v>218</v>
      </c>
      <c r="B976" s="2">
        <v>5</v>
      </c>
      <c r="C976" s="2" t="s">
        <v>382</v>
      </c>
      <c r="D976" s="2" t="s">
        <v>39</v>
      </c>
      <c r="E976" s="2">
        <v>20201108</v>
      </c>
      <c r="F976" s="2">
        <v>20201112</v>
      </c>
      <c r="G976" s="2">
        <v>1766.7</v>
      </c>
      <c r="H976" s="2">
        <v>1460</v>
      </c>
      <c r="I976" s="2">
        <v>12</v>
      </c>
      <c r="J976" s="2" t="s">
        <v>26</v>
      </c>
      <c r="K976" s="2" t="s">
        <v>27</v>
      </c>
      <c r="L976" s="2" t="s">
        <v>3374</v>
      </c>
      <c r="M976" s="7" t="s">
        <v>3375</v>
      </c>
      <c r="N976" s="7" t="s">
        <v>3376</v>
      </c>
      <c r="O976" s="2"/>
      <c r="P976" s="2"/>
      <c r="Q976" s="2" t="str">
        <f>IF(SUMPRODUCT(--ISNUMBER(SEARCH('National Domains'!$A$2:$A$48,L976)))&gt;0,"Yes","No")</f>
        <v>No</v>
      </c>
      <c r="R976" s="2" t="str">
        <f>IF(COUNTIFS(Calibration!$A:$A,A976,Calibration!$B:$B,B976)&gt;0,"Yes","No")</f>
        <v>No</v>
      </c>
      <c r="S976" s="6"/>
    </row>
    <row r="977" spans="1:19" ht="34.5" customHeight="1" x14ac:dyDescent="0.2">
      <c r="A977" s="2">
        <v>218</v>
      </c>
      <c r="B977" s="2">
        <v>6</v>
      </c>
      <c r="C977" s="2" t="s">
        <v>382</v>
      </c>
      <c r="D977" s="2" t="s">
        <v>39</v>
      </c>
      <c r="E977" s="2">
        <v>20201108</v>
      </c>
      <c r="F977" s="2">
        <v>20201112</v>
      </c>
      <c r="G977" s="2">
        <v>1766.7</v>
      </c>
      <c r="H977" s="2">
        <v>1460</v>
      </c>
      <c r="I977" s="2">
        <v>12</v>
      </c>
      <c r="J977" s="2" t="s">
        <v>26</v>
      </c>
      <c r="K977" s="2" t="s">
        <v>27</v>
      </c>
      <c r="L977" s="2" t="s">
        <v>3377</v>
      </c>
      <c r="M977" s="7" t="s">
        <v>3378</v>
      </c>
      <c r="N977" s="7" t="s">
        <v>3379</v>
      </c>
      <c r="O977" s="2"/>
      <c r="P977" s="2"/>
      <c r="Q977" s="2" t="str">
        <f>IF(SUMPRODUCT(--ISNUMBER(SEARCH('National Domains'!$A$2:$A$48,L977)))&gt;0,"Yes","No")</f>
        <v>No</v>
      </c>
      <c r="R977" s="2" t="str">
        <f>IF(COUNTIFS(Calibration!$A:$A,A977,Calibration!$B:$B,B977)&gt;0,"Yes","No")</f>
        <v>No</v>
      </c>
      <c r="S977" s="6"/>
    </row>
    <row r="978" spans="1:19" ht="34.5" customHeight="1" x14ac:dyDescent="0.2">
      <c r="A978" s="2">
        <v>218</v>
      </c>
      <c r="B978" s="2">
        <v>7</v>
      </c>
      <c r="C978" s="2" t="s">
        <v>382</v>
      </c>
      <c r="D978" s="2" t="s">
        <v>39</v>
      </c>
      <c r="E978" s="2">
        <v>20201108</v>
      </c>
      <c r="F978" s="2">
        <v>20201112</v>
      </c>
      <c r="G978" s="2">
        <v>1766.7</v>
      </c>
      <c r="H978" s="2">
        <v>1460</v>
      </c>
      <c r="I978" s="2">
        <v>12</v>
      </c>
      <c r="J978" s="2" t="s">
        <v>26</v>
      </c>
      <c r="K978" s="2" t="s">
        <v>27</v>
      </c>
      <c r="L978" s="2" t="s">
        <v>3380</v>
      </c>
      <c r="M978" s="7" t="s">
        <v>3381</v>
      </c>
      <c r="N978" s="7" t="s">
        <v>3382</v>
      </c>
      <c r="O978" s="2"/>
      <c r="P978" s="2"/>
      <c r="Q978" s="2" t="str">
        <f>IF(SUMPRODUCT(--ISNUMBER(SEARCH('National Domains'!$A$2:$A$48,L978)))&gt;0,"Yes","No")</f>
        <v>No</v>
      </c>
      <c r="R978" s="2" t="str">
        <f>IF(COUNTIFS(Calibration!$A:$A,A978,Calibration!$B:$B,B978)&gt;0,"Yes","No")</f>
        <v>No</v>
      </c>
      <c r="S978" s="6"/>
    </row>
    <row r="979" spans="1:19" ht="34.5" customHeight="1" x14ac:dyDescent="0.2">
      <c r="A979" s="2">
        <v>218</v>
      </c>
      <c r="B979" s="2">
        <v>8</v>
      </c>
      <c r="C979" s="2" t="s">
        <v>382</v>
      </c>
      <c r="D979" s="2" t="s">
        <v>39</v>
      </c>
      <c r="E979" s="2">
        <v>20201108</v>
      </c>
      <c r="F979" s="2">
        <v>20201112</v>
      </c>
      <c r="G979" s="2">
        <v>1766.7</v>
      </c>
      <c r="H979" s="2">
        <v>1460</v>
      </c>
      <c r="I979" s="2">
        <v>12</v>
      </c>
      <c r="J979" s="2" t="s">
        <v>26</v>
      </c>
      <c r="K979" s="2" t="s">
        <v>27</v>
      </c>
      <c r="L979" s="2" t="s">
        <v>3383</v>
      </c>
      <c r="M979" s="7" t="s">
        <v>3384</v>
      </c>
      <c r="N979" s="7" t="s">
        <v>3385</v>
      </c>
      <c r="O979" s="2"/>
      <c r="P979" s="2"/>
      <c r="Q979" s="2" t="str">
        <f>IF(SUMPRODUCT(--ISNUMBER(SEARCH('National Domains'!$A$2:$A$48,L979)))&gt;0,"Yes","No")</f>
        <v>No</v>
      </c>
      <c r="R979" s="2" t="str">
        <f>IF(COUNTIFS(Calibration!$A:$A,A979,Calibration!$B:$B,B979)&gt;0,"Yes","No")</f>
        <v>No</v>
      </c>
      <c r="S979" s="6"/>
    </row>
    <row r="980" spans="1:19" ht="23.25" customHeight="1" x14ac:dyDescent="0.2">
      <c r="A980" s="2">
        <v>218</v>
      </c>
      <c r="B980" s="2">
        <v>9</v>
      </c>
      <c r="C980" s="2" t="s">
        <v>382</v>
      </c>
      <c r="D980" s="2" t="s">
        <v>39</v>
      </c>
      <c r="E980" s="2">
        <v>20201108</v>
      </c>
      <c r="F980" s="2">
        <v>20201112</v>
      </c>
      <c r="G980" s="2">
        <v>1766.7</v>
      </c>
      <c r="H980" s="2">
        <v>1460</v>
      </c>
      <c r="I980" s="2">
        <v>12</v>
      </c>
      <c r="J980" s="2" t="s">
        <v>26</v>
      </c>
      <c r="K980" s="2" t="s">
        <v>27</v>
      </c>
      <c r="L980" s="2" t="s">
        <v>3386</v>
      </c>
      <c r="M980" s="7" t="s">
        <v>3387</v>
      </c>
      <c r="N980" s="7" t="s">
        <v>3388</v>
      </c>
      <c r="O980" s="2"/>
      <c r="P980" s="2"/>
      <c r="Q980" s="2" t="str">
        <f>IF(SUMPRODUCT(--ISNUMBER(SEARCH('National Domains'!$A$2:$A$48,L980)))&gt;0,"Yes","No")</f>
        <v>No</v>
      </c>
      <c r="R980" s="2" t="str">
        <f>IF(COUNTIFS(Calibration!$A:$A,A980,Calibration!$B:$B,B980)&gt;0,"Yes","No")</f>
        <v>No</v>
      </c>
      <c r="S980" s="6"/>
    </row>
    <row r="981" spans="1:19" ht="34.5" customHeight="1" x14ac:dyDescent="0.2">
      <c r="A981" s="2">
        <v>218</v>
      </c>
      <c r="B981" s="2">
        <v>10</v>
      </c>
      <c r="C981" s="2" t="s">
        <v>382</v>
      </c>
      <c r="D981" s="2" t="s">
        <v>39</v>
      </c>
      <c r="E981" s="2">
        <v>20201108</v>
      </c>
      <c r="F981" s="2">
        <v>20201112</v>
      </c>
      <c r="G981" s="2">
        <v>1766.7</v>
      </c>
      <c r="H981" s="2">
        <v>1460</v>
      </c>
      <c r="I981" s="2">
        <v>12</v>
      </c>
      <c r="J981" s="2" t="s">
        <v>26</v>
      </c>
      <c r="K981" s="2" t="s">
        <v>27</v>
      </c>
      <c r="L981" s="2" t="s">
        <v>3389</v>
      </c>
      <c r="M981" s="7" t="s">
        <v>3390</v>
      </c>
      <c r="N981" s="7" t="s">
        <v>3391</v>
      </c>
      <c r="O981" s="2"/>
      <c r="P981" s="2"/>
      <c r="Q981" s="2" t="str">
        <f>IF(SUMPRODUCT(--ISNUMBER(SEARCH('National Domains'!$A$2:$A$48,L981)))&gt;0,"Yes","No")</f>
        <v>Yes</v>
      </c>
      <c r="R981" s="2" t="str">
        <f>IF(COUNTIFS(Calibration!$A:$A,A981,Calibration!$B:$B,B981)&gt;0,"Yes","No")</f>
        <v>No</v>
      </c>
      <c r="S981" s="6"/>
    </row>
    <row r="982" spans="1:19" ht="34.5" customHeight="1" x14ac:dyDescent="0.2">
      <c r="A982" s="2">
        <v>218</v>
      </c>
      <c r="B982" s="2">
        <v>11</v>
      </c>
      <c r="C982" s="2" t="s">
        <v>382</v>
      </c>
      <c r="D982" s="2" t="s">
        <v>39</v>
      </c>
      <c r="E982" s="2">
        <v>20201108</v>
      </c>
      <c r="F982" s="2">
        <v>20201112</v>
      </c>
      <c r="G982" s="2">
        <v>1766.7</v>
      </c>
      <c r="H982" s="2">
        <v>1460</v>
      </c>
      <c r="I982" s="2">
        <v>12</v>
      </c>
      <c r="J982" s="2" t="s">
        <v>26</v>
      </c>
      <c r="K982" s="2" t="s">
        <v>27</v>
      </c>
      <c r="L982" s="2" t="s">
        <v>3392</v>
      </c>
      <c r="M982" s="7" t="s">
        <v>3393</v>
      </c>
      <c r="N982" s="7" t="s">
        <v>3394</v>
      </c>
      <c r="O982" s="2"/>
      <c r="P982" s="2"/>
      <c r="Q982" s="2" t="str">
        <f>IF(SUMPRODUCT(--ISNUMBER(SEARCH('National Domains'!$A$2:$A$48,L982)))&gt;0,"Yes","No")</f>
        <v>Yes</v>
      </c>
      <c r="R982" s="2" t="str">
        <f>IF(COUNTIFS(Calibration!$A:$A,A982,Calibration!$B:$B,B982)&gt;0,"Yes","No")</f>
        <v>No</v>
      </c>
      <c r="S982" s="6"/>
    </row>
    <row r="983" spans="1:19" ht="34.5" customHeight="1" x14ac:dyDescent="0.2">
      <c r="A983" s="2">
        <v>218</v>
      </c>
      <c r="B983" s="2">
        <v>12</v>
      </c>
      <c r="C983" s="2" t="s">
        <v>382</v>
      </c>
      <c r="D983" s="2" t="s">
        <v>39</v>
      </c>
      <c r="E983" s="2">
        <v>20201108</v>
      </c>
      <c r="F983" s="2">
        <v>20201112</v>
      </c>
      <c r="G983" s="2">
        <v>1766.7</v>
      </c>
      <c r="H983" s="2">
        <v>1460</v>
      </c>
      <c r="I983" s="2">
        <v>12</v>
      </c>
      <c r="J983" s="2" t="s">
        <v>26</v>
      </c>
      <c r="K983" s="2" t="s">
        <v>27</v>
      </c>
      <c r="L983" s="2" t="s">
        <v>3395</v>
      </c>
      <c r="M983" s="7" t="s">
        <v>3396</v>
      </c>
      <c r="N983" s="7" t="s">
        <v>3397</v>
      </c>
      <c r="O983" s="2"/>
      <c r="P983" s="2"/>
      <c r="Q983" s="2" t="str">
        <f>IF(SUMPRODUCT(--ISNUMBER(SEARCH('National Domains'!$A$2:$A$48,L983)))&gt;0,"Yes","No")</f>
        <v>Yes</v>
      </c>
      <c r="R983" s="2" t="str">
        <f>IF(COUNTIFS(Calibration!$A:$A,A983,Calibration!$B:$B,B983)&gt;0,"Yes","No")</f>
        <v>No</v>
      </c>
      <c r="S983" s="6"/>
    </row>
    <row r="984" spans="1:19" ht="34.5" customHeight="1" x14ac:dyDescent="0.2">
      <c r="A984" s="2">
        <v>218</v>
      </c>
      <c r="B984" s="2">
        <v>13</v>
      </c>
      <c r="C984" s="2" t="s">
        <v>382</v>
      </c>
      <c r="D984" s="2" t="s">
        <v>39</v>
      </c>
      <c r="E984" s="2">
        <v>20201108</v>
      </c>
      <c r="F984" s="2">
        <v>20201112</v>
      </c>
      <c r="G984" s="2">
        <v>1766.7</v>
      </c>
      <c r="H984" s="2">
        <v>1460</v>
      </c>
      <c r="I984" s="2">
        <v>12</v>
      </c>
      <c r="J984" s="2" t="s">
        <v>26</v>
      </c>
      <c r="K984" s="2" t="s">
        <v>27</v>
      </c>
      <c r="L984" s="2" t="s">
        <v>3398</v>
      </c>
      <c r="M984" s="7" t="s">
        <v>3399</v>
      </c>
      <c r="N984" s="7" t="s">
        <v>3400</v>
      </c>
      <c r="O984" s="2"/>
      <c r="P984" s="2"/>
      <c r="Q984" s="2" t="str">
        <f>IF(SUMPRODUCT(--ISNUMBER(SEARCH('National Domains'!$A$2:$A$48,L984)))&gt;0,"Yes","No")</f>
        <v>Yes</v>
      </c>
      <c r="R984" s="2" t="str">
        <f>IF(COUNTIFS(Calibration!$A:$A,A984,Calibration!$B:$B,B984)&gt;0,"Yes","No")</f>
        <v>No</v>
      </c>
      <c r="S984" s="6"/>
    </row>
    <row r="985" spans="1:19" ht="34.5" customHeight="1" x14ac:dyDescent="0.2">
      <c r="A985" s="2">
        <v>218</v>
      </c>
      <c r="B985" s="2">
        <v>14</v>
      </c>
      <c r="C985" s="2" t="s">
        <v>382</v>
      </c>
      <c r="D985" s="2" t="s">
        <v>39</v>
      </c>
      <c r="E985" s="2">
        <v>20201108</v>
      </c>
      <c r="F985" s="2">
        <v>20201112</v>
      </c>
      <c r="G985" s="2">
        <v>1766.7</v>
      </c>
      <c r="H985" s="2">
        <v>1460</v>
      </c>
      <c r="I985" s="2">
        <v>12</v>
      </c>
      <c r="J985" s="2" t="s">
        <v>26</v>
      </c>
      <c r="K985" s="2" t="s">
        <v>27</v>
      </c>
      <c r="L985" s="2" t="s">
        <v>3401</v>
      </c>
      <c r="M985" s="7" t="s">
        <v>3402</v>
      </c>
      <c r="N985" s="7" t="s">
        <v>3403</v>
      </c>
      <c r="O985" s="2"/>
      <c r="P985" s="2"/>
      <c r="Q985" s="2" t="str">
        <f>IF(SUMPRODUCT(--ISNUMBER(SEARCH('National Domains'!$A$2:$A$48,L985)))&gt;0,"Yes","No")</f>
        <v>Yes</v>
      </c>
      <c r="R985" s="2" t="str">
        <f>IF(COUNTIFS(Calibration!$A:$A,A985,Calibration!$B:$B,B985)&gt;0,"Yes","No")</f>
        <v>No</v>
      </c>
      <c r="S985" s="6"/>
    </row>
    <row r="986" spans="1:19" ht="34.5" customHeight="1" x14ac:dyDescent="0.2">
      <c r="A986" s="2">
        <v>218</v>
      </c>
      <c r="B986" s="2">
        <v>15</v>
      </c>
      <c r="C986" s="2" t="s">
        <v>382</v>
      </c>
      <c r="D986" s="2" t="s">
        <v>39</v>
      </c>
      <c r="E986" s="2">
        <v>20201108</v>
      </c>
      <c r="F986" s="2">
        <v>20201112</v>
      </c>
      <c r="G986" s="2">
        <v>1766.7</v>
      </c>
      <c r="H986" s="2">
        <v>1460</v>
      </c>
      <c r="I986" s="2">
        <v>12</v>
      </c>
      <c r="J986" s="2" t="s">
        <v>26</v>
      </c>
      <c r="K986" s="2" t="s">
        <v>27</v>
      </c>
      <c r="L986" s="2" t="s">
        <v>3404</v>
      </c>
      <c r="M986" s="7" t="s">
        <v>3405</v>
      </c>
      <c r="N986" s="7" t="s">
        <v>3406</v>
      </c>
      <c r="O986" s="2"/>
      <c r="P986" s="2"/>
      <c r="Q986" s="2" t="str">
        <f>IF(SUMPRODUCT(--ISNUMBER(SEARCH('National Domains'!$A$2:$A$48,L986)))&gt;0,"Yes","No")</f>
        <v>No</v>
      </c>
      <c r="R986" s="2" t="str">
        <f>IF(COUNTIFS(Calibration!$A:$A,A986,Calibration!$B:$B,B986)&gt;0,"Yes","No")</f>
        <v>No</v>
      </c>
      <c r="S986" s="6"/>
    </row>
    <row r="987" spans="1:19" ht="34.5" customHeight="1" x14ac:dyDescent="0.2">
      <c r="A987" s="2">
        <v>218</v>
      </c>
      <c r="B987" s="2">
        <v>16</v>
      </c>
      <c r="C987" s="2" t="s">
        <v>382</v>
      </c>
      <c r="D987" s="2" t="s">
        <v>39</v>
      </c>
      <c r="E987" s="2">
        <v>20201108</v>
      </c>
      <c r="F987" s="2">
        <v>20201112</v>
      </c>
      <c r="G987" s="2">
        <v>1766.7</v>
      </c>
      <c r="H987" s="2">
        <v>1460</v>
      </c>
      <c r="I987" s="2">
        <v>12</v>
      </c>
      <c r="J987" s="2" t="s">
        <v>26</v>
      </c>
      <c r="K987" s="2" t="s">
        <v>27</v>
      </c>
      <c r="L987" s="2" t="s">
        <v>3407</v>
      </c>
      <c r="M987" s="7" t="s">
        <v>3408</v>
      </c>
      <c r="N987" s="7" t="s">
        <v>3409</v>
      </c>
      <c r="O987" s="2"/>
      <c r="P987" s="2"/>
      <c r="Q987" s="2" t="str">
        <f>IF(SUMPRODUCT(--ISNUMBER(SEARCH('National Domains'!$A$2:$A$48,L987)))&gt;0,"Yes","No")</f>
        <v>No</v>
      </c>
      <c r="R987" s="2" t="str">
        <f>IF(COUNTIFS(Calibration!$A:$A,A987,Calibration!$B:$B,B987)&gt;0,"Yes","No")</f>
        <v>No</v>
      </c>
      <c r="S987" s="6"/>
    </row>
    <row r="988" spans="1:19" ht="34.5" customHeight="1" x14ac:dyDescent="0.2">
      <c r="A988" s="2">
        <v>218</v>
      </c>
      <c r="B988" s="2">
        <v>17</v>
      </c>
      <c r="C988" s="2" t="s">
        <v>382</v>
      </c>
      <c r="D988" s="2" t="s">
        <v>39</v>
      </c>
      <c r="E988" s="2">
        <v>20201108</v>
      </c>
      <c r="F988" s="2">
        <v>20201112</v>
      </c>
      <c r="G988" s="2">
        <v>1766.7</v>
      </c>
      <c r="H988" s="2">
        <v>1460</v>
      </c>
      <c r="I988" s="2">
        <v>12</v>
      </c>
      <c r="J988" s="2" t="s">
        <v>26</v>
      </c>
      <c r="K988" s="2" t="s">
        <v>27</v>
      </c>
      <c r="L988" s="2" t="s">
        <v>3410</v>
      </c>
      <c r="M988" s="7" t="s">
        <v>3411</v>
      </c>
      <c r="N988" s="7" t="s">
        <v>3412</v>
      </c>
      <c r="O988" s="2"/>
      <c r="P988" s="2"/>
      <c r="Q988" s="2" t="str">
        <f>IF(SUMPRODUCT(--ISNUMBER(SEARCH('National Domains'!$A$2:$A$48,L988)))&gt;0,"Yes","No")</f>
        <v>Yes</v>
      </c>
      <c r="R988" s="2" t="str">
        <f>IF(COUNTIFS(Calibration!$A:$A,A988,Calibration!$B:$B,B988)&gt;0,"Yes","No")</f>
        <v>No</v>
      </c>
      <c r="S988" s="6"/>
    </row>
    <row r="989" spans="1:19" ht="34.5" customHeight="1" x14ac:dyDescent="0.2">
      <c r="A989" s="2">
        <v>218</v>
      </c>
      <c r="B989" s="2">
        <v>18</v>
      </c>
      <c r="C989" s="2" t="s">
        <v>382</v>
      </c>
      <c r="D989" s="2" t="s">
        <v>39</v>
      </c>
      <c r="E989" s="2">
        <v>20201108</v>
      </c>
      <c r="F989" s="2">
        <v>20201112</v>
      </c>
      <c r="G989" s="2">
        <v>1766.7</v>
      </c>
      <c r="H989" s="2">
        <v>1460</v>
      </c>
      <c r="I989" s="2">
        <v>12</v>
      </c>
      <c r="J989" s="2" t="s">
        <v>26</v>
      </c>
      <c r="K989" s="2" t="s">
        <v>27</v>
      </c>
      <c r="L989" s="2" t="s">
        <v>3413</v>
      </c>
      <c r="M989" s="7" t="s">
        <v>3414</v>
      </c>
      <c r="N989" s="7" t="s">
        <v>3415</v>
      </c>
      <c r="O989" s="2"/>
      <c r="P989" s="2"/>
      <c r="Q989" s="2" t="str">
        <f>IF(SUMPRODUCT(--ISNUMBER(SEARCH('National Domains'!$A$2:$A$48,L989)))&gt;0,"Yes","No")</f>
        <v>Yes</v>
      </c>
      <c r="R989" s="2" t="str">
        <f>IF(COUNTIFS(Calibration!$A:$A,A989,Calibration!$B:$B,B989)&gt;0,"Yes","No")</f>
        <v>No</v>
      </c>
      <c r="S989" s="6"/>
    </row>
    <row r="990" spans="1:19" ht="34.5" customHeight="1" x14ac:dyDescent="0.2">
      <c r="A990" s="2">
        <v>218</v>
      </c>
      <c r="B990" s="2">
        <v>19</v>
      </c>
      <c r="C990" s="2" t="s">
        <v>382</v>
      </c>
      <c r="D990" s="2" t="s">
        <v>39</v>
      </c>
      <c r="E990" s="2">
        <v>20201108</v>
      </c>
      <c r="F990" s="2">
        <v>20201112</v>
      </c>
      <c r="G990" s="2">
        <v>1766.7</v>
      </c>
      <c r="H990" s="2">
        <v>1460</v>
      </c>
      <c r="I990" s="2">
        <v>12</v>
      </c>
      <c r="J990" s="2" t="s">
        <v>26</v>
      </c>
      <c r="K990" s="2" t="s">
        <v>27</v>
      </c>
      <c r="L990" s="2" t="s">
        <v>3416</v>
      </c>
      <c r="M990" s="7" t="s">
        <v>3417</v>
      </c>
      <c r="N990" s="7" t="s">
        <v>3418</v>
      </c>
      <c r="O990" s="2"/>
      <c r="P990" s="2"/>
      <c r="Q990" s="2" t="str">
        <f>IF(SUMPRODUCT(--ISNUMBER(SEARCH('National Domains'!$A$2:$A$48,L990)))&gt;0,"Yes","No")</f>
        <v>Yes</v>
      </c>
      <c r="R990" s="2" t="str">
        <f>IF(COUNTIFS(Calibration!$A:$A,A990,Calibration!$B:$B,B990)&gt;0,"Yes","No")</f>
        <v>No</v>
      </c>
      <c r="S990" s="6"/>
    </row>
    <row r="991" spans="1:19" ht="34.5" customHeight="1" x14ac:dyDescent="0.2">
      <c r="A991" s="2">
        <v>218</v>
      </c>
      <c r="B991" s="2">
        <v>20</v>
      </c>
      <c r="C991" s="2" t="s">
        <v>382</v>
      </c>
      <c r="D991" s="2" t="s">
        <v>39</v>
      </c>
      <c r="E991" s="2">
        <v>20201108</v>
      </c>
      <c r="F991" s="2">
        <v>20201112</v>
      </c>
      <c r="G991" s="2">
        <v>1766.7</v>
      </c>
      <c r="H991" s="2">
        <v>1460</v>
      </c>
      <c r="I991" s="2">
        <v>12</v>
      </c>
      <c r="J991" s="2" t="s">
        <v>26</v>
      </c>
      <c r="K991" s="2" t="s">
        <v>27</v>
      </c>
      <c r="L991" s="2" t="s">
        <v>3419</v>
      </c>
      <c r="M991" s="7" t="s">
        <v>3420</v>
      </c>
      <c r="N991" s="7" t="s">
        <v>3421</v>
      </c>
      <c r="O991" s="2"/>
      <c r="P991" s="2"/>
      <c r="Q991" s="2" t="str">
        <f>IF(SUMPRODUCT(--ISNUMBER(SEARCH('National Domains'!$A$2:$A$48,L991)))&gt;0,"Yes","No")</f>
        <v>Yes</v>
      </c>
      <c r="R991" s="2" t="str">
        <f>IF(COUNTIFS(Calibration!$A:$A,A991,Calibration!$B:$B,B991)&gt;0,"Yes","No")</f>
        <v>No</v>
      </c>
      <c r="S991" s="6"/>
    </row>
    <row r="992" spans="1:19" ht="34.5" customHeight="1" x14ac:dyDescent="0.2">
      <c r="A992" s="2">
        <v>219</v>
      </c>
      <c r="B992" s="2">
        <v>1</v>
      </c>
      <c r="C992" s="2" t="s">
        <v>383</v>
      </c>
      <c r="D992" s="2" t="s">
        <v>21</v>
      </c>
      <c r="E992" s="2">
        <v>20200801</v>
      </c>
      <c r="F992" s="2">
        <v>20201230</v>
      </c>
      <c r="G992" s="2">
        <v>19904.5</v>
      </c>
      <c r="H992" s="2">
        <v>16450</v>
      </c>
      <c r="I992" s="2">
        <v>46</v>
      </c>
      <c r="J992" s="2" t="s">
        <v>22</v>
      </c>
      <c r="K992" s="2" t="s">
        <v>23</v>
      </c>
      <c r="L992" s="2" t="s">
        <v>3422</v>
      </c>
      <c r="M992" s="7" t="s">
        <v>3423</v>
      </c>
      <c r="N992" s="7" t="s">
        <v>3424</v>
      </c>
      <c r="O992" s="2"/>
      <c r="P992" s="2"/>
      <c r="Q992" s="2" t="str">
        <f>IF(SUMPRODUCT(--ISNUMBER(SEARCH('National Domains'!$A$2:$A$48,L992)))&gt;0,"Yes","No")</f>
        <v>No</v>
      </c>
      <c r="R992" s="2" t="str">
        <f>IF(COUNTIFS(Calibration!$A:$A,A992,Calibration!$B:$B,B992)&gt;0,"Yes","No")</f>
        <v>No</v>
      </c>
      <c r="S992" s="6"/>
    </row>
    <row r="993" spans="1:19" ht="34.5" customHeight="1" x14ac:dyDescent="0.2">
      <c r="A993" s="2">
        <v>219</v>
      </c>
      <c r="B993" s="2">
        <v>2</v>
      </c>
      <c r="C993" s="2" t="s">
        <v>383</v>
      </c>
      <c r="D993" s="2" t="s">
        <v>21</v>
      </c>
      <c r="E993" s="2">
        <v>20200801</v>
      </c>
      <c r="F993" s="2">
        <v>20201230</v>
      </c>
      <c r="G993" s="2">
        <v>19904.5</v>
      </c>
      <c r="H993" s="2">
        <v>16450</v>
      </c>
      <c r="I993" s="2">
        <v>46</v>
      </c>
      <c r="J993" s="2" t="s">
        <v>22</v>
      </c>
      <c r="K993" s="2" t="s">
        <v>23</v>
      </c>
      <c r="L993" s="2" t="s">
        <v>3425</v>
      </c>
      <c r="M993" s="7" t="s">
        <v>3426</v>
      </c>
      <c r="N993" s="7" t="s">
        <v>3427</v>
      </c>
      <c r="O993" s="2"/>
      <c r="P993" s="2"/>
      <c r="Q993" s="2" t="str">
        <f>IF(SUMPRODUCT(--ISNUMBER(SEARCH('National Domains'!$A$2:$A$48,L993)))&gt;0,"Yes","No")</f>
        <v>No</v>
      </c>
      <c r="R993" s="2" t="str">
        <f>IF(COUNTIFS(Calibration!$A:$A,A993,Calibration!$B:$B,B993)&gt;0,"Yes","No")</f>
        <v>No</v>
      </c>
      <c r="S993" s="6"/>
    </row>
    <row r="994" spans="1:19" ht="34.5" customHeight="1" x14ac:dyDescent="0.2">
      <c r="A994" s="2">
        <v>219</v>
      </c>
      <c r="B994" s="2">
        <v>3</v>
      </c>
      <c r="C994" s="2" t="s">
        <v>383</v>
      </c>
      <c r="D994" s="2" t="s">
        <v>21</v>
      </c>
      <c r="E994" s="2">
        <v>20200801</v>
      </c>
      <c r="F994" s="2">
        <v>20201230</v>
      </c>
      <c r="G994" s="2">
        <v>19904.5</v>
      </c>
      <c r="H994" s="2">
        <v>16450</v>
      </c>
      <c r="I994" s="2">
        <v>46</v>
      </c>
      <c r="J994" s="2" t="s">
        <v>22</v>
      </c>
      <c r="K994" s="2" t="s">
        <v>23</v>
      </c>
      <c r="L994" s="2" t="s">
        <v>3428</v>
      </c>
      <c r="M994" s="7" t="s">
        <v>3429</v>
      </c>
      <c r="N994" s="7" t="s">
        <v>3430</v>
      </c>
      <c r="O994" s="2"/>
      <c r="P994" s="2"/>
      <c r="Q994" s="2" t="str">
        <f>IF(SUMPRODUCT(--ISNUMBER(SEARCH('National Domains'!$A$2:$A$48,L994)))&gt;0,"Yes","No")</f>
        <v>No</v>
      </c>
      <c r="R994" s="2" t="str">
        <f>IF(COUNTIFS(Calibration!$A:$A,A994,Calibration!$B:$B,B994)&gt;0,"Yes","No")</f>
        <v>No</v>
      </c>
      <c r="S994" s="6"/>
    </row>
    <row r="995" spans="1:19" ht="34.5" customHeight="1" x14ac:dyDescent="0.2">
      <c r="A995" s="2">
        <v>219</v>
      </c>
      <c r="B995" s="2">
        <v>4</v>
      </c>
      <c r="C995" s="2" t="s">
        <v>383</v>
      </c>
      <c r="D995" s="2" t="s">
        <v>21</v>
      </c>
      <c r="E995" s="2">
        <v>20200801</v>
      </c>
      <c r="F995" s="2">
        <v>20201230</v>
      </c>
      <c r="G995" s="2">
        <v>19904.5</v>
      </c>
      <c r="H995" s="2">
        <v>16450</v>
      </c>
      <c r="I995" s="2">
        <v>46</v>
      </c>
      <c r="J995" s="2" t="s">
        <v>22</v>
      </c>
      <c r="K995" s="2" t="s">
        <v>23</v>
      </c>
      <c r="L995" s="2" t="s">
        <v>3431</v>
      </c>
      <c r="M995" s="7" t="s">
        <v>3432</v>
      </c>
      <c r="N995" s="7" t="s">
        <v>3433</v>
      </c>
      <c r="O995" s="2"/>
      <c r="P995" s="2"/>
      <c r="Q995" s="2" t="str">
        <f>IF(SUMPRODUCT(--ISNUMBER(SEARCH('National Domains'!$A$2:$A$48,L995)))&gt;0,"Yes","No")</f>
        <v>No</v>
      </c>
      <c r="R995" s="2" t="str">
        <f>IF(COUNTIFS(Calibration!$A:$A,A995,Calibration!$B:$B,B995)&gt;0,"Yes","No")</f>
        <v>No</v>
      </c>
      <c r="S995" s="6"/>
    </row>
    <row r="996" spans="1:19" ht="34.5" customHeight="1" x14ac:dyDescent="0.2">
      <c r="A996" s="2">
        <v>219</v>
      </c>
      <c r="B996" s="2">
        <v>5</v>
      </c>
      <c r="C996" s="2" t="s">
        <v>383</v>
      </c>
      <c r="D996" s="2" t="s">
        <v>21</v>
      </c>
      <c r="E996" s="2">
        <v>20200801</v>
      </c>
      <c r="F996" s="2">
        <v>20201230</v>
      </c>
      <c r="G996" s="2">
        <v>19904.5</v>
      </c>
      <c r="H996" s="2">
        <v>16450</v>
      </c>
      <c r="I996" s="2">
        <v>46</v>
      </c>
      <c r="J996" s="2" t="s">
        <v>22</v>
      </c>
      <c r="K996" s="2" t="s">
        <v>23</v>
      </c>
      <c r="L996" s="2" t="s">
        <v>3434</v>
      </c>
      <c r="M996" s="7" t="s">
        <v>3435</v>
      </c>
      <c r="N996" s="7" t="s">
        <v>3436</v>
      </c>
      <c r="O996" s="2"/>
      <c r="P996" s="2"/>
      <c r="Q996" s="2" t="str">
        <f>IF(SUMPRODUCT(--ISNUMBER(SEARCH('National Domains'!$A$2:$A$48,L996)))&gt;0,"Yes","No")</f>
        <v>No</v>
      </c>
      <c r="R996" s="2" t="str">
        <f>IF(COUNTIFS(Calibration!$A:$A,A996,Calibration!$B:$B,B996)&gt;0,"Yes","No")</f>
        <v>No</v>
      </c>
      <c r="S996" s="6"/>
    </row>
    <row r="997" spans="1:19" ht="23.25" customHeight="1" x14ac:dyDescent="0.2">
      <c r="A997" s="2">
        <v>219</v>
      </c>
      <c r="B997" s="2">
        <v>6</v>
      </c>
      <c r="C997" s="2" t="s">
        <v>383</v>
      </c>
      <c r="D997" s="2" t="s">
        <v>21</v>
      </c>
      <c r="E997" s="2">
        <v>20200801</v>
      </c>
      <c r="F997" s="2">
        <v>20201230</v>
      </c>
      <c r="G997" s="2">
        <v>19904.5</v>
      </c>
      <c r="H997" s="2">
        <v>16450</v>
      </c>
      <c r="I997" s="2">
        <v>46</v>
      </c>
      <c r="J997" s="2" t="s">
        <v>22</v>
      </c>
      <c r="K997" s="2" t="s">
        <v>23</v>
      </c>
      <c r="L997" s="2" t="s">
        <v>3437</v>
      </c>
      <c r="M997" s="7" t="s">
        <v>3438</v>
      </c>
      <c r="N997" s="7" t="s">
        <v>3439</v>
      </c>
      <c r="O997" s="2"/>
      <c r="P997" s="2"/>
      <c r="Q997" s="2" t="str">
        <f>IF(SUMPRODUCT(--ISNUMBER(SEARCH('National Domains'!$A$2:$A$48,L997)))&gt;0,"Yes","No")</f>
        <v>No</v>
      </c>
      <c r="R997" s="2" t="str">
        <f>IF(COUNTIFS(Calibration!$A:$A,A997,Calibration!$B:$B,B997)&gt;0,"Yes","No")</f>
        <v>No</v>
      </c>
      <c r="S997" s="6"/>
    </row>
    <row r="998" spans="1:19" ht="34.5" customHeight="1" x14ac:dyDescent="0.2">
      <c r="A998" s="2">
        <v>219</v>
      </c>
      <c r="B998" s="2">
        <v>7</v>
      </c>
      <c r="C998" s="2" t="s">
        <v>383</v>
      </c>
      <c r="D998" s="2" t="s">
        <v>21</v>
      </c>
      <c r="E998" s="2">
        <v>20200801</v>
      </c>
      <c r="F998" s="2">
        <v>20201230</v>
      </c>
      <c r="G998" s="2">
        <v>19904.5</v>
      </c>
      <c r="H998" s="2">
        <v>16450</v>
      </c>
      <c r="I998" s="2">
        <v>46</v>
      </c>
      <c r="J998" s="2" t="s">
        <v>22</v>
      </c>
      <c r="K998" s="2" t="s">
        <v>23</v>
      </c>
      <c r="L998" s="2" t="s">
        <v>3440</v>
      </c>
      <c r="M998" s="7" t="s">
        <v>3441</v>
      </c>
      <c r="N998" s="7" t="s">
        <v>3442</v>
      </c>
      <c r="O998" s="2"/>
      <c r="P998" s="2"/>
      <c r="Q998" s="2" t="str">
        <f>IF(SUMPRODUCT(--ISNUMBER(SEARCH('National Domains'!$A$2:$A$48,L998)))&gt;0,"Yes","No")</f>
        <v>Yes</v>
      </c>
      <c r="R998" s="2" t="str">
        <f>IF(COUNTIFS(Calibration!$A:$A,A998,Calibration!$B:$B,B998)&gt;0,"Yes","No")</f>
        <v>No</v>
      </c>
      <c r="S998" s="6"/>
    </row>
    <row r="999" spans="1:19" ht="23.25" customHeight="1" x14ac:dyDescent="0.2">
      <c r="A999" s="2">
        <v>219</v>
      </c>
      <c r="B999" s="2">
        <v>8</v>
      </c>
      <c r="C999" s="2" t="s">
        <v>383</v>
      </c>
      <c r="D999" s="2" t="s">
        <v>21</v>
      </c>
      <c r="E999" s="2">
        <v>20200801</v>
      </c>
      <c r="F999" s="2">
        <v>20201230</v>
      </c>
      <c r="G999" s="2">
        <v>19904.5</v>
      </c>
      <c r="H999" s="2">
        <v>16450</v>
      </c>
      <c r="I999" s="2">
        <v>46</v>
      </c>
      <c r="J999" s="2" t="s">
        <v>22</v>
      </c>
      <c r="K999" s="2" t="s">
        <v>23</v>
      </c>
      <c r="L999" s="2" t="s">
        <v>3443</v>
      </c>
      <c r="M999" s="7" t="s">
        <v>3444</v>
      </c>
      <c r="N999" s="7" t="s">
        <v>3445</v>
      </c>
      <c r="O999" s="2"/>
      <c r="P999" s="2"/>
      <c r="Q999" s="2" t="str">
        <f>IF(SUMPRODUCT(--ISNUMBER(SEARCH('National Domains'!$A$2:$A$48,L999)))&gt;0,"Yes","No")</f>
        <v>Yes</v>
      </c>
      <c r="R999" s="2" t="str">
        <f>IF(COUNTIFS(Calibration!$A:$A,A999,Calibration!$B:$B,B999)&gt;0,"Yes","No")</f>
        <v>No</v>
      </c>
      <c r="S999" s="6"/>
    </row>
    <row r="1000" spans="1:19" ht="34.5" customHeight="1" x14ac:dyDescent="0.2">
      <c r="A1000" s="2">
        <v>219</v>
      </c>
      <c r="B1000" s="2">
        <v>9</v>
      </c>
      <c r="C1000" s="2" t="s">
        <v>383</v>
      </c>
      <c r="D1000" s="2" t="s">
        <v>21</v>
      </c>
      <c r="E1000" s="2">
        <v>20200801</v>
      </c>
      <c r="F1000" s="2">
        <v>20201230</v>
      </c>
      <c r="G1000" s="2">
        <v>19904.5</v>
      </c>
      <c r="H1000" s="2">
        <v>16450</v>
      </c>
      <c r="I1000" s="2">
        <v>46</v>
      </c>
      <c r="J1000" s="2" t="s">
        <v>22</v>
      </c>
      <c r="K1000" s="2" t="s">
        <v>23</v>
      </c>
      <c r="L1000" s="2" t="s">
        <v>3446</v>
      </c>
      <c r="M1000" s="7" t="s">
        <v>3447</v>
      </c>
      <c r="N1000" s="7" t="s">
        <v>3448</v>
      </c>
      <c r="O1000" s="2"/>
      <c r="P1000" s="2"/>
      <c r="Q1000" s="2" t="str">
        <f>IF(SUMPRODUCT(--ISNUMBER(SEARCH('National Domains'!$A$2:$A$48,L1000)))&gt;0,"Yes","No")</f>
        <v>Yes</v>
      </c>
      <c r="R1000" s="2" t="str">
        <f>IF(COUNTIFS(Calibration!$A:$A,A1000,Calibration!$B:$B,B1000)&gt;0,"Yes","No")</f>
        <v>No</v>
      </c>
      <c r="S1000" s="6"/>
    </row>
    <row r="1001" spans="1:19" ht="34.5" customHeight="1" x14ac:dyDescent="0.2">
      <c r="A1001" s="2">
        <v>219</v>
      </c>
      <c r="B1001" s="2">
        <v>10</v>
      </c>
      <c r="C1001" s="2" t="s">
        <v>383</v>
      </c>
      <c r="D1001" s="2" t="s">
        <v>21</v>
      </c>
      <c r="E1001" s="2">
        <v>20200801</v>
      </c>
      <c r="F1001" s="2">
        <v>20201230</v>
      </c>
      <c r="G1001" s="2">
        <v>19904.5</v>
      </c>
      <c r="H1001" s="2">
        <v>16450</v>
      </c>
      <c r="I1001" s="2">
        <v>46</v>
      </c>
      <c r="J1001" s="2" t="s">
        <v>22</v>
      </c>
      <c r="K1001" s="2" t="s">
        <v>23</v>
      </c>
      <c r="L1001" s="2" t="s">
        <v>3449</v>
      </c>
      <c r="M1001" s="7" t="s">
        <v>3450</v>
      </c>
      <c r="N1001" s="7" t="s">
        <v>3451</v>
      </c>
      <c r="O1001" s="2"/>
      <c r="P1001" s="2"/>
      <c r="Q1001" s="2" t="str">
        <f>IF(SUMPRODUCT(--ISNUMBER(SEARCH('National Domains'!$A$2:$A$48,L1001)))&gt;0,"Yes","No")</f>
        <v>Yes</v>
      </c>
      <c r="R1001" s="2" t="str">
        <f>IF(COUNTIFS(Calibration!$A:$A,A1001,Calibration!$B:$B,B1001)&gt;0,"Yes","No")</f>
        <v>No</v>
      </c>
      <c r="S1001" s="6"/>
    </row>
    <row r="1002" spans="1:19" ht="34.5" customHeight="1" x14ac:dyDescent="0.2">
      <c r="A1002" s="2">
        <v>219</v>
      </c>
      <c r="B1002" s="2">
        <v>11</v>
      </c>
      <c r="C1002" s="2" t="s">
        <v>383</v>
      </c>
      <c r="D1002" s="2" t="s">
        <v>21</v>
      </c>
      <c r="E1002" s="2">
        <v>20200801</v>
      </c>
      <c r="F1002" s="2">
        <v>20201230</v>
      </c>
      <c r="G1002" s="2">
        <v>19904.5</v>
      </c>
      <c r="H1002" s="2">
        <v>16450</v>
      </c>
      <c r="I1002" s="2">
        <v>46</v>
      </c>
      <c r="J1002" s="2" t="s">
        <v>22</v>
      </c>
      <c r="K1002" s="2" t="s">
        <v>23</v>
      </c>
      <c r="L1002" s="2" t="s">
        <v>3452</v>
      </c>
      <c r="M1002" s="7" t="s">
        <v>3453</v>
      </c>
      <c r="N1002" s="7" t="s">
        <v>3454</v>
      </c>
      <c r="O1002" s="2"/>
      <c r="P1002" s="2"/>
      <c r="Q1002" s="2" t="str">
        <f>IF(SUMPRODUCT(--ISNUMBER(SEARCH('National Domains'!$A$2:$A$48,L1002)))&gt;0,"Yes","No")</f>
        <v>Yes</v>
      </c>
      <c r="R1002" s="2" t="str">
        <f>IF(COUNTIFS(Calibration!$A:$A,A1002,Calibration!$B:$B,B1002)&gt;0,"Yes","No")</f>
        <v>No</v>
      </c>
      <c r="S1002" s="6"/>
    </row>
    <row r="1003" spans="1:19" ht="34.5" customHeight="1" x14ac:dyDescent="0.2">
      <c r="A1003" s="2">
        <v>219</v>
      </c>
      <c r="B1003" s="2">
        <v>12</v>
      </c>
      <c r="C1003" s="2" t="s">
        <v>383</v>
      </c>
      <c r="D1003" s="2" t="s">
        <v>21</v>
      </c>
      <c r="E1003" s="2">
        <v>20200801</v>
      </c>
      <c r="F1003" s="2">
        <v>20201230</v>
      </c>
      <c r="G1003" s="2">
        <v>19904.5</v>
      </c>
      <c r="H1003" s="2">
        <v>16450</v>
      </c>
      <c r="I1003" s="2">
        <v>46</v>
      </c>
      <c r="J1003" s="2" t="s">
        <v>22</v>
      </c>
      <c r="K1003" s="2" t="s">
        <v>23</v>
      </c>
      <c r="L1003" s="2" t="s">
        <v>3455</v>
      </c>
      <c r="M1003" s="7" t="s">
        <v>3456</v>
      </c>
      <c r="N1003" s="7" t="s">
        <v>3457</v>
      </c>
      <c r="O1003" s="2"/>
      <c r="P1003" s="2"/>
      <c r="Q1003" s="2" t="str">
        <f>IF(SUMPRODUCT(--ISNUMBER(SEARCH('National Domains'!$A$2:$A$48,L1003)))&gt;0,"Yes","No")</f>
        <v>No</v>
      </c>
      <c r="R1003" s="2" t="str">
        <f>IF(COUNTIFS(Calibration!$A:$A,A1003,Calibration!$B:$B,B1003)&gt;0,"Yes","No")</f>
        <v>No</v>
      </c>
      <c r="S1003" s="6"/>
    </row>
    <row r="1004" spans="1:19" ht="34.5" customHeight="1" x14ac:dyDescent="0.2">
      <c r="A1004" s="2">
        <v>219</v>
      </c>
      <c r="B1004" s="2">
        <v>13</v>
      </c>
      <c r="C1004" s="2" t="s">
        <v>383</v>
      </c>
      <c r="D1004" s="2" t="s">
        <v>21</v>
      </c>
      <c r="E1004" s="2">
        <v>20200801</v>
      </c>
      <c r="F1004" s="2">
        <v>20201230</v>
      </c>
      <c r="G1004" s="2">
        <v>19904.5</v>
      </c>
      <c r="H1004" s="2">
        <v>16450</v>
      </c>
      <c r="I1004" s="2">
        <v>46</v>
      </c>
      <c r="J1004" s="2" t="s">
        <v>22</v>
      </c>
      <c r="K1004" s="2" t="s">
        <v>23</v>
      </c>
      <c r="L1004" s="2" t="s">
        <v>3458</v>
      </c>
      <c r="M1004" s="7" t="s">
        <v>3459</v>
      </c>
      <c r="N1004" s="7" t="s">
        <v>3460</v>
      </c>
      <c r="O1004" s="2"/>
      <c r="P1004" s="2"/>
      <c r="Q1004" s="2" t="str">
        <f>IF(SUMPRODUCT(--ISNUMBER(SEARCH('National Domains'!$A$2:$A$48,L1004)))&gt;0,"Yes","No")</f>
        <v>No</v>
      </c>
      <c r="R1004" s="2" t="str">
        <f>IF(COUNTIFS(Calibration!$A:$A,A1004,Calibration!$B:$B,B1004)&gt;0,"Yes","No")</f>
        <v>No</v>
      </c>
      <c r="S1004" s="6"/>
    </row>
    <row r="1005" spans="1:19" ht="34.5" customHeight="1" x14ac:dyDescent="0.2">
      <c r="A1005" s="2">
        <v>219</v>
      </c>
      <c r="B1005" s="2">
        <v>14</v>
      </c>
      <c r="C1005" s="2" t="s">
        <v>383</v>
      </c>
      <c r="D1005" s="2" t="s">
        <v>21</v>
      </c>
      <c r="E1005" s="2">
        <v>20200801</v>
      </c>
      <c r="F1005" s="2">
        <v>20201230</v>
      </c>
      <c r="G1005" s="2">
        <v>19904.5</v>
      </c>
      <c r="H1005" s="2">
        <v>16450</v>
      </c>
      <c r="I1005" s="2">
        <v>46</v>
      </c>
      <c r="J1005" s="2" t="s">
        <v>22</v>
      </c>
      <c r="K1005" s="2" t="s">
        <v>23</v>
      </c>
      <c r="L1005" s="2" t="s">
        <v>3461</v>
      </c>
      <c r="M1005" s="7" t="s">
        <v>3462</v>
      </c>
      <c r="N1005" s="7" t="s">
        <v>3463</v>
      </c>
      <c r="O1005" s="2"/>
      <c r="P1005" s="2"/>
      <c r="Q1005" s="2" t="str">
        <f>IF(SUMPRODUCT(--ISNUMBER(SEARCH('National Domains'!$A$2:$A$48,L1005)))&gt;0,"Yes","No")</f>
        <v>Yes</v>
      </c>
      <c r="R1005" s="2" t="str">
        <f>IF(COUNTIFS(Calibration!$A:$A,A1005,Calibration!$B:$B,B1005)&gt;0,"Yes","No")</f>
        <v>No</v>
      </c>
      <c r="S1005" s="6"/>
    </row>
    <row r="1006" spans="1:19" ht="34.5" customHeight="1" x14ac:dyDescent="0.2">
      <c r="A1006" s="2">
        <v>219</v>
      </c>
      <c r="B1006" s="2">
        <v>15</v>
      </c>
      <c r="C1006" s="2" t="s">
        <v>383</v>
      </c>
      <c r="D1006" s="2" t="s">
        <v>21</v>
      </c>
      <c r="E1006" s="2">
        <v>20200801</v>
      </c>
      <c r="F1006" s="2">
        <v>20201230</v>
      </c>
      <c r="G1006" s="2">
        <v>19904.5</v>
      </c>
      <c r="H1006" s="2">
        <v>16450</v>
      </c>
      <c r="I1006" s="2">
        <v>46</v>
      </c>
      <c r="J1006" s="2" t="s">
        <v>22</v>
      </c>
      <c r="K1006" s="2" t="s">
        <v>23</v>
      </c>
      <c r="L1006" s="2" t="s">
        <v>3464</v>
      </c>
      <c r="M1006" s="7" t="s">
        <v>3465</v>
      </c>
      <c r="N1006" s="7" t="s">
        <v>3466</v>
      </c>
      <c r="O1006" s="2"/>
      <c r="P1006" s="2"/>
      <c r="Q1006" s="2" t="str">
        <f>IF(SUMPRODUCT(--ISNUMBER(SEARCH('National Domains'!$A$2:$A$48,L1006)))&gt;0,"Yes","No")</f>
        <v>Yes</v>
      </c>
      <c r="R1006" s="2" t="str">
        <f>IF(COUNTIFS(Calibration!$A:$A,A1006,Calibration!$B:$B,B1006)&gt;0,"Yes","No")</f>
        <v>No</v>
      </c>
      <c r="S1006" s="6"/>
    </row>
    <row r="1007" spans="1:19" ht="34.5" customHeight="1" x14ac:dyDescent="0.2">
      <c r="A1007" s="2">
        <v>220</v>
      </c>
      <c r="B1007" s="2">
        <v>1</v>
      </c>
      <c r="C1007" s="2" t="s">
        <v>384</v>
      </c>
      <c r="D1007" s="2" t="s">
        <v>29</v>
      </c>
      <c r="E1007" s="2">
        <v>20200601</v>
      </c>
      <c r="F1007" s="2">
        <v>20201230</v>
      </c>
      <c r="G1007" s="2">
        <v>5439.1</v>
      </c>
      <c r="H1007" s="2">
        <v>4495</v>
      </c>
      <c r="I1007" s="2">
        <v>45</v>
      </c>
      <c r="J1007" s="2" t="s">
        <v>69</v>
      </c>
      <c r="K1007" s="2" t="s">
        <v>70</v>
      </c>
      <c r="L1007" s="2" t="s">
        <v>3467</v>
      </c>
      <c r="M1007" s="7" t="s">
        <v>3468</v>
      </c>
      <c r="N1007" s="7" t="s">
        <v>3469</v>
      </c>
      <c r="O1007" s="2"/>
      <c r="P1007" s="2"/>
      <c r="Q1007" s="2" t="str">
        <f>IF(SUMPRODUCT(--ISNUMBER(SEARCH('National Domains'!$A$2:$A$48,L1007)))&gt;0,"Yes","No")</f>
        <v>No</v>
      </c>
      <c r="R1007" s="2" t="str">
        <f>IF(COUNTIFS(Calibration!$A:$A,A1007,Calibration!$B:$B,B1007)&gt;0,"Yes","No")</f>
        <v>No</v>
      </c>
      <c r="S1007" s="6"/>
    </row>
    <row r="1008" spans="1:19" ht="34.5" customHeight="1" x14ac:dyDescent="0.2">
      <c r="A1008" s="2">
        <v>220</v>
      </c>
      <c r="B1008" s="2">
        <v>2</v>
      </c>
      <c r="C1008" s="2" t="s">
        <v>384</v>
      </c>
      <c r="D1008" s="2" t="s">
        <v>29</v>
      </c>
      <c r="E1008" s="2">
        <v>20200601</v>
      </c>
      <c r="F1008" s="2">
        <v>20201230</v>
      </c>
      <c r="G1008" s="2">
        <v>5439.1</v>
      </c>
      <c r="H1008" s="2">
        <v>4495</v>
      </c>
      <c r="I1008" s="2">
        <v>45</v>
      </c>
      <c r="J1008" s="2" t="s">
        <v>69</v>
      </c>
      <c r="K1008" s="2" t="s">
        <v>70</v>
      </c>
      <c r="L1008" s="2" t="s">
        <v>3470</v>
      </c>
      <c r="M1008" s="7" t="s">
        <v>3471</v>
      </c>
      <c r="N1008" s="7" t="s">
        <v>3472</v>
      </c>
      <c r="O1008" s="2"/>
      <c r="P1008" s="2"/>
      <c r="Q1008" s="2" t="str">
        <f>IF(SUMPRODUCT(--ISNUMBER(SEARCH('National Domains'!$A$2:$A$48,L1008)))&gt;0,"Yes","No")</f>
        <v>No</v>
      </c>
      <c r="R1008" s="2" t="str">
        <f>IF(COUNTIFS(Calibration!$A:$A,A1008,Calibration!$B:$B,B1008)&gt;0,"Yes","No")</f>
        <v>No</v>
      </c>
      <c r="S1008" s="6"/>
    </row>
    <row r="1009" spans="1:19" ht="23.25" customHeight="1" x14ac:dyDescent="0.2">
      <c r="A1009" s="2">
        <v>220</v>
      </c>
      <c r="B1009" s="2">
        <v>3</v>
      </c>
      <c r="C1009" s="2" t="s">
        <v>384</v>
      </c>
      <c r="D1009" s="2" t="s">
        <v>29</v>
      </c>
      <c r="E1009" s="2">
        <v>20200601</v>
      </c>
      <c r="F1009" s="2">
        <v>20201230</v>
      </c>
      <c r="G1009" s="2">
        <v>5439.1</v>
      </c>
      <c r="H1009" s="2">
        <v>4495</v>
      </c>
      <c r="I1009" s="2">
        <v>45</v>
      </c>
      <c r="J1009" s="2" t="s">
        <v>69</v>
      </c>
      <c r="K1009" s="2" t="s">
        <v>70</v>
      </c>
      <c r="L1009" s="2" t="s">
        <v>3473</v>
      </c>
      <c r="M1009" s="7" t="s">
        <v>3474</v>
      </c>
      <c r="N1009" s="7" t="s">
        <v>3475</v>
      </c>
      <c r="O1009" s="2"/>
      <c r="P1009" s="2"/>
      <c r="Q1009" s="2" t="str">
        <f>IF(SUMPRODUCT(--ISNUMBER(SEARCH('National Domains'!$A$2:$A$48,L1009)))&gt;0,"Yes","No")</f>
        <v>No</v>
      </c>
      <c r="R1009" s="2" t="str">
        <f>IF(COUNTIFS(Calibration!$A:$A,A1009,Calibration!$B:$B,B1009)&gt;0,"Yes","No")</f>
        <v>No</v>
      </c>
      <c r="S1009" s="6"/>
    </row>
    <row r="1010" spans="1:19" ht="34.5" customHeight="1" x14ac:dyDescent="0.2">
      <c r="A1010" s="2">
        <v>220</v>
      </c>
      <c r="B1010" s="2">
        <v>4</v>
      </c>
      <c r="C1010" s="2" t="s">
        <v>384</v>
      </c>
      <c r="D1010" s="2" t="s">
        <v>29</v>
      </c>
      <c r="E1010" s="2">
        <v>20200601</v>
      </c>
      <c r="F1010" s="2">
        <v>20201230</v>
      </c>
      <c r="G1010" s="2">
        <v>5439.1</v>
      </c>
      <c r="H1010" s="2">
        <v>4495</v>
      </c>
      <c r="I1010" s="2">
        <v>45</v>
      </c>
      <c r="J1010" s="2" t="s">
        <v>69</v>
      </c>
      <c r="K1010" s="2" t="s">
        <v>70</v>
      </c>
      <c r="L1010" s="2" t="s">
        <v>3476</v>
      </c>
      <c r="M1010" s="7" t="s">
        <v>3477</v>
      </c>
      <c r="N1010" s="7" t="s">
        <v>3478</v>
      </c>
      <c r="O1010" s="2"/>
      <c r="P1010" s="2"/>
      <c r="Q1010" s="2" t="str">
        <f>IF(SUMPRODUCT(--ISNUMBER(SEARCH('National Domains'!$A$2:$A$48,L1010)))&gt;0,"Yes","No")</f>
        <v>No</v>
      </c>
      <c r="R1010" s="2" t="str">
        <f>IF(COUNTIFS(Calibration!$A:$A,A1010,Calibration!$B:$B,B1010)&gt;0,"Yes","No")</f>
        <v>No</v>
      </c>
      <c r="S1010" s="6"/>
    </row>
    <row r="1011" spans="1:19" ht="34.5" customHeight="1" x14ac:dyDescent="0.2">
      <c r="A1011" s="2">
        <v>220</v>
      </c>
      <c r="B1011" s="2">
        <v>5</v>
      </c>
      <c r="C1011" s="2" t="s">
        <v>384</v>
      </c>
      <c r="D1011" s="2" t="s">
        <v>29</v>
      </c>
      <c r="E1011" s="2">
        <v>20200601</v>
      </c>
      <c r="F1011" s="2">
        <v>20201230</v>
      </c>
      <c r="G1011" s="2">
        <v>5439.1</v>
      </c>
      <c r="H1011" s="2">
        <v>4495</v>
      </c>
      <c r="I1011" s="2">
        <v>45</v>
      </c>
      <c r="J1011" s="2" t="s">
        <v>69</v>
      </c>
      <c r="K1011" s="2" t="s">
        <v>70</v>
      </c>
      <c r="L1011" s="2" t="s">
        <v>3479</v>
      </c>
      <c r="M1011" s="7" t="s">
        <v>3480</v>
      </c>
      <c r="N1011" s="7" t="s">
        <v>3481</v>
      </c>
      <c r="O1011" s="2"/>
      <c r="P1011" s="2"/>
      <c r="Q1011" s="2" t="str">
        <f>IF(SUMPRODUCT(--ISNUMBER(SEARCH('National Domains'!$A$2:$A$48,L1011)))&gt;0,"Yes","No")</f>
        <v>No</v>
      </c>
      <c r="R1011" s="2" t="str">
        <f>IF(COUNTIFS(Calibration!$A:$A,A1011,Calibration!$B:$B,B1011)&gt;0,"Yes","No")</f>
        <v>No</v>
      </c>
      <c r="S1011" s="6"/>
    </row>
    <row r="1012" spans="1:19" ht="34.5" customHeight="1" x14ac:dyDescent="0.2">
      <c r="A1012" s="2">
        <v>220</v>
      </c>
      <c r="B1012" s="2">
        <v>6</v>
      </c>
      <c r="C1012" s="2" t="s">
        <v>384</v>
      </c>
      <c r="D1012" s="2" t="s">
        <v>29</v>
      </c>
      <c r="E1012" s="2">
        <v>20200601</v>
      </c>
      <c r="F1012" s="2">
        <v>20201230</v>
      </c>
      <c r="G1012" s="2">
        <v>5439.1</v>
      </c>
      <c r="H1012" s="2">
        <v>4495</v>
      </c>
      <c r="I1012" s="2">
        <v>45</v>
      </c>
      <c r="J1012" s="2" t="s">
        <v>69</v>
      </c>
      <c r="K1012" s="2" t="s">
        <v>70</v>
      </c>
      <c r="L1012" s="2" t="s">
        <v>3482</v>
      </c>
      <c r="M1012" s="7" t="s">
        <v>3483</v>
      </c>
      <c r="N1012" s="7" t="s">
        <v>3484</v>
      </c>
      <c r="O1012" s="2"/>
      <c r="P1012" s="2"/>
      <c r="Q1012" s="2" t="str">
        <f>IF(SUMPRODUCT(--ISNUMBER(SEARCH('National Domains'!$A$2:$A$48,L1012)))&gt;0,"Yes","No")</f>
        <v>Yes</v>
      </c>
      <c r="R1012" s="2" t="str">
        <f>IF(COUNTIFS(Calibration!$A:$A,A1012,Calibration!$B:$B,B1012)&gt;0,"Yes","No")</f>
        <v>No</v>
      </c>
      <c r="S1012" s="6"/>
    </row>
    <row r="1013" spans="1:19" ht="34.5" customHeight="1" x14ac:dyDescent="0.2">
      <c r="A1013" s="2">
        <v>220</v>
      </c>
      <c r="B1013" s="2">
        <v>7</v>
      </c>
      <c r="C1013" s="2" t="s">
        <v>384</v>
      </c>
      <c r="D1013" s="2" t="s">
        <v>29</v>
      </c>
      <c r="E1013" s="2">
        <v>20200601</v>
      </c>
      <c r="F1013" s="2">
        <v>20201230</v>
      </c>
      <c r="G1013" s="2">
        <v>5439.1</v>
      </c>
      <c r="H1013" s="2">
        <v>4495</v>
      </c>
      <c r="I1013" s="2">
        <v>45</v>
      </c>
      <c r="J1013" s="2" t="s">
        <v>69</v>
      </c>
      <c r="K1013" s="2" t="s">
        <v>70</v>
      </c>
      <c r="L1013" s="2" t="s">
        <v>3485</v>
      </c>
      <c r="M1013" s="7" t="s">
        <v>3486</v>
      </c>
      <c r="N1013" s="7" t="s">
        <v>3487</v>
      </c>
      <c r="O1013" s="2"/>
      <c r="P1013" s="2"/>
      <c r="Q1013" s="2" t="str">
        <f>IF(SUMPRODUCT(--ISNUMBER(SEARCH('National Domains'!$A$2:$A$48,L1013)))&gt;0,"Yes","No")</f>
        <v>Yes</v>
      </c>
      <c r="R1013" s="2" t="str">
        <f>IF(COUNTIFS(Calibration!$A:$A,A1013,Calibration!$B:$B,B1013)&gt;0,"Yes","No")</f>
        <v>No</v>
      </c>
      <c r="S1013" s="6"/>
    </row>
    <row r="1014" spans="1:19" ht="34.5" customHeight="1" x14ac:dyDescent="0.2">
      <c r="A1014" s="2">
        <v>220</v>
      </c>
      <c r="B1014" s="2">
        <v>8</v>
      </c>
      <c r="C1014" s="2" t="s">
        <v>384</v>
      </c>
      <c r="D1014" s="2" t="s">
        <v>29</v>
      </c>
      <c r="E1014" s="2">
        <v>20200601</v>
      </c>
      <c r="F1014" s="2">
        <v>20201230</v>
      </c>
      <c r="G1014" s="2">
        <v>5439.1</v>
      </c>
      <c r="H1014" s="2">
        <v>4495</v>
      </c>
      <c r="I1014" s="2">
        <v>45</v>
      </c>
      <c r="J1014" s="2" t="s">
        <v>69</v>
      </c>
      <c r="K1014" s="2" t="s">
        <v>70</v>
      </c>
      <c r="L1014" s="2" t="s">
        <v>3488</v>
      </c>
      <c r="M1014" s="7" t="s">
        <v>3489</v>
      </c>
      <c r="N1014" s="7" t="s">
        <v>3490</v>
      </c>
      <c r="O1014" s="2"/>
      <c r="P1014" s="2"/>
      <c r="Q1014" s="2" t="str">
        <f>IF(SUMPRODUCT(--ISNUMBER(SEARCH('National Domains'!$A$2:$A$48,L1014)))&gt;0,"Yes","No")</f>
        <v>Yes</v>
      </c>
      <c r="R1014" s="2" t="str">
        <f>IF(COUNTIFS(Calibration!$A:$A,A1014,Calibration!$B:$B,B1014)&gt;0,"Yes","No")</f>
        <v>No</v>
      </c>
      <c r="S1014" s="6"/>
    </row>
    <row r="1015" spans="1:19" ht="23.25" customHeight="1" x14ac:dyDescent="0.2">
      <c r="A1015" s="2">
        <v>220</v>
      </c>
      <c r="B1015" s="2">
        <v>9</v>
      </c>
      <c r="C1015" s="2" t="s">
        <v>384</v>
      </c>
      <c r="D1015" s="2" t="s">
        <v>29</v>
      </c>
      <c r="E1015" s="2">
        <v>20200601</v>
      </c>
      <c r="F1015" s="2">
        <v>20201230</v>
      </c>
      <c r="G1015" s="2">
        <v>5439.1</v>
      </c>
      <c r="H1015" s="2">
        <v>4495</v>
      </c>
      <c r="I1015" s="2">
        <v>45</v>
      </c>
      <c r="J1015" s="2" t="s">
        <v>69</v>
      </c>
      <c r="K1015" s="2" t="s">
        <v>70</v>
      </c>
      <c r="L1015" s="2" t="s">
        <v>3491</v>
      </c>
      <c r="M1015" s="7" t="s">
        <v>3492</v>
      </c>
      <c r="N1015" s="7" t="s">
        <v>3493</v>
      </c>
      <c r="O1015" s="2"/>
      <c r="P1015" s="2"/>
      <c r="Q1015" s="2" t="str">
        <f>IF(SUMPRODUCT(--ISNUMBER(SEARCH('National Domains'!$A$2:$A$48,L1015)))&gt;0,"Yes","No")</f>
        <v>Yes</v>
      </c>
      <c r="R1015" s="2" t="str">
        <f>IF(COUNTIFS(Calibration!$A:$A,A1015,Calibration!$B:$B,B1015)&gt;0,"Yes","No")</f>
        <v>No</v>
      </c>
      <c r="S1015" s="6"/>
    </row>
    <row r="1016" spans="1:19" ht="34.5" customHeight="1" x14ac:dyDescent="0.2">
      <c r="A1016" s="2">
        <v>220</v>
      </c>
      <c r="B1016" s="2">
        <v>10</v>
      </c>
      <c r="C1016" s="2" t="s">
        <v>384</v>
      </c>
      <c r="D1016" s="2" t="s">
        <v>29</v>
      </c>
      <c r="E1016" s="2">
        <v>20200601</v>
      </c>
      <c r="F1016" s="2">
        <v>20201230</v>
      </c>
      <c r="G1016" s="2">
        <v>5439.1</v>
      </c>
      <c r="H1016" s="2">
        <v>4495</v>
      </c>
      <c r="I1016" s="2">
        <v>45</v>
      </c>
      <c r="J1016" s="2" t="s">
        <v>69</v>
      </c>
      <c r="K1016" s="2" t="s">
        <v>70</v>
      </c>
      <c r="L1016" s="2" t="s">
        <v>3494</v>
      </c>
      <c r="M1016" s="7" t="s">
        <v>3495</v>
      </c>
      <c r="N1016" s="7" t="s">
        <v>3496</v>
      </c>
      <c r="O1016" s="2"/>
      <c r="P1016" s="2"/>
      <c r="Q1016" s="2" t="str">
        <f>IF(SUMPRODUCT(--ISNUMBER(SEARCH('National Domains'!$A$2:$A$48,L1016)))&gt;0,"Yes","No")</f>
        <v>Yes</v>
      </c>
      <c r="R1016" s="2" t="str">
        <f>IF(COUNTIFS(Calibration!$A:$A,A1016,Calibration!$B:$B,B1016)&gt;0,"Yes","No")</f>
        <v>No</v>
      </c>
      <c r="S1016" s="6"/>
    </row>
    <row r="1017" spans="1:19" ht="34.5" customHeight="1" x14ac:dyDescent="0.2">
      <c r="A1017" s="4">
        <v>220</v>
      </c>
      <c r="B1017" s="4">
        <v>11</v>
      </c>
      <c r="C1017" s="4" t="s">
        <v>384</v>
      </c>
      <c r="D1017" s="4" t="s">
        <v>29</v>
      </c>
      <c r="E1017" s="4">
        <v>20200601</v>
      </c>
      <c r="F1017" s="4">
        <v>20201230</v>
      </c>
      <c r="G1017" s="4">
        <v>5439.1</v>
      </c>
      <c r="H1017" s="4">
        <v>4495</v>
      </c>
      <c r="I1017" s="4">
        <v>45</v>
      </c>
      <c r="J1017" s="4" t="s">
        <v>69</v>
      </c>
      <c r="K1017" s="4" t="s">
        <v>70</v>
      </c>
      <c r="L1017" s="4" t="s">
        <v>3497</v>
      </c>
      <c r="M1017" s="5" t="s">
        <v>3498</v>
      </c>
      <c r="N1017" s="5" t="s">
        <v>3499</v>
      </c>
      <c r="O1017" s="4"/>
      <c r="P1017" s="4"/>
      <c r="Q1017" s="4" t="str">
        <f>IF(SUMPRODUCT(--ISNUMBER(SEARCH('National Domains'!$A$2:$A$48,L1017)))&gt;0,"Yes","No")</f>
        <v>Yes</v>
      </c>
      <c r="R1017" s="4" t="str">
        <f>IF(COUNTIFS(Calibration!$A:$A,A1017,Calibration!$B:$B,B1017)&gt;0,"Yes","No")</f>
        <v>Yes</v>
      </c>
      <c r="S1017" s="6"/>
    </row>
    <row r="1018" spans="1:19" ht="34.5" customHeight="1" x14ac:dyDescent="0.2">
      <c r="A1018" s="4">
        <v>220</v>
      </c>
      <c r="B1018" s="4">
        <v>12</v>
      </c>
      <c r="C1018" s="4" t="s">
        <v>384</v>
      </c>
      <c r="D1018" s="4" t="s">
        <v>29</v>
      </c>
      <c r="E1018" s="4">
        <v>20200601</v>
      </c>
      <c r="F1018" s="4">
        <v>20201230</v>
      </c>
      <c r="G1018" s="4">
        <v>5439.1</v>
      </c>
      <c r="H1018" s="4">
        <v>4495</v>
      </c>
      <c r="I1018" s="4">
        <v>45</v>
      </c>
      <c r="J1018" s="4" t="s">
        <v>69</v>
      </c>
      <c r="K1018" s="4" t="s">
        <v>70</v>
      </c>
      <c r="L1018" s="4" t="s">
        <v>3500</v>
      </c>
      <c r="M1018" s="5" t="s">
        <v>3501</v>
      </c>
      <c r="N1018" s="5" t="s">
        <v>3502</v>
      </c>
      <c r="O1018" s="4"/>
      <c r="P1018" s="4"/>
      <c r="Q1018" s="4" t="str">
        <f>IF(SUMPRODUCT(--ISNUMBER(SEARCH('National Domains'!$A$2:$A$48,L1018)))&gt;0,"Yes","No")</f>
        <v>Yes</v>
      </c>
      <c r="R1018" s="4" t="str">
        <f>IF(COUNTIFS(Calibration!$A:$A,A1018,Calibration!$B:$B,B1018)&gt;0,"Yes","No")</f>
        <v>Yes</v>
      </c>
      <c r="S1018" s="6"/>
    </row>
    <row r="1019" spans="1:19" ht="34.5" customHeight="1" x14ac:dyDescent="0.2">
      <c r="A1019" s="2">
        <v>220</v>
      </c>
      <c r="B1019" s="2">
        <v>13</v>
      </c>
      <c r="C1019" s="2" t="s">
        <v>384</v>
      </c>
      <c r="D1019" s="2" t="s">
        <v>29</v>
      </c>
      <c r="E1019" s="2">
        <v>20200601</v>
      </c>
      <c r="F1019" s="2">
        <v>20201230</v>
      </c>
      <c r="G1019" s="2">
        <v>5439.1</v>
      </c>
      <c r="H1019" s="2">
        <v>4495</v>
      </c>
      <c r="I1019" s="2">
        <v>45</v>
      </c>
      <c r="J1019" s="2" t="s">
        <v>69</v>
      </c>
      <c r="K1019" s="2" t="s">
        <v>70</v>
      </c>
      <c r="L1019" s="2" t="s">
        <v>3503</v>
      </c>
      <c r="M1019" s="7" t="s">
        <v>3504</v>
      </c>
      <c r="N1019" s="7" t="s">
        <v>3505</v>
      </c>
      <c r="O1019" s="2"/>
      <c r="P1019" s="2"/>
      <c r="Q1019" s="2" t="str">
        <f>IF(SUMPRODUCT(--ISNUMBER(SEARCH('National Domains'!$A$2:$A$48,L1019)))&gt;0,"Yes","No")</f>
        <v>No</v>
      </c>
      <c r="R1019" s="2" t="str">
        <f>IF(COUNTIFS(Calibration!$A:$A,A1019,Calibration!$B:$B,B1019)&gt;0,"Yes","No")</f>
        <v>No</v>
      </c>
      <c r="S1019" s="6"/>
    </row>
    <row r="1020" spans="1:19" ht="34.5" customHeight="1" x14ac:dyDescent="0.2">
      <c r="A1020" s="2">
        <v>220</v>
      </c>
      <c r="B1020" s="2">
        <v>14</v>
      </c>
      <c r="C1020" s="2" t="s">
        <v>384</v>
      </c>
      <c r="D1020" s="2" t="s">
        <v>29</v>
      </c>
      <c r="E1020" s="2">
        <v>20200601</v>
      </c>
      <c r="F1020" s="2">
        <v>20201230</v>
      </c>
      <c r="G1020" s="2">
        <v>5439.1</v>
      </c>
      <c r="H1020" s="2">
        <v>4495</v>
      </c>
      <c r="I1020" s="2">
        <v>45</v>
      </c>
      <c r="J1020" s="2" t="s">
        <v>69</v>
      </c>
      <c r="K1020" s="2" t="s">
        <v>70</v>
      </c>
      <c r="L1020" s="2" t="s">
        <v>3506</v>
      </c>
      <c r="M1020" s="7" t="s">
        <v>3507</v>
      </c>
      <c r="N1020" s="7" t="s">
        <v>3508</v>
      </c>
      <c r="O1020" s="2"/>
      <c r="P1020" s="2"/>
      <c r="Q1020" s="2" t="str">
        <f>IF(SUMPRODUCT(--ISNUMBER(SEARCH('National Domains'!$A$2:$A$48,L1020)))&gt;0,"Yes","No")</f>
        <v>Yes</v>
      </c>
      <c r="R1020" s="2" t="str">
        <f>IF(COUNTIFS(Calibration!$A:$A,A1020,Calibration!$B:$B,B1020)&gt;0,"Yes","No")</f>
        <v>No</v>
      </c>
      <c r="S1020" s="6"/>
    </row>
    <row r="1021" spans="1:19" ht="34.5" customHeight="1" x14ac:dyDescent="0.2">
      <c r="A1021" s="2">
        <v>220</v>
      </c>
      <c r="B1021" s="2">
        <v>15</v>
      </c>
      <c r="C1021" s="2" t="s">
        <v>384</v>
      </c>
      <c r="D1021" s="2" t="s">
        <v>29</v>
      </c>
      <c r="E1021" s="2">
        <v>20200601</v>
      </c>
      <c r="F1021" s="2">
        <v>20201230</v>
      </c>
      <c r="G1021" s="2">
        <v>5439.1</v>
      </c>
      <c r="H1021" s="2">
        <v>4495</v>
      </c>
      <c r="I1021" s="2">
        <v>45</v>
      </c>
      <c r="J1021" s="2" t="s">
        <v>69</v>
      </c>
      <c r="K1021" s="2" t="s">
        <v>70</v>
      </c>
      <c r="L1021" s="2" t="s">
        <v>3509</v>
      </c>
      <c r="M1021" s="7" t="s">
        <v>3510</v>
      </c>
      <c r="N1021" s="7" t="s">
        <v>3511</v>
      </c>
      <c r="O1021" s="2"/>
      <c r="P1021" s="2"/>
      <c r="Q1021" s="2" t="str">
        <f>IF(SUMPRODUCT(--ISNUMBER(SEARCH('National Domains'!$A$2:$A$48,L1021)))&gt;0,"Yes","No")</f>
        <v>Yes</v>
      </c>
      <c r="R1021" s="2" t="str">
        <f>IF(COUNTIFS(Calibration!$A:$A,A1021,Calibration!$B:$B,B1021)&gt;0,"Yes","No")</f>
        <v>No</v>
      </c>
      <c r="S1021" s="6"/>
    </row>
    <row r="1022" spans="1:19" ht="34.5" customHeight="1" x14ac:dyDescent="0.2">
      <c r="A1022" s="2">
        <v>220</v>
      </c>
      <c r="B1022" s="2">
        <v>16</v>
      </c>
      <c r="C1022" s="2" t="s">
        <v>384</v>
      </c>
      <c r="D1022" s="2" t="s">
        <v>29</v>
      </c>
      <c r="E1022" s="2">
        <v>20200601</v>
      </c>
      <c r="F1022" s="2">
        <v>20201230</v>
      </c>
      <c r="G1022" s="2">
        <v>5439.1</v>
      </c>
      <c r="H1022" s="2">
        <v>4495</v>
      </c>
      <c r="I1022" s="2">
        <v>45</v>
      </c>
      <c r="J1022" s="2" t="s">
        <v>69</v>
      </c>
      <c r="K1022" s="2" t="s">
        <v>70</v>
      </c>
      <c r="L1022" s="2" t="s">
        <v>3512</v>
      </c>
      <c r="M1022" s="7" t="s">
        <v>3513</v>
      </c>
      <c r="N1022" s="7" t="s">
        <v>3514</v>
      </c>
      <c r="O1022" s="2"/>
      <c r="P1022" s="2"/>
      <c r="Q1022" s="2" t="str">
        <f>IF(SUMPRODUCT(--ISNUMBER(SEARCH('National Domains'!$A$2:$A$48,L1022)))&gt;0,"Yes","No")</f>
        <v>Yes</v>
      </c>
      <c r="R1022" s="2" t="str">
        <f>IF(COUNTIFS(Calibration!$A:$A,A1022,Calibration!$B:$B,B1022)&gt;0,"Yes","No")</f>
        <v>No</v>
      </c>
      <c r="S1022" s="6"/>
    </row>
    <row r="1023" spans="1:19" ht="34.5" customHeight="1" x14ac:dyDescent="0.2">
      <c r="A1023" s="2">
        <v>220</v>
      </c>
      <c r="B1023" s="2">
        <v>17</v>
      </c>
      <c r="C1023" s="2" t="s">
        <v>384</v>
      </c>
      <c r="D1023" s="2" t="s">
        <v>29</v>
      </c>
      <c r="E1023" s="2">
        <v>20200601</v>
      </c>
      <c r="F1023" s="2">
        <v>20201230</v>
      </c>
      <c r="G1023" s="2">
        <v>5439.1</v>
      </c>
      <c r="H1023" s="2">
        <v>4495</v>
      </c>
      <c r="I1023" s="2">
        <v>45</v>
      </c>
      <c r="J1023" s="2" t="s">
        <v>69</v>
      </c>
      <c r="K1023" s="2" t="s">
        <v>70</v>
      </c>
      <c r="L1023" s="2" t="s">
        <v>3515</v>
      </c>
      <c r="M1023" s="7" t="s">
        <v>3516</v>
      </c>
      <c r="N1023" s="7" t="s">
        <v>3517</v>
      </c>
      <c r="O1023" s="2"/>
      <c r="P1023" s="2"/>
      <c r="Q1023" s="2" t="str">
        <f>IF(SUMPRODUCT(--ISNUMBER(SEARCH('National Domains'!$A$2:$A$48,L1023)))&gt;0,"Yes","No")</f>
        <v>Yes</v>
      </c>
      <c r="R1023" s="2" t="str">
        <f>IF(COUNTIFS(Calibration!$A:$A,A1023,Calibration!$B:$B,B1023)&gt;0,"Yes","No")</f>
        <v>No</v>
      </c>
      <c r="S1023" s="6"/>
    </row>
    <row r="1024" spans="1:19" ht="34.5" customHeight="1" x14ac:dyDescent="0.2">
      <c r="A1024" s="2">
        <v>220</v>
      </c>
      <c r="B1024" s="2">
        <v>18</v>
      </c>
      <c r="C1024" s="2" t="s">
        <v>384</v>
      </c>
      <c r="D1024" s="2" t="s">
        <v>29</v>
      </c>
      <c r="E1024" s="2">
        <v>20200601</v>
      </c>
      <c r="F1024" s="2">
        <v>20201230</v>
      </c>
      <c r="G1024" s="2">
        <v>5439.1</v>
      </c>
      <c r="H1024" s="2">
        <v>4495</v>
      </c>
      <c r="I1024" s="2">
        <v>45</v>
      </c>
      <c r="J1024" s="2" t="s">
        <v>69</v>
      </c>
      <c r="K1024" s="2" t="s">
        <v>70</v>
      </c>
      <c r="L1024" s="2" t="s">
        <v>3518</v>
      </c>
      <c r="M1024" s="7" t="s">
        <v>3519</v>
      </c>
      <c r="N1024" s="7" t="s">
        <v>3520</v>
      </c>
      <c r="O1024" s="2"/>
      <c r="P1024" s="2"/>
      <c r="Q1024" s="2" t="str">
        <f>IF(SUMPRODUCT(--ISNUMBER(SEARCH('National Domains'!$A$2:$A$48,L1024)))&gt;0,"Yes","No")</f>
        <v>Yes</v>
      </c>
      <c r="R1024" s="2" t="str">
        <f>IF(COUNTIFS(Calibration!$A:$A,A1024,Calibration!$B:$B,B1024)&gt;0,"Yes","No")</f>
        <v>No</v>
      </c>
      <c r="S1024" s="6"/>
    </row>
    <row r="1025" spans="1:19" ht="34.5" customHeight="1" x14ac:dyDescent="0.2">
      <c r="A1025" s="4">
        <v>221</v>
      </c>
      <c r="B1025" s="4">
        <v>1</v>
      </c>
      <c r="C1025" s="4" t="s">
        <v>385</v>
      </c>
      <c r="D1025" s="4" t="s">
        <v>25</v>
      </c>
      <c r="E1025" s="4">
        <v>20210124</v>
      </c>
      <c r="F1025" s="4">
        <v>20210129</v>
      </c>
      <c r="G1025" s="4">
        <v>1325</v>
      </c>
      <c r="H1025" s="4">
        <v>1095</v>
      </c>
      <c r="I1025" s="4">
        <v>2</v>
      </c>
      <c r="J1025" s="4" t="s">
        <v>66</v>
      </c>
      <c r="K1025" s="4" t="s">
        <v>67</v>
      </c>
      <c r="L1025" s="4" t="s">
        <v>3521</v>
      </c>
      <c r="M1025" s="5" t="s">
        <v>3522</v>
      </c>
      <c r="N1025" s="5" t="s">
        <v>3523</v>
      </c>
      <c r="O1025" s="4"/>
      <c r="P1025" s="4"/>
      <c r="Q1025" s="4" t="str">
        <f>IF(SUMPRODUCT(--ISNUMBER(SEARCH('National Domains'!$A$2:$A$48,L1025)))&gt;0,"Yes","No")</f>
        <v>No</v>
      </c>
      <c r="R1025" s="4" t="str">
        <f>IF(COUNTIFS(Calibration!$A:$A,A1025,Calibration!$B:$B,B1025)&gt;0,"Yes","No")</f>
        <v>Yes</v>
      </c>
      <c r="S1025" s="6"/>
    </row>
    <row r="1026" spans="1:19" ht="34.5" customHeight="1" x14ac:dyDescent="0.2">
      <c r="A1026" s="2">
        <v>222</v>
      </c>
      <c r="B1026" s="2">
        <v>1</v>
      </c>
      <c r="C1026" s="2" t="s">
        <v>386</v>
      </c>
      <c r="D1026" s="2" t="s">
        <v>13</v>
      </c>
      <c r="E1026" s="2">
        <v>20210210</v>
      </c>
      <c r="F1026" s="2">
        <v>20210219</v>
      </c>
      <c r="G1026" s="2">
        <v>27223.200000000001</v>
      </c>
      <c r="H1026" s="2">
        <v>22686</v>
      </c>
      <c r="I1026" s="2">
        <v>262</v>
      </c>
      <c r="J1026" s="2" t="s">
        <v>387</v>
      </c>
      <c r="K1026" s="2" t="s">
        <v>388</v>
      </c>
      <c r="L1026" s="2" t="s">
        <v>3524</v>
      </c>
      <c r="M1026" s="7" t="s">
        <v>3525</v>
      </c>
      <c r="N1026" s="7" t="s">
        <v>3526</v>
      </c>
      <c r="O1026" s="2"/>
      <c r="P1026" s="2"/>
      <c r="Q1026" s="2" t="str">
        <f>IF(SUMPRODUCT(--ISNUMBER(SEARCH('National Domains'!$A$2:$A$48,L1026)))&gt;0,"Yes","No")</f>
        <v>No</v>
      </c>
      <c r="R1026" s="2" t="str">
        <f>IF(COUNTIFS(Calibration!$A:$A,A1026,Calibration!$B:$B,B1026)&gt;0,"Yes","No")</f>
        <v>No</v>
      </c>
      <c r="S1026" s="6"/>
    </row>
    <row r="1027" spans="1:19" ht="34.5" customHeight="1" x14ac:dyDescent="0.2">
      <c r="A1027" s="2">
        <v>222</v>
      </c>
      <c r="B1027" s="2">
        <v>2</v>
      </c>
      <c r="C1027" s="2" t="s">
        <v>386</v>
      </c>
      <c r="D1027" s="2" t="s">
        <v>13</v>
      </c>
      <c r="E1027" s="2">
        <v>20210210</v>
      </c>
      <c r="F1027" s="2">
        <v>20210219</v>
      </c>
      <c r="G1027" s="2">
        <v>27223.200000000001</v>
      </c>
      <c r="H1027" s="2">
        <v>22686</v>
      </c>
      <c r="I1027" s="2">
        <v>262</v>
      </c>
      <c r="J1027" s="2" t="s">
        <v>387</v>
      </c>
      <c r="K1027" s="2" t="s">
        <v>388</v>
      </c>
      <c r="L1027" s="2" t="s">
        <v>3527</v>
      </c>
      <c r="M1027" s="7" t="s">
        <v>3528</v>
      </c>
      <c r="N1027" s="7" t="s">
        <v>3529</v>
      </c>
      <c r="O1027" s="2"/>
      <c r="P1027" s="2"/>
      <c r="Q1027" s="2" t="str">
        <f>IF(SUMPRODUCT(--ISNUMBER(SEARCH('National Domains'!$A$2:$A$48,L1027)))&gt;0,"Yes","No")</f>
        <v>No</v>
      </c>
      <c r="R1027" s="2" t="str">
        <f>IF(COUNTIFS(Calibration!$A:$A,A1027,Calibration!$B:$B,B1027)&gt;0,"Yes","No")</f>
        <v>No</v>
      </c>
      <c r="S1027" s="6"/>
    </row>
    <row r="1028" spans="1:19" ht="34.5" customHeight="1" x14ac:dyDescent="0.2">
      <c r="A1028" s="2">
        <v>222</v>
      </c>
      <c r="B1028" s="2">
        <v>3</v>
      </c>
      <c r="C1028" s="2" t="s">
        <v>386</v>
      </c>
      <c r="D1028" s="2" t="s">
        <v>13</v>
      </c>
      <c r="E1028" s="2">
        <v>20210210</v>
      </c>
      <c r="F1028" s="2">
        <v>20210219</v>
      </c>
      <c r="G1028" s="2">
        <v>27223.200000000001</v>
      </c>
      <c r="H1028" s="2">
        <v>22686</v>
      </c>
      <c r="I1028" s="2">
        <v>262</v>
      </c>
      <c r="J1028" s="2" t="s">
        <v>387</v>
      </c>
      <c r="K1028" s="2" t="s">
        <v>388</v>
      </c>
      <c r="L1028" s="2" t="s">
        <v>3530</v>
      </c>
      <c r="M1028" s="7" t="s">
        <v>3531</v>
      </c>
      <c r="N1028" s="7" t="s">
        <v>3532</v>
      </c>
      <c r="O1028" s="2"/>
      <c r="P1028" s="2"/>
      <c r="Q1028" s="2" t="str">
        <f>IF(SUMPRODUCT(--ISNUMBER(SEARCH('National Domains'!$A$2:$A$48,L1028)))&gt;0,"Yes","No")</f>
        <v>No</v>
      </c>
      <c r="R1028" s="2" t="str">
        <f>IF(COUNTIFS(Calibration!$A:$A,A1028,Calibration!$B:$B,B1028)&gt;0,"Yes","No")</f>
        <v>No</v>
      </c>
      <c r="S1028" s="6"/>
    </row>
    <row r="1029" spans="1:19" ht="23.25" customHeight="1" x14ac:dyDescent="0.2">
      <c r="A1029" s="2">
        <v>222</v>
      </c>
      <c r="B1029" s="2">
        <v>4</v>
      </c>
      <c r="C1029" s="2" t="s">
        <v>386</v>
      </c>
      <c r="D1029" s="2" t="s">
        <v>13</v>
      </c>
      <c r="E1029" s="2">
        <v>20210210</v>
      </c>
      <c r="F1029" s="2">
        <v>20210219</v>
      </c>
      <c r="G1029" s="2">
        <v>27223.200000000001</v>
      </c>
      <c r="H1029" s="2">
        <v>22686</v>
      </c>
      <c r="I1029" s="2">
        <v>262</v>
      </c>
      <c r="J1029" s="2" t="s">
        <v>387</v>
      </c>
      <c r="K1029" s="2" t="s">
        <v>388</v>
      </c>
      <c r="L1029" s="2" t="s">
        <v>3533</v>
      </c>
      <c r="M1029" s="7" t="s">
        <v>3534</v>
      </c>
      <c r="N1029" s="7" t="s">
        <v>3535</v>
      </c>
      <c r="O1029" s="2"/>
      <c r="P1029" s="2"/>
      <c r="Q1029" s="2" t="str">
        <f>IF(SUMPRODUCT(--ISNUMBER(SEARCH('National Domains'!$A$2:$A$48,L1029)))&gt;0,"Yes","No")</f>
        <v>Yes</v>
      </c>
      <c r="R1029" s="2" t="str">
        <f>IF(COUNTIFS(Calibration!$A:$A,A1029,Calibration!$B:$B,B1029)&gt;0,"Yes","No")</f>
        <v>No</v>
      </c>
      <c r="S1029" s="6"/>
    </row>
    <row r="1030" spans="1:19" ht="34.5" customHeight="1" x14ac:dyDescent="0.2">
      <c r="A1030" s="2">
        <v>222</v>
      </c>
      <c r="B1030" s="2">
        <v>5</v>
      </c>
      <c r="C1030" s="2" t="s">
        <v>386</v>
      </c>
      <c r="D1030" s="2" t="s">
        <v>13</v>
      </c>
      <c r="E1030" s="2">
        <v>20210210</v>
      </c>
      <c r="F1030" s="2">
        <v>20210219</v>
      </c>
      <c r="G1030" s="2">
        <v>27223.200000000001</v>
      </c>
      <c r="H1030" s="2">
        <v>22686</v>
      </c>
      <c r="I1030" s="2">
        <v>262</v>
      </c>
      <c r="J1030" s="2" t="s">
        <v>387</v>
      </c>
      <c r="K1030" s="2" t="s">
        <v>388</v>
      </c>
      <c r="L1030" s="2" t="s">
        <v>3536</v>
      </c>
      <c r="M1030" s="7" t="s">
        <v>3537</v>
      </c>
      <c r="N1030" s="7" t="s">
        <v>3538</v>
      </c>
      <c r="O1030" s="2"/>
      <c r="P1030" s="2"/>
      <c r="Q1030" s="2" t="str">
        <f>IF(SUMPRODUCT(--ISNUMBER(SEARCH('National Domains'!$A$2:$A$48,L1030)))&gt;0,"Yes","No")</f>
        <v>Yes</v>
      </c>
      <c r="R1030" s="2" t="str">
        <f>IF(COUNTIFS(Calibration!$A:$A,A1030,Calibration!$B:$B,B1030)&gt;0,"Yes","No")</f>
        <v>No</v>
      </c>
      <c r="S1030" s="6"/>
    </row>
    <row r="1031" spans="1:19" ht="34.5" customHeight="1" x14ac:dyDescent="0.2">
      <c r="A1031" s="2">
        <v>222</v>
      </c>
      <c r="B1031" s="2">
        <v>6</v>
      </c>
      <c r="C1031" s="2" t="s">
        <v>386</v>
      </c>
      <c r="D1031" s="2" t="s">
        <v>13</v>
      </c>
      <c r="E1031" s="2">
        <v>20210210</v>
      </c>
      <c r="F1031" s="2">
        <v>20210219</v>
      </c>
      <c r="G1031" s="2">
        <v>27223.200000000001</v>
      </c>
      <c r="H1031" s="2">
        <v>22686</v>
      </c>
      <c r="I1031" s="2">
        <v>262</v>
      </c>
      <c r="J1031" s="2" t="s">
        <v>387</v>
      </c>
      <c r="K1031" s="2" t="s">
        <v>388</v>
      </c>
      <c r="L1031" s="2" t="s">
        <v>3539</v>
      </c>
      <c r="M1031" s="7" t="s">
        <v>3540</v>
      </c>
      <c r="N1031" s="7" t="s">
        <v>3541</v>
      </c>
      <c r="O1031" s="2"/>
      <c r="P1031" s="2"/>
      <c r="Q1031" s="2" t="str">
        <f>IF(SUMPRODUCT(--ISNUMBER(SEARCH('National Domains'!$A$2:$A$48,L1031)))&gt;0,"Yes","No")</f>
        <v>Yes</v>
      </c>
      <c r="R1031" s="2" t="str">
        <f>IF(COUNTIFS(Calibration!$A:$A,A1031,Calibration!$B:$B,B1031)&gt;0,"Yes","No")</f>
        <v>No</v>
      </c>
      <c r="S1031" s="6"/>
    </row>
    <row r="1032" spans="1:19" ht="34.5" customHeight="1" x14ac:dyDescent="0.2">
      <c r="A1032" s="4">
        <v>222</v>
      </c>
      <c r="B1032" s="4">
        <v>7</v>
      </c>
      <c r="C1032" s="4" t="s">
        <v>386</v>
      </c>
      <c r="D1032" s="4" t="s">
        <v>13</v>
      </c>
      <c r="E1032" s="4">
        <v>20210210</v>
      </c>
      <c r="F1032" s="4">
        <v>20210219</v>
      </c>
      <c r="G1032" s="4">
        <v>27223.200000000001</v>
      </c>
      <c r="H1032" s="4">
        <v>22686</v>
      </c>
      <c r="I1032" s="4">
        <v>262</v>
      </c>
      <c r="J1032" s="4" t="s">
        <v>387</v>
      </c>
      <c r="K1032" s="4" t="s">
        <v>388</v>
      </c>
      <c r="L1032" s="4" t="s">
        <v>3542</v>
      </c>
      <c r="M1032" s="5" t="s">
        <v>3543</v>
      </c>
      <c r="N1032" s="5" t="s">
        <v>3544</v>
      </c>
      <c r="O1032" s="4"/>
      <c r="P1032" s="4"/>
      <c r="Q1032" s="4" t="str">
        <f>IF(SUMPRODUCT(--ISNUMBER(SEARCH('National Domains'!$A$2:$A$48,L1032)))&gt;0,"Yes","No")</f>
        <v>Yes</v>
      </c>
      <c r="R1032" s="4" t="str">
        <f>IF(COUNTIFS(Calibration!$A:$A,A1032,Calibration!$B:$B,B1032)&gt;0,"Yes","No")</f>
        <v>Yes</v>
      </c>
      <c r="S1032" s="6"/>
    </row>
    <row r="1033" spans="1:19" ht="34.5" customHeight="1" x14ac:dyDescent="0.2">
      <c r="A1033" s="2">
        <v>222</v>
      </c>
      <c r="B1033" s="2">
        <v>8</v>
      </c>
      <c r="C1033" s="2" t="s">
        <v>386</v>
      </c>
      <c r="D1033" s="2" t="s">
        <v>13</v>
      </c>
      <c r="E1033" s="2">
        <v>20210210</v>
      </c>
      <c r="F1033" s="2">
        <v>20210219</v>
      </c>
      <c r="G1033" s="2">
        <v>27223.200000000001</v>
      </c>
      <c r="H1033" s="2">
        <v>22686</v>
      </c>
      <c r="I1033" s="2">
        <v>262</v>
      </c>
      <c r="J1033" s="2" t="s">
        <v>387</v>
      </c>
      <c r="K1033" s="2" t="s">
        <v>388</v>
      </c>
      <c r="L1033" s="2" t="s">
        <v>3545</v>
      </c>
      <c r="M1033" s="7" t="s">
        <v>3546</v>
      </c>
      <c r="N1033" s="7" t="s">
        <v>3547</v>
      </c>
      <c r="O1033" s="2"/>
      <c r="P1033" s="2"/>
      <c r="Q1033" s="2" t="str">
        <f>IF(SUMPRODUCT(--ISNUMBER(SEARCH('National Domains'!$A$2:$A$48,L1033)))&gt;0,"Yes","No")</f>
        <v>Yes</v>
      </c>
      <c r="R1033" s="2" t="str">
        <f>IF(COUNTIFS(Calibration!$A:$A,A1033,Calibration!$B:$B,B1033)&gt;0,"Yes","No")</f>
        <v>No</v>
      </c>
      <c r="S1033" s="6"/>
    </row>
    <row r="1034" spans="1:19" ht="34.5" customHeight="1" x14ac:dyDescent="0.2">
      <c r="A1034" s="2">
        <v>222</v>
      </c>
      <c r="B1034" s="2">
        <v>9</v>
      </c>
      <c r="C1034" s="2" t="s">
        <v>386</v>
      </c>
      <c r="D1034" s="2" t="s">
        <v>13</v>
      </c>
      <c r="E1034" s="2">
        <v>20210210</v>
      </c>
      <c r="F1034" s="2">
        <v>20210219</v>
      </c>
      <c r="G1034" s="2">
        <v>27223.200000000001</v>
      </c>
      <c r="H1034" s="2">
        <v>22686</v>
      </c>
      <c r="I1034" s="2">
        <v>262</v>
      </c>
      <c r="J1034" s="2" t="s">
        <v>387</v>
      </c>
      <c r="K1034" s="2" t="s">
        <v>388</v>
      </c>
      <c r="L1034" s="2" t="s">
        <v>3548</v>
      </c>
      <c r="M1034" s="7" t="s">
        <v>3549</v>
      </c>
      <c r="N1034" s="7" t="s">
        <v>3550</v>
      </c>
      <c r="O1034" s="2"/>
      <c r="P1034" s="2"/>
      <c r="Q1034" s="2" t="str">
        <f>IF(SUMPRODUCT(--ISNUMBER(SEARCH('National Domains'!$A$2:$A$48,L1034)))&gt;0,"Yes","No")</f>
        <v>Yes</v>
      </c>
      <c r="R1034" s="2" t="str">
        <f>IF(COUNTIFS(Calibration!$A:$A,A1034,Calibration!$B:$B,B1034)&gt;0,"Yes","No")</f>
        <v>No</v>
      </c>
      <c r="S1034" s="6"/>
    </row>
    <row r="1035" spans="1:19" ht="34.5" customHeight="1" x14ac:dyDescent="0.2">
      <c r="A1035" s="2">
        <v>222</v>
      </c>
      <c r="B1035" s="2">
        <v>10</v>
      </c>
      <c r="C1035" s="2" t="s">
        <v>386</v>
      </c>
      <c r="D1035" s="2" t="s">
        <v>13</v>
      </c>
      <c r="E1035" s="2">
        <v>20210210</v>
      </c>
      <c r="F1035" s="2">
        <v>20210219</v>
      </c>
      <c r="G1035" s="2">
        <v>27223.200000000001</v>
      </c>
      <c r="H1035" s="2">
        <v>22686</v>
      </c>
      <c r="I1035" s="2">
        <v>262</v>
      </c>
      <c r="J1035" s="2" t="s">
        <v>387</v>
      </c>
      <c r="K1035" s="2" t="s">
        <v>388</v>
      </c>
      <c r="L1035" s="2" t="s">
        <v>3551</v>
      </c>
      <c r="M1035" s="7" t="s">
        <v>3552</v>
      </c>
      <c r="N1035" s="7" t="s">
        <v>3553</v>
      </c>
      <c r="O1035" s="2"/>
      <c r="P1035" s="2"/>
      <c r="Q1035" s="2" t="str">
        <f>IF(SUMPRODUCT(--ISNUMBER(SEARCH('National Domains'!$A$2:$A$48,L1035)))&gt;0,"Yes","No")</f>
        <v>Yes</v>
      </c>
      <c r="R1035" s="2" t="str">
        <f>IF(COUNTIFS(Calibration!$A:$A,A1035,Calibration!$B:$B,B1035)&gt;0,"Yes","No")</f>
        <v>No</v>
      </c>
      <c r="S1035" s="6"/>
    </row>
    <row r="1036" spans="1:19" ht="34.5" customHeight="1" x14ac:dyDescent="0.2">
      <c r="A1036" s="2">
        <v>222</v>
      </c>
      <c r="B1036" s="2">
        <v>11</v>
      </c>
      <c r="C1036" s="2" t="s">
        <v>386</v>
      </c>
      <c r="D1036" s="2" t="s">
        <v>13</v>
      </c>
      <c r="E1036" s="2">
        <v>20210210</v>
      </c>
      <c r="F1036" s="2">
        <v>20210219</v>
      </c>
      <c r="G1036" s="2">
        <v>27223.200000000001</v>
      </c>
      <c r="H1036" s="2">
        <v>22686</v>
      </c>
      <c r="I1036" s="2">
        <v>262</v>
      </c>
      <c r="J1036" s="2" t="s">
        <v>387</v>
      </c>
      <c r="K1036" s="2" t="s">
        <v>388</v>
      </c>
      <c r="L1036" s="2" t="s">
        <v>3554</v>
      </c>
      <c r="M1036" s="7" t="s">
        <v>3555</v>
      </c>
      <c r="N1036" s="7" t="s">
        <v>3556</v>
      </c>
      <c r="O1036" s="2"/>
      <c r="P1036" s="2"/>
      <c r="Q1036" s="2" t="str">
        <f>IF(SUMPRODUCT(--ISNUMBER(SEARCH('National Domains'!$A$2:$A$48,L1036)))&gt;0,"Yes","No")</f>
        <v>Yes</v>
      </c>
      <c r="R1036" s="2" t="str">
        <f>IF(COUNTIFS(Calibration!$A:$A,A1036,Calibration!$B:$B,B1036)&gt;0,"Yes","No")</f>
        <v>No</v>
      </c>
      <c r="S1036" s="6"/>
    </row>
    <row r="1037" spans="1:19" ht="34.5" customHeight="1" x14ac:dyDescent="0.2">
      <c r="A1037" s="2">
        <v>222</v>
      </c>
      <c r="B1037" s="2">
        <v>12</v>
      </c>
      <c r="C1037" s="2" t="s">
        <v>386</v>
      </c>
      <c r="D1037" s="2" t="s">
        <v>13</v>
      </c>
      <c r="E1037" s="2">
        <v>20210210</v>
      </c>
      <c r="F1037" s="2">
        <v>20210219</v>
      </c>
      <c r="G1037" s="2">
        <v>27223.200000000001</v>
      </c>
      <c r="H1037" s="2">
        <v>22686</v>
      </c>
      <c r="I1037" s="2">
        <v>262</v>
      </c>
      <c r="J1037" s="2" t="s">
        <v>387</v>
      </c>
      <c r="K1037" s="2" t="s">
        <v>388</v>
      </c>
      <c r="L1037" s="2" t="s">
        <v>3557</v>
      </c>
      <c r="M1037" s="7" t="s">
        <v>3558</v>
      </c>
      <c r="N1037" s="7" t="s">
        <v>3559</v>
      </c>
      <c r="O1037" s="2"/>
      <c r="P1037" s="2"/>
      <c r="Q1037" s="2" t="str">
        <f>IF(SUMPRODUCT(--ISNUMBER(SEARCH('National Domains'!$A$2:$A$48,L1037)))&gt;0,"Yes","No")</f>
        <v>Yes</v>
      </c>
      <c r="R1037" s="2" t="str">
        <f>IF(COUNTIFS(Calibration!$A:$A,A1037,Calibration!$B:$B,B1037)&gt;0,"Yes","No")</f>
        <v>No</v>
      </c>
      <c r="S1037" s="6"/>
    </row>
    <row r="1038" spans="1:19" ht="34.5" customHeight="1" x14ac:dyDescent="0.2">
      <c r="A1038" s="2">
        <v>222</v>
      </c>
      <c r="B1038" s="2">
        <v>13</v>
      </c>
      <c r="C1038" s="2" t="s">
        <v>386</v>
      </c>
      <c r="D1038" s="2" t="s">
        <v>13</v>
      </c>
      <c r="E1038" s="2">
        <v>20210210</v>
      </c>
      <c r="F1038" s="2">
        <v>20210219</v>
      </c>
      <c r="G1038" s="2">
        <v>27223.200000000001</v>
      </c>
      <c r="H1038" s="2">
        <v>22686</v>
      </c>
      <c r="I1038" s="2">
        <v>262</v>
      </c>
      <c r="J1038" s="2" t="s">
        <v>387</v>
      </c>
      <c r="K1038" s="2" t="s">
        <v>388</v>
      </c>
      <c r="L1038" s="2" t="s">
        <v>3560</v>
      </c>
      <c r="M1038" s="7" t="s">
        <v>3561</v>
      </c>
      <c r="N1038" s="7" t="s">
        <v>3562</v>
      </c>
      <c r="O1038" s="2"/>
      <c r="P1038" s="2"/>
      <c r="Q1038" s="2" t="str">
        <f>IF(SUMPRODUCT(--ISNUMBER(SEARCH('National Domains'!$A$2:$A$48,L1038)))&gt;0,"Yes","No")</f>
        <v>Yes</v>
      </c>
      <c r="R1038" s="2" t="str">
        <f>IF(COUNTIFS(Calibration!$A:$A,A1038,Calibration!$B:$B,B1038)&gt;0,"Yes","No")</f>
        <v>No</v>
      </c>
      <c r="S1038" s="6"/>
    </row>
    <row r="1039" spans="1:19" ht="34.5" customHeight="1" x14ac:dyDescent="0.2">
      <c r="A1039" s="2">
        <v>223</v>
      </c>
      <c r="B1039" s="2">
        <v>1</v>
      </c>
      <c r="C1039" s="2" t="s">
        <v>389</v>
      </c>
      <c r="D1039" s="2" t="s">
        <v>17</v>
      </c>
      <c r="E1039" s="2">
        <v>20210324</v>
      </c>
      <c r="F1039" s="2">
        <v>20210325</v>
      </c>
      <c r="G1039" s="2">
        <v>1995.8</v>
      </c>
      <c r="H1039" s="2">
        <v>1677</v>
      </c>
      <c r="I1039" s="2">
        <v>6</v>
      </c>
      <c r="J1039" s="2" t="s">
        <v>14</v>
      </c>
      <c r="K1039" s="2" t="s">
        <v>15</v>
      </c>
      <c r="L1039" s="2" t="s">
        <v>3563</v>
      </c>
      <c r="M1039" s="7" t="s">
        <v>3564</v>
      </c>
      <c r="N1039" s="7" t="s">
        <v>3565</v>
      </c>
      <c r="O1039" s="2"/>
      <c r="P1039" s="2"/>
      <c r="Q1039" s="2" t="str">
        <f>IF(SUMPRODUCT(--ISNUMBER(SEARCH('National Domains'!$A$2:$A$48,L1039)))&gt;0,"Yes","No")</f>
        <v>Yes</v>
      </c>
      <c r="R1039" s="2" t="str">
        <f>IF(COUNTIFS(Calibration!$A:$A,A1039,Calibration!$B:$B,B1039)&gt;0,"Yes","No")</f>
        <v>No</v>
      </c>
      <c r="S1039" s="6"/>
    </row>
    <row r="1040" spans="1:19" ht="34.5" customHeight="1" x14ac:dyDescent="0.2">
      <c r="A1040" s="2">
        <v>223</v>
      </c>
      <c r="B1040" s="2">
        <v>2</v>
      </c>
      <c r="C1040" s="2" t="s">
        <v>389</v>
      </c>
      <c r="D1040" s="2" t="s">
        <v>17</v>
      </c>
      <c r="E1040" s="2">
        <v>20210324</v>
      </c>
      <c r="F1040" s="2">
        <v>20210325</v>
      </c>
      <c r="G1040" s="2">
        <v>1995.8</v>
      </c>
      <c r="H1040" s="2">
        <v>1677</v>
      </c>
      <c r="I1040" s="2">
        <v>6</v>
      </c>
      <c r="J1040" s="2" t="s">
        <v>14</v>
      </c>
      <c r="K1040" s="2" t="s">
        <v>15</v>
      </c>
      <c r="L1040" s="2" t="s">
        <v>3566</v>
      </c>
      <c r="M1040" s="7" t="s">
        <v>741</v>
      </c>
      <c r="N1040" s="7" t="s">
        <v>3567</v>
      </c>
      <c r="O1040" s="2"/>
      <c r="P1040" s="2"/>
      <c r="Q1040" s="2" t="str">
        <f>IF(SUMPRODUCT(--ISNUMBER(SEARCH('National Domains'!$A$2:$A$48,L1040)))&gt;0,"Yes","No")</f>
        <v>Yes</v>
      </c>
      <c r="R1040" s="2" t="str">
        <f>IF(COUNTIFS(Calibration!$A:$A,A1040,Calibration!$B:$B,B1040)&gt;0,"Yes","No")</f>
        <v>No</v>
      </c>
      <c r="S1040" s="6"/>
    </row>
    <row r="1041" spans="1:19" ht="23.25" customHeight="1" x14ac:dyDescent="0.2">
      <c r="A1041" s="2">
        <v>223</v>
      </c>
      <c r="B1041" s="2">
        <v>3</v>
      </c>
      <c r="C1041" s="2" t="s">
        <v>389</v>
      </c>
      <c r="D1041" s="2" t="s">
        <v>17</v>
      </c>
      <c r="E1041" s="2">
        <v>20210324</v>
      </c>
      <c r="F1041" s="2">
        <v>20210325</v>
      </c>
      <c r="G1041" s="2">
        <v>1995.8</v>
      </c>
      <c r="H1041" s="2">
        <v>1677</v>
      </c>
      <c r="I1041" s="2">
        <v>6</v>
      </c>
      <c r="J1041" s="2" t="s">
        <v>14</v>
      </c>
      <c r="K1041" s="2" t="s">
        <v>15</v>
      </c>
      <c r="L1041" s="2" t="s">
        <v>3568</v>
      </c>
      <c r="M1041" s="7" t="s">
        <v>3569</v>
      </c>
      <c r="N1041" s="7" t="s">
        <v>3570</v>
      </c>
      <c r="O1041" s="2"/>
      <c r="P1041" s="2"/>
      <c r="Q1041" s="2" t="str">
        <f>IF(SUMPRODUCT(--ISNUMBER(SEARCH('National Domains'!$A$2:$A$48,L1041)))&gt;0,"Yes","No")</f>
        <v>Yes</v>
      </c>
      <c r="R1041" s="2" t="str">
        <f>IF(COUNTIFS(Calibration!$A:$A,A1041,Calibration!$B:$B,B1041)&gt;0,"Yes","No")</f>
        <v>No</v>
      </c>
      <c r="S1041" s="6"/>
    </row>
    <row r="1042" spans="1:19" ht="34.5" customHeight="1" x14ac:dyDescent="0.2">
      <c r="A1042" s="2">
        <v>223</v>
      </c>
      <c r="B1042" s="2">
        <v>4</v>
      </c>
      <c r="C1042" s="2" t="s">
        <v>389</v>
      </c>
      <c r="D1042" s="2" t="s">
        <v>17</v>
      </c>
      <c r="E1042" s="2">
        <v>20210324</v>
      </c>
      <c r="F1042" s="2">
        <v>20210325</v>
      </c>
      <c r="G1042" s="2">
        <v>1995.8</v>
      </c>
      <c r="H1042" s="2">
        <v>1677</v>
      </c>
      <c r="I1042" s="2">
        <v>6</v>
      </c>
      <c r="J1042" s="2" t="s">
        <v>14</v>
      </c>
      <c r="K1042" s="2" t="s">
        <v>15</v>
      </c>
      <c r="L1042" s="2" t="s">
        <v>3571</v>
      </c>
      <c r="M1042" s="7" t="s">
        <v>3572</v>
      </c>
      <c r="N1042" s="7" t="s">
        <v>3573</v>
      </c>
      <c r="O1042" s="2"/>
      <c r="P1042" s="2"/>
      <c r="Q1042" s="2" t="str">
        <f>IF(SUMPRODUCT(--ISNUMBER(SEARCH('National Domains'!$A$2:$A$48,L1042)))&gt;0,"Yes","No")</f>
        <v>Yes</v>
      </c>
      <c r="R1042" s="2" t="str">
        <f>IF(COUNTIFS(Calibration!$A:$A,A1042,Calibration!$B:$B,B1042)&gt;0,"Yes","No")</f>
        <v>No</v>
      </c>
      <c r="S1042" s="6"/>
    </row>
    <row r="1043" spans="1:19" ht="34.5" customHeight="1" x14ac:dyDescent="0.2">
      <c r="A1043" s="2">
        <v>223</v>
      </c>
      <c r="B1043" s="2">
        <v>5</v>
      </c>
      <c r="C1043" s="2" t="s">
        <v>389</v>
      </c>
      <c r="D1043" s="2" t="s">
        <v>17</v>
      </c>
      <c r="E1043" s="2">
        <v>20210324</v>
      </c>
      <c r="F1043" s="2">
        <v>20210325</v>
      </c>
      <c r="G1043" s="2">
        <v>1995.8</v>
      </c>
      <c r="H1043" s="2">
        <v>1677</v>
      </c>
      <c r="I1043" s="2">
        <v>6</v>
      </c>
      <c r="J1043" s="2" t="s">
        <v>14</v>
      </c>
      <c r="K1043" s="2" t="s">
        <v>15</v>
      </c>
      <c r="L1043" s="2" t="s">
        <v>3574</v>
      </c>
      <c r="M1043" s="7" t="s">
        <v>3575</v>
      </c>
      <c r="N1043" s="7" t="s">
        <v>3576</v>
      </c>
      <c r="O1043" s="2"/>
      <c r="P1043" s="2"/>
      <c r="Q1043" s="2" t="str">
        <f>IF(SUMPRODUCT(--ISNUMBER(SEARCH('National Domains'!$A$2:$A$48,L1043)))&gt;0,"Yes","No")</f>
        <v>Yes</v>
      </c>
      <c r="R1043" s="2" t="str">
        <f>IF(COUNTIFS(Calibration!$A:$A,A1043,Calibration!$B:$B,B1043)&gt;0,"Yes","No")</f>
        <v>No</v>
      </c>
      <c r="S1043" s="6"/>
    </row>
    <row r="1044" spans="1:19" ht="34.5" customHeight="1" x14ac:dyDescent="0.2">
      <c r="A1044" s="2">
        <v>224</v>
      </c>
      <c r="B1044" s="2">
        <v>1</v>
      </c>
      <c r="C1044" s="2" t="s">
        <v>390</v>
      </c>
      <c r="D1044" s="2" t="s">
        <v>17</v>
      </c>
      <c r="E1044" s="2">
        <v>20210327</v>
      </c>
      <c r="F1044" s="2">
        <v>20210328</v>
      </c>
      <c r="G1044" s="2">
        <v>1601.9</v>
      </c>
      <c r="H1044" s="2">
        <v>1346</v>
      </c>
      <c r="I1044" s="2">
        <v>8</v>
      </c>
      <c r="J1044" s="2" t="s">
        <v>51</v>
      </c>
      <c r="K1044" s="2" t="s">
        <v>52</v>
      </c>
      <c r="L1044" s="2" t="s">
        <v>3577</v>
      </c>
      <c r="M1044" s="7" t="s">
        <v>3578</v>
      </c>
      <c r="N1044" s="7" t="s">
        <v>3579</v>
      </c>
      <c r="O1044" s="2"/>
      <c r="P1044" s="2"/>
      <c r="Q1044" s="2" t="str">
        <f>IF(SUMPRODUCT(--ISNUMBER(SEARCH('National Domains'!$A$2:$A$48,L1044)))&gt;0,"Yes","No")</f>
        <v>No</v>
      </c>
      <c r="R1044" s="2" t="str">
        <f>IF(COUNTIFS(Calibration!$A:$A,A1044,Calibration!$B:$B,B1044)&gt;0,"Yes","No")</f>
        <v>No</v>
      </c>
      <c r="S1044" s="6"/>
    </row>
    <row r="1045" spans="1:19" ht="34.5" customHeight="1" x14ac:dyDescent="0.2">
      <c r="A1045" s="2">
        <v>224</v>
      </c>
      <c r="B1045" s="2">
        <v>2</v>
      </c>
      <c r="C1045" s="2" t="s">
        <v>390</v>
      </c>
      <c r="D1045" s="2" t="s">
        <v>17</v>
      </c>
      <c r="E1045" s="2">
        <v>20210327</v>
      </c>
      <c r="F1045" s="2">
        <v>20210328</v>
      </c>
      <c r="G1045" s="2">
        <v>1601.9</v>
      </c>
      <c r="H1045" s="2">
        <v>1346</v>
      </c>
      <c r="I1045" s="2">
        <v>8</v>
      </c>
      <c r="J1045" s="2" t="s">
        <v>51</v>
      </c>
      <c r="K1045" s="2" t="s">
        <v>52</v>
      </c>
      <c r="L1045" s="2" t="s">
        <v>3580</v>
      </c>
      <c r="M1045" s="7" t="s">
        <v>3581</v>
      </c>
      <c r="N1045" s="7" t="s">
        <v>3582</v>
      </c>
      <c r="O1045" s="2"/>
      <c r="P1045" s="2"/>
      <c r="Q1045" s="2" t="str">
        <f>IF(SUMPRODUCT(--ISNUMBER(SEARCH('National Domains'!$A$2:$A$48,L1045)))&gt;0,"Yes","No")</f>
        <v>Yes</v>
      </c>
      <c r="R1045" s="2" t="str">
        <f>IF(COUNTIFS(Calibration!$A:$A,A1045,Calibration!$B:$B,B1045)&gt;0,"Yes","No")</f>
        <v>No</v>
      </c>
      <c r="S1045" s="6"/>
    </row>
    <row r="1046" spans="1:19" ht="34.5" customHeight="1" x14ac:dyDescent="0.2">
      <c r="A1046" s="2">
        <v>224</v>
      </c>
      <c r="B1046" s="2">
        <v>3</v>
      </c>
      <c r="C1046" s="2" t="s">
        <v>390</v>
      </c>
      <c r="D1046" s="2" t="s">
        <v>17</v>
      </c>
      <c r="E1046" s="2">
        <v>20210327</v>
      </c>
      <c r="F1046" s="2">
        <v>20210328</v>
      </c>
      <c r="G1046" s="2">
        <v>1601.9</v>
      </c>
      <c r="H1046" s="2">
        <v>1346</v>
      </c>
      <c r="I1046" s="2">
        <v>8</v>
      </c>
      <c r="J1046" s="2" t="s">
        <v>51</v>
      </c>
      <c r="K1046" s="2" t="s">
        <v>52</v>
      </c>
      <c r="L1046" s="2" t="s">
        <v>3583</v>
      </c>
      <c r="M1046" s="7" t="s">
        <v>3584</v>
      </c>
      <c r="N1046" s="7" t="s">
        <v>3585</v>
      </c>
      <c r="O1046" s="2"/>
      <c r="P1046" s="2"/>
      <c r="Q1046" s="2" t="str">
        <f>IF(SUMPRODUCT(--ISNUMBER(SEARCH('National Domains'!$A$2:$A$48,L1046)))&gt;0,"Yes","No")</f>
        <v>Yes</v>
      </c>
      <c r="R1046" s="2" t="str">
        <f>IF(COUNTIFS(Calibration!$A:$A,A1046,Calibration!$B:$B,B1046)&gt;0,"Yes","No")</f>
        <v>No</v>
      </c>
      <c r="S1046" s="6"/>
    </row>
    <row r="1047" spans="1:19" ht="34.5" customHeight="1" x14ac:dyDescent="0.2">
      <c r="A1047" s="2">
        <v>225</v>
      </c>
      <c r="B1047" s="2">
        <v>1</v>
      </c>
      <c r="C1047" s="2" t="s">
        <v>391</v>
      </c>
      <c r="D1047" s="2" t="s">
        <v>17</v>
      </c>
      <c r="E1047" s="2">
        <v>20210412</v>
      </c>
      <c r="F1047" s="2">
        <v>20210415</v>
      </c>
      <c r="G1047" s="2">
        <v>1755.3</v>
      </c>
      <c r="H1047" s="2">
        <v>1475</v>
      </c>
      <c r="I1047" s="2">
        <v>0</v>
      </c>
      <c r="J1047" s="2" t="s">
        <v>125</v>
      </c>
      <c r="K1047" s="2" t="s">
        <v>41</v>
      </c>
      <c r="L1047" s="2" t="s">
        <v>3586</v>
      </c>
      <c r="M1047" s="7" t="s">
        <v>3587</v>
      </c>
      <c r="N1047" s="7" t="s">
        <v>3588</v>
      </c>
      <c r="O1047" s="2"/>
      <c r="P1047" s="2"/>
      <c r="Q1047" s="2" t="str">
        <f>IF(SUMPRODUCT(--ISNUMBER(SEARCH('National Domains'!$A$2:$A$48,L1047)))&gt;0,"Yes","No")</f>
        <v>Yes</v>
      </c>
      <c r="R1047" s="2" t="str">
        <f>IF(COUNTIFS(Calibration!$A:$A,A1047,Calibration!$B:$B,B1047)&gt;0,"Yes","No")</f>
        <v>No</v>
      </c>
      <c r="S1047" s="6"/>
    </row>
    <row r="1048" spans="1:19" ht="34.5" customHeight="1" x14ac:dyDescent="0.2">
      <c r="A1048" s="2">
        <v>226</v>
      </c>
      <c r="B1048" s="2">
        <v>1</v>
      </c>
      <c r="C1048" s="2" t="s">
        <v>392</v>
      </c>
      <c r="D1048" s="2" t="s">
        <v>17</v>
      </c>
      <c r="E1048" s="2">
        <v>20210427</v>
      </c>
      <c r="F1048" s="2">
        <v>20210428</v>
      </c>
      <c r="G1048" s="2">
        <v>3747.4</v>
      </c>
      <c r="H1048" s="2">
        <v>3149</v>
      </c>
      <c r="I1048" s="2">
        <v>0</v>
      </c>
      <c r="J1048" s="2" t="s">
        <v>258</v>
      </c>
      <c r="K1048" s="2" t="s">
        <v>41</v>
      </c>
      <c r="L1048" s="2" t="s">
        <v>3589</v>
      </c>
      <c r="M1048" s="7" t="s">
        <v>3590</v>
      </c>
      <c r="N1048" s="7" t="s">
        <v>3591</v>
      </c>
      <c r="O1048" s="2"/>
      <c r="P1048" s="2"/>
      <c r="Q1048" s="2" t="str">
        <f>IF(SUMPRODUCT(--ISNUMBER(SEARCH('National Domains'!$A$2:$A$48,L1048)))&gt;0,"Yes","No")</f>
        <v>Yes</v>
      </c>
      <c r="R1048" s="2" t="str">
        <f>IF(COUNTIFS(Calibration!$A:$A,A1048,Calibration!$B:$B,B1048)&gt;0,"Yes","No")</f>
        <v>No</v>
      </c>
      <c r="S1048" s="6"/>
    </row>
    <row r="1049" spans="1:19" ht="34.5" customHeight="1" x14ac:dyDescent="0.2">
      <c r="A1049" s="2">
        <v>226</v>
      </c>
      <c r="B1049" s="2">
        <v>2</v>
      </c>
      <c r="C1049" s="2" t="s">
        <v>392</v>
      </c>
      <c r="D1049" s="2" t="s">
        <v>17</v>
      </c>
      <c r="E1049" s="2">
        <v>20210427</v>
      </c>
      <c r="F1049" s="2">
        <v>20210428</v>
      </c>
      <c r="G1049" s="2">
        <v>3747.4</v>
      </c>
      <c r="H1049" s="2">
        <v>3149</v>
      </c>
      <c r="I1049" s="2">
        <v>0</v>
      </c>
      <c r="J1049" s="2" t="s">
        <v>258</v>
      </c>
      <c r="K1049" s="2" t="s">
        <v>41</v>
      </c>
      <c r="L1049" s="2" t="s">
        <v>3592</v>
      </c>
      <c r="M1049" s="7" t="s">
        <v>3593</v>
      </c>
      <c r="N1049" s="7" t="s">
        <v>3594</v>
      </c>
      <c r="O1049" s="2"/>
      <c r="P1049" s="2"/>
      <c r="Q1049" s="2" t="str">
        <f>IF(SUMPRODUCT(--ISNUMBER(SEARCH('National Domains'!$A$2:$A$48,L1049)))&gt;0,"Yes","No")</f>
        <v>Yes</v>
      </c>
      <c r="R1049" s="2" t="str">
        <f>IF(COUNTIFS(Calibration!$A:$A,A1049,Calibration!$B:$B,B1049)&gt;0,"Yes","No")</f>
        <v>No</v>
      </c>
      <c r="S1049" s="6"/>
    </row>
    <row r="1050" spans="1:19" ht="34.5" customHeight="1" x14ac:dyDescent="0.2">
      <c r="A1050" s="2">
        <v>226</v>
      </c>
      <c r="B1050" s="2">
        <v>3</v>
      </c>
      <c r="C1050" s="2" t="s">
        <v>392</v>
      </c>
      <c r="D1050" s="2" t="s">
        <v>17</v>
      </c>
      <c r="E1050" s="2">
        <v>20210427</v>
      </c>
      <c r="F1050" s="2">
        <v>20210428</v>
      </c>
      <c r="G1050" s="2">
        <v>3747.4</v>
      </c>
      <c r="H1050" s="2">
        <v>3149</v>
      </c>
      <c r="I1050" s="2">
        <v>0</v>
      </c>
      <c r="J1050" s="2" t="s">
        <v>258</v>
      </c>
      <c r="K1050" s="2" t="s">
        <v>41</v>
      </c>
      <c r="L1050" s="2" t="s">
        <v>3595</v>
      </c>
      <c r="M1050" s="7" t="s">
        <v>3596</v>
      </c>
      <c r="N1050" s="7" t="s">
        <v>3597</v>
      </c>
      <c r="O1050" s="2"/>
      <c r="P1050" s="2"/>
      <c r="Q1050" s="2" t="str">
        <f>IF(SUMPRODUCT(--ISNUMBER(SEARCH('National Domains'!$A$2:$A$48,L1050)))&gt;0,"Yes","No")</f>
        <v>Yes</v>
      </c>
      <c r="R1050" s="2" t="str">
        <f>IF(COUNTIFS(Calibration!$A:$A,A1050,Calibration!$B:$B,B1050)&gt;0,"Yes","No")</f>
        <v>No</v>
      </c>
      <c r="S1050" s="6"/>
    </row>
    <row r="1051" spans="1:19" ht="34.5" customHeight="1" x14ac:dyDescent="0.2">
      <c r="A1051" s="2">
        <v>226</v>
      </c>
      <c r="B1051" s="2">
        <v>4</v>
      </c>
      <c r="C1051" s="2" t="s">
        <v>392</v>
      </c>
      <c r="D1051" s="2" t="s">
        <v>17</v>
      </c>
      <c r="E1051" s="2">
        <v>20210427</v>
      </c>
      <c r="F1051" s="2">
        <v>20210428</v>
      </c>
      <c r="G1051" s="2">
        <v>3747.4</v>
      </c>
      <c r="H1051" s="2">
        <v>3149</v>
      </c>
      <c r="I1051" s="2">
        <v>0</v>
      </c>
      <c r="J1051" s="2" t="s">
        <v>258</v>
      </c>
      <c r="K1051" s="2" t="s">
        <v>41</v>
      </c>
      <c r="L1051" s="2" t="s">
        <v>3598</v>
      </c>
      <c r="M1051" s="7" t="s">
        <v>3599</v>
      </c>
      <c r="N1051" s="7" t="s">
        <v>3600</v>
      </c>
      <c r="O1051" s="2"/>
      <c r="P1051" s="2"/>
      <c r="Q1051" s="2" t="str">
        <f>IF(SUMPRODUCT(--ISNUMBER(SEARCH('National Domains'!$A$2:$A$48,L1051)))&gt;0,"Yes","No")</f>
        <v>Yes</v>
      </c>
      <c r="R1051" s="2" t="str">
        <f>IF(COUNTIFS(Calibration!$A:$A,A1051,Calibration!$B:$B,B1051)&gt;0,"Yes","No")</f>
        <v>No</v>
      </c>
      <c r="S1051" s="6"/>
    </row>
    <row r="1052" spans="1:19" ht="34.5" customHeight="1" x14ac:dyDescent="0.2">
      <c r="A1052" s="2">
        <v>226</v>
      </c>
      <c r="B1052" s="2">
        <v>5</v>
      </c>
      <c r="C1052" s="2" t="s">
        <v>392</v>
      </c>
      <c r="D1052" s="2" t="s">
        <v>17</v>
      </c>
      <c r="E1052" s="2">
        <v>20210427</v>
      </c>
      <c r="F1052" s="2">
        <v>20210428</v>
      </c>
      <c r="G1052" s="2">
        <v>3747.4</v>
      </c>
      <c r="H1052" s="2">
        <v>3149</v>
      </c>
      <c r="I1052" s="2">
        <v>0</v>
      </c>
      <c r="J1052" s="2" t="s">
        <v>258</v>
      </c>
      <c r="K1052" s="2" t="s">
        <v>41</v>
      </c>
      <c r="L1052" s="2" t="s">
        <v>3601</v>
      </c>
      <c r="M1052" s="7" t="s">
        <v>3602</v>
      </c>
      <c r="N1052" s="7" t="s">
        <v>3603</v>
      </c>
      <c r="O1052" s="2"/>
      <c r="P1052" s="2"/>
      <c r="Q1052" s="2" t="str">
        <f>IF(SUMPRODUCT(--ISNUMBER(SEARCH('National Domains'!$A$2:$A$48,L1052)))&gt;0,"Yes","No")</f>
        <v>Yes</v>
      </c>
      <c r="R1052" s="2" t="str">
        <f>IF(COUNTIFS(Calibration!$A:$A,A1052,Calibration!$B:$B,B1052)&gt;0,"Yes","No")</f>
        <v>No</v>
      </c>
      <c r="S1052" s="6"/>
    </row>
    <row r="1053" spans="1:19" ht="34.5" customHeight="1" x14ac:dyDescent="0.2">
      <c r="A1053" s="2">
        <v>226</v>
      </c>
      <c r="B1053" s="2">
        <v>6</v>
      </c>
      <c r="C1053" s="2" t="s">
        <v>392</v>
      </c>
      <c r="D1053" s="2" t="s">
        <v>17</v>
      </c>
      <c r="E1053" s="2">
        <v>20210427</v>
      </c>
      <c r="F1053" s="2">
        <v>20210428</v>
      </c>
      <c r="G1053" s="2">
        <v>3747.4</v>
      </c>
      <c r="H1053" s="2">
        <v>3149</v>
      </c>
      <c r="I1053" s="2">
        <v>0</v>
      </c>
      <c r="J1053" s="2" t="s">
        <v>258</v>
      </c>
      <c r="K1053" s="2" t="s">
        <v>41</v>
      </c>
      <c r="L1053" s="2" t="s">
        <v>3604</v>
      </c>
      <c r="M1053" s="7" t="s">
        <v>3605</v>
      </c>
      <c r="N1053" s="7" t="s">
        <v>3606</v>
      </c>
      <c r="O1053" s="2"/>
      <c r="P1053" s="2"/>
      <c r="Q1053" s="2" t="str">
        <f>IF(SUMPRODUCT(--ISNUMBER(SEARCH('National Domains'!$A$2:$A$48,L1053)))&gt;0,"Yes","No")</f>
        <v>Yes</v>
      </c>
      <c r="R1053" s="2" t="str">
        <f>IF(COUNTIFS(Calibration!$A:$A,A1053,Calibration!$B:$B,B1053)&gt;0,"Yes","No")</f>
        <v>No</v>
      </c>
      <c r="S1053" s="6"/>
    </row>
    <row r="1054" spans="1:19" ht="34.5" customHeight="1" x14ac:dyDescent="0.2">
      <c r="A1054" s="4">
        <v>227</v>
      </c>
      <c r="B1054" s="4">
        <v>1</v>
      </c>
      <c r="C1054" s="4" t="s">
        <v>393</v>
      </c>
      <c r="D1054" s="4" t="s">
        <v>17</v>
      </c>
      <c r="E1054" s="4">
        <v>20210502</v>
      </c>
      <c r="F1054" s="4">
        <v>20210504</v>
      </c>
      <c r="G1054" s="4">
        <v>1479.1</v>
      </c>
      <c r="H1054" s="4">
        <v>1264</v>
      </c>
      <c r="I1054" s="4">
        <v>4</v>
      </c>
      <c r="J1054" s="4" t="s">
        <v>134</v>
      </c>
      <c r="K1054" s="4" t="s">
        <v>19</v>
      </c>
      <c r="L1054" s="4" t="s">
        <v>3607</v>
      </c>
      <c r="M1054" s="5" t="s">
        <v>3608</v>
      </c>
      <c r="N1054" s="5" t="s">
        <v>3609</v>
      </c>
      <c r="O1054" s="4"/>
      <c r="P1054" s="4"/>
      <c r="Q1054" s="4" t="str">
        <f>IF(SUMPRODUCT(--ISNUMBER(SEARCH('National Domains'!$A$2:$A$48,L1054)))&gt;0,"Yes","No")</f>
        <v>Yes</v>
      </c>
      <c r="R1054" s="4" t="str">
        <f>IF(COUNTIFS(Calibration!$A:$A,A1054,Calibration!$B:$B,B1054)&gt;0,"Yes","No")</f>
        <v>Yes</v>
      </c>
      <c r="S1054" s="6"/>
    </row>
    <row r="1055" spans="1:19" ht="34.5" customHeight="1" x14ac:dyDescent="0.2">
      <c r="A1055" s="2">
        <v>227</v>
      </c>
      <c r="B1055" s="2">
        <v>2</v>
      </c>
      <c r="C1055" s="2" t="s">
        <v>393</v>
      </c>
      <c r="D1055" s="2" t="s">
        <v>17</v>
      </c>
      <c r="E1055" s="2">
        <v>20210502</v>
      </c>
      <c r="F1055" s="2">
        <v>20210504</v>
      </c>
      <c r="G1055" s="2">
        <v>1479.1</v>
      </c>
      <c r="H1055" s="2">
        <v>1264</v>
      </c>
      <c r="I1055" s="2">
        <v>4</v>
      </c>
      <c r="J1055" s="2" t="s">
        <v>134</v>
      </c>
      <c r="K1055" s="2" t="s">
        <v>19</v>
      </c>
      <c r="L1055" s="2" t="s">
        <v>3610</v>
      </c>
      <c r="M1055" s="7" t="s">
        <v>3611</v>
      </c>
      <c r="N1055" s="7" t="s">
        <v>3612</v>
      </c>
      <c r="O1055" s="2"/>
      <c r="P1055" s="2"/>
      <c r="Q1055" s="2" t="str">
        <f>IF(SUMPRODUCT(--ISNUMBER(SEARCH('National Domains'!$A$2:$A$48,L1055)))&gt;0,"Yes","No")</f>
        <v>Yes</v>
      </c>
      <c r="R1055" s="2" t="str">
        <f>IF(COUNTIFS(Calibration!$A:$A,A1055,Calibration!$B:$B,B1055)&gt;0,"Yes","No")</f>
        <v>No</v>
      </c>
      <c r="S1055" s="6"/>
    </row>
    <row r="1056" spans="1:19" ht="23.25" customHeight="1" x14ac:dyDescent="0.2">
      <c r="A1056" s="2">
        <v>228</v>
      </c>
      <c r="B1056" s="2">
        <v>1</v>
      </c>
      <c r="C1056" s="2" t="s">
        <v>394</v>
      </c>
      <c r="D1056" s="2" t="s">
        <v>25</v>
      </c>
      <c r="E1056" s="2">
        <v>20210517</v>
      </c>
      <c r="F1056" s="2">
        <v>20210518</v>
      </c>
      <c r="G1056" s="2">
        <v>1569.6</v>
      </c>
      <c r="H1056" s="2">
        <v>1319</v>
      </c>
      <c r="I1056" s="2">
        <v>5</v>
      </c>
      <c r="J1056" s="2" t="s">
        <v>46</v>
      </c>
      <c r="K1056" s="2" t="s">
        <v>41</v>
      </c>
      <c r="L1056" s="2" t="s">
        <v>3613</v>
      </c>
      <c r="M1056" s="7" t="s">
        <v>3614</v>
      </c>
      <c r="N1056" s="7" t="s">
        <v>3615</v>
      </c>
      <c r="O1056" s="2"/>
      <c r="P1056" s="2"/>
      <c r="Q1056" s="2" t="str">
        <f>IF(SUMPRODUCT(--ISNUMBER(SEARCH('National Domains'!$A$2:$A$48,L1056)))&gt;0,"Yes","No")</f>
        <v>Yes</v>
      </c>
      <c r="R1056" s="2" t="str">
        <f>IF(COUNTIFS(Calibration!$A:$A,A1056,Calibration!$B:$B,B1056)&gt;0,"Yes","No")</f>
        <v>No</v>
      </c>
      <c r="S1056" s="6"/>
    </row>
    <row r="1057" spans="1:19" ht="34.5" customHeight="1" x14ac:dyDescent="0.2">
      <c r="A1057" s="2">
        <v>228</v>
      </c>
      <c r="B1057" s="2">
        <v>2</v>
      </c>
      <c r="C1057" s="2" t="s">
        <v>394</v>
      </c>
      <c r="D1057" s="2" t="s">
        <v>25</v>
      </c>
      <c r="E1057" s="2">
        <v>20210517</v>
      </c>
      <c r="F1057" s="2">
        <v>20210518</v>
      </c>
      <c r="G1057" s="2">
        <v>1569.6</v>
      </c>
      <c r="H1057" s="2">
        <v>1319</v>
      </c>
      <c r="I1057" s="2">
        <v>5</v>
      </c>
      <c r="J1057" s="2" t="s">
        <v>46</v>
      </c>
      <c r="K1057" s="2" t="s">
        <v>41</v>
      </c>
      <c r="L1057" s="2" t="s">
        <v>3616</v>
      </c>
      <c r="M1057" s="7" t="s">
        <v>3617</v>
      </c>
      <c r="N1057" s="7" t="s">
        <v>3618</v>
      </c>
      <c r="O1057" s="2"/>
      <c r="P1057" s="2"/>
      <c r="Q1057" s="2" t="str">
        <f>IF(SUMPRODUCT(--ISNUMBER(SEARCH('National Domains'!$A$2:$A$48,L1057)))&gt;0,"Yes","No")</f>
        <v>Yes</v>
      </c>
      <c r="R1057" s="2" t="str">
        <f>IF(COUNTIFS(Calibration!$A:$A,A1057,Calibration!$B:$B,B1057)&gt;0,"Yes","No")</f>
        <v>No</v>
      </c>
      <c r="S1057" s="6"/>
    </row>
    <row r="1058" spans="1:19" ht="34.5" customHeight="1" x14ac:dyDescent="0.2">
      <c r="A1058" s="2">
        <v>228</v>
      </c>
      <c r="B1058" s="2">
        <v>3</v>
      </c>
      <c r="C1058" s="2" t="s">
        <v>394</v>
      </c>
      <c r="D1058" s="2" t="s">
        <v>25</v>
      </c>
      <c r="E1058" s="2">
        <v>20210517</v>
      </c>
      <c r="F1058" s="2">
        <v>20210518</v>
      </c>
      <c r="G1058" s="2">
        <v>1569.6</v>
      </c>
      <c r="H1058" s="2">
        <v>1319</v>
      </c>
      <c r="I1058" s="2">
        <v>5</v>
      </c>
      <c r="J1058" s="2" t="s">
        <v>46</v>
      </c>
      <c r="K1058" s="2" t="s">
        <v>41</v>
      </c>
      <c r="L1058" s="2" t="s">
        <v>3619</v>
      </c>
      <c r="M1058" s="7" t="s">
        <v>3620</v>
      </c>
      <c r="N1058" s="7" t="s">
        <v>3621</v>
      </c>
      <c r="O1058" s="2"/>
      <c r="P1058" s="2"/>
      <c r="Q1058" s="2" t="str">
        <f>IF(SUMPRODUCT(--ISNUMBER(SEARCH('National Domains'!$A$2:$A$48,L1058)))&gt;0,"Yes","No")</f>
        <v>Yes</v>
      </c>
      <c r="R1058" s="2" t="str">
        <f>IF(COUNTIFS(Calibration!$A:$A,A1058,Calibration!$B:$B,B1058)&gt;0,"Yes","No")</f>
        <v>No</v>
      </c>
      <c r="S1058" s="6"/>
    </row>
    <row r="1059" spans="1:19" ht="34.5" customHeight="1" x14ac:dyDescent="0.2">
      <c r="A1059" s="2">
        <v>231</v>
      </c>
      <c r="B1059" s="2">
        <v>1</v>
      </c>
      <c r="C1059" s="2" t="s">
        <v>397</v>
      </c>
      <c r="D1059" s="2" t="s">
        <v>39</v>
      </c>
      <c r="E1059" s="2">
        <v>20210707</v>
      </c>
      <c r="F1059" s="2">
        <v>20210709</v>
      </c>
      <c r="G1059" s="2">
        <v>1407.1</v>
      </c>
      <c r="H1059" s="2">
        <v>1213</v>
      </c>
      <c r="I1059" s="2">
        <v>1</v>
      </c>
      <c r="J1059" s="2" t="s">
        <v>78</v>
      </c>
      <c r="K1059" s="2" t="s">
        <v>27</v>
      </c>
      <c r="L1059" s="2" t="s">
        <v>3622</v>
      </c>
      <c r="M1059" s="7" t="s">
        <v>3623</v>
      </c>
      <c r="N1059" s="7" t="s">
        <v>3624</v>
      </c>
      <c r="O1059" s="2"/>
      <c r="P1059" s="2"/>
      <c r="Q1059" s="2" t="str">
        <f>IF(SUMPRODUCT(--ISNUMBER(SEARCH('National Domains'!$A$2:$A$48,L1059)))&gt;0,"Yes","No")</f>
        <v>No</v>
      </c>
      <c r="R1059" s="2" t="str">
        <f>IF(COUNTIFS(Calibration!$A:$A,A1059,Calibration!$B:$B,B1059)&gt;0,"Yes","No")</f>
        <v>No</v>
      </c>
      <c r="S1059" s="6"/>
    </row>
    <row r="1060" spans="1:19" ht="34.5" customHeight="1" x14ac:dyDescent="0.2">
      <c r="A1060" s="2">
        <v>231</v>
      </c>
      <c r="B1060" s="2">
        <v>2</v>
      </c>
      <c r="C1060" s="2" t="s">
        <v>397</v>
      </c>
      <c r="D1060" s="2" t="s">
        <v>39</v>
      </c>
      <c r="E1060" s="2">
        <v>20210707</v>
      </c>
      <c r="F1060" s="2">
        <v>20210709</v>
      </c>
      <c r="G1060" s="2">
        <v>1407.1</v>
      </c>
      <c r="H1060" s="2">
        <v>1213</v>
      </c>
      <c r="I1060" s="2">
        <v>1</v>
      </c>
      <c r="J1060" s="2" t="s">
        <v>78</v>
      </c>
      <c r="K1060" s="2" t="s">
        <v>27</v>
      </c>
      <c r="L1060" s="2" t="s">
        <v>3625</v>
      </c>
      <c r="M1060" s="7" t="s">
        <v>3626</v>
      </c>
      <c r="N1060" s="7" t="s">
        <v>3627</v>
      </c>
      <c r="O1060" s="2"/>
      <c r="P1060" s="2"/>
      <c r="Q1060" s="2" t="str">
        <f>IF(SUMPRODUCT(--ISNUMBER(SEARCH('National Domains'!$A$2:$A$48,L1060)))&gt;0,"Yes","No")</f>
        <v>No</v>
      </c>
      <c r="R1060" s="2" t="str">
        <f>IF(COUNTIFS(Calibration!$A:$A,A1060,Calibration!$B:$B,B1060)&gt;0,"Yes","No")</f>
        <v>No</v>
      </c>
      <c r="S1060" s="6"/>
    </row>
    <row r="1061" spans="1:19" ht="34.5" customHeight="1" x14ac:dyDescent="0.2">
      <c r="A1061" s="2">
        <v>231</v>
      </c>
      <c r="B1061" s="2">
        <v>3</v>
      </c>
      <c r="C1061" s="2" t="s">
        <v>397</v>
      </c>
      <c r="D1061" s="2" t="s">
        <v>39</v>
      </c>
      <c r="E1061" s="2">
        <v>20210707</v>
      </c>
      <c r="F1061" s="2">
        <v>20210709</v>
      </c>
      <c r="G1061" s="2">
        <v>1407.1</v>
      </c>
      <c r="H1061" s="2">
        <v>1213</v>
      </c>
      <c r="I1061" s="2">
        <v>1</v>
      </c>
      <c r="J1061" s="2" t="s">
        <v>78</v>
      </c>
      <c r="K1061" s="2" t="s">
        <v>27</v>
      </c>
      <c r="L1061" s="2" t="s">
        <v>3628</v>
      </c>
      <c r="M1061" s="7" t="s">
        <v>3629</v>
      </c>
      <c r="N1061" s="7" t="s">
        <v>3630</v>
      </c>
      <c r="O1061" s="2"/>
      <c r="P1061" s="2"/>
      <c r="Q1061" s="2" t="str">
        <f>IF(SUMPRODUCT(--ISNUMBER(SEARCH('National Domains'!$A$2:$A$48,L1061)))&gt;0,"Yes","No")</f>
        <v>No</v>
      </c>
      <c r="R1061" s="2" t="str">
        <f>IF(COUNTIFS(Calibration!$A:$A,A1061,Calibration!$B:$B,B1061)&gt;0,"Yes","No")</f>
        <v>No</v>
      </c>
      <c r="S1061" s="6"/>
    </row>
    <row r="1062" spans="1:19" ht="34.5" customHeight="1" x14ac:dyDescent="0.2">
      <c r="A1062" s="2">
        <v>231</v>
      </c>
      <c r="B1062" s="2">
        <v>4</v>
      </c>
      <c r="C1062" s="2" t="s">
        <v>397</v>
      </c>
      <c r="D1062" s="2" t="s">
        <v>39</v>
      </c>
      <c r="E1062" s="2">
        <v>20210707</v>
      </c>
      <c r="F1062" s="2">
        <v>20210709</v>
      </c>
      <c r="G1062" s="2">
        <v>1407.1</v>
      </c>
      <c r="H1062" s="2">
        <v>1213</v>
      </c>
      <c r="I1062" s="2">
        <v>1</v>
      </c>
      <c r="J1062" s="2" t="s">
        <v>78</v>
      </c>
      <c r="K1062" s="2" t="s">
        <v>27</v>
      </c>
      <c r="L1062" s="2" t="s">
        <v>3631</v>
      </c>
      <c r="M1062" s="7" t="s">
        <v>3632</v>
      </c>
      <c r="N1062" s="7" t="s">
        <v>3633</v>
      </c>
      <c r="O1062" s="2"/>
      <c r="P1062" s="2"/>
      <c r="Q1062" s="2" t="str">
        <f>IF(SUMPRODUCT(--ISNUMBER(SEARCH('National Domains'!$A$2:$A$48,L1062)))&gt;0,"Yes","No")</f>
        <v>No</v>
      </c>
      <c r="R1062" s="2" t="str">
        <f>IF(COUNTIFS(Calibration!$A:$A,A1062,Calibration!$B:$B,B1062)&gt;0,"Yes","No")</f>
        <v>No</v>
      </c>
      <c r="S1062" s="6"/>
    </row>
    <row r="1063" spans="1:19" ht="34.5" customHeight="1" x14ac:dyDescent="0.2">
      <c r="A1063" s="2">
        <v>231</v>
      </c>
      <c r="B1063" s="2">
        <v>5</v>
      </c>
      <c r="C1063" s="2" t="s">
        <v>397</v>
      </c>
      <c r="D1063" s="2" t="s">
        <v>39</v>
      </c>
      <c r="E1063" s="2">
        <v>20210707</v>
      </c>
      <c r="F1063" s="2">
        <v>20210709</v>
      </c>
      <c r="G1063" s="2">
        <v>1407.1</v>
      </c>
      <c r="H1063" s="2">
        <v>1213</v>
      </c>
      <c r="I1063" s="2">
        <v>1</v>
      </c>
      <c r="J1063" s="2" t="s">
        <v>78</v>
      </c>
      <c r="K1063" s="2" t="s">
        <v>27</v>
      </c>
      <c r="L1063" s="2" t="s">
        <v>3634</v>
      </c>
      <c r="M1063" s="7" t="s">
        <v>3635</v>
      </c>
      <c r="N1063" s="7" t="s">
        <v>3636</v>
      </c>
      <c r="O1063" s="2"/>
      <c r="P1063" s="2"/>
      <c r="Q1063" s="2" t="str">
        <f>IF(SUMPRODUCT(--ISNUMBER(SEARCH('National Domains'!$A$2:$A$48,L1063)))&gt;0,"Yes","No")</f>
        <v>No</v>
      </c>
      <c r="R1063" s="2" t="str">
        <f>IF(COUNTIFS(Calibration!$A:$A,A1063,Calibration!$B:$B,B1063)&gt;0,"Yes","No")</f>
        <v>No</v>
      </c>
      <c r="S1063" s="6"/>
    </row>
    <row r="1064" spans="1:19" ht="34.5" customHeight="1" x14ac:dyDescent="0.2">
      <c r="A1064" s="2">
        <v>231</v>
      </c>
      <c r="B1064" s="2">
        <v>6</v>
      </c>
      <c r="C1064" s="2" t="s">
        <v>397</v>
      </c>
      <c r="D1064" s="2" t="s">
        <v>39</v>
      </c>
      <c r="E1064" s="2">
        <v>20210707</v>
      </c>
      <c r="F1064" s="2">
        <v>20210709</v>
      </c>
      <c r="G1064" s="2">
        <v>1407.1</v>
      </c>
      <c r="H1064" s="2">
        <v>1213</v>
      </c>
      <c r="I1064" s="2">
        <v>1</v>
      </c>
      <c r="J1064" s="2" t="s">
        <v>78</v>
      </c>
      <c r="K1064" s="2" t="s">
        <v>27</v>
      </c>
      <c r="L1064" s="2" t="s">
        <v>3637</v>
      </c>
      <c r="M1064" s="7" t="s">
        <v>3638</v>
      </c>
      <c r="N1064" s="7" t="s">
        <v>3639</v>
      </c>
      <c r="O1064" s="2"/>
      <c r="P1064" s="2"/>
      <c r="Q1064" s="2" t="str">
        <f>IF(SUMPRODUCT(--ISNUMBER(SEARCH('National Domains'!$A$2:$A$48,L1064)))&gt;0,"Yes","No")</f>
        <v>No</v>
      </c>
      <c r="R1064" s="2" t="str">
        <f>IF(COUNTIFS(Calibration!$A:$A,A1064,Calibration!$B:$B,B1064)&gt;0,"Yes","No")</f>
        <v>No</v>
      </c>
      <c r="S1064" s="6"/>
    </row>
    <row r="1065" spans="1:19" ht="34.5" customHeight="1" x14ac:dyDescent="0.2">
      <c r="A1065" s="2">
        <v>231</v>
      </c>
      <c r="B1065" s="2">
        <v>7</v>
      </c>
      <c r="C1065" s="2" t="s">
        <v>397</v>
      </c>
      <c r="D1065" s="2" t="s">
        <v>39</v>
      </c>
      <c r="E1065" s="2">
        <v>20210707</v>
      </c>
      <c r="F1065" s="2">
        <v>20210709</v>
      </c>
      <c r="G1065" s="2">
        <v>1407.1</v>
      </c>
      <c r="H1065" s="2">
        <v>1213</v>
      </c>
      <c r="I1065" s="2">
        <v>1</v>
      </c>
      <c r="J1065" s="2" t="s">
        <v>78</v>
      </c>
      <c r="K1065" s="2" t="s">
        <v>27</v>
      </c>
      <c r="L1065" s="2" t="s">
        <v>3640</v>
      </c>
      <c r="M1065" s="7" t="s">
        <v>3641</v>
      </c>
      <c r="N1065" s="7" t="s">
        <v>3642</v>
      </c>
      <c r="O1065" s="2"/>
      <c r="P1065" s="2"/>
      <c r="Q1065" s="2" t="str">
        <f>IF(SUMPRODUCT(--ISNUMBER(SEARCH('National Domains'!$A$2:$A$48,L1065)))&gt;0,"Yes","No")</f>
        <v>No</v>
      </c>
      <c r="R1065" s="2" t="str">
        <f>IF(COUNTIFS(Calibration!$A:$A,A1065,Calibration!$B:$B,B1065)&gt;0,"Yes","No")</f>
        <v>No</v>
      </c>
      <c r="S1065" s="6"/>
    </row>
    <row r="1066" spans="1:19" ht="23.25" customHeight="1" x14ac:dyDescent="0.2">
      <c r="A1066" s="2">
        <v>231</v>
      </c>
      <c r="B1066" s="2">
        <v>8</v>
      </c>
      <c r="C1066" s="2" t="s">
        <v>397</v>
      </c>
      <c r="D1066" s="2" t="s">
        <v>39</v>
      </c>
      <c r="E1066" s="2">
        <v>20210707</v>
      </c>
      <c r="F1066" s="2">
        <v>20210709</v>
      </c>
      <c r="G1066" s="2">
        <v>1407.1</v>
      </c>
      <c r="H1066" s="2">
        <v>1213</v>
      </c>
      <c r="I1066" s="2">
        <v>1</v>
      </c>
      <c r="J1066" s="2" t="s">
        <v>78</v>
      </c>
      <c r="K1066" s="2" t="s">
        <v>27</v>
      </c>
      <c r="L1066" s="2" t="s">
        <v>3643</v>
      </c>
      <c r="M1066" s="7" t="s">
        <v>3644</v>
      </c>
      <c r="N1066" s="7" t="s">
        <v>3645</v>
      </c>
      <c r="O1066" s="2"/>
      <c r="P1066" s="2"/>
      <c r="Q1066" s="2" t="str">
        <f>IF(SUMPRODUCT(--ISNUMBER(SEARCH('National Domains'!$A$2:$A$48,L1066)))&gt;0,"Yes","No")</f>
        <v>No</v>
      </c>
      <c r="R1066" s="2" t="str">
        <f>IF(COUNTIFS(Calibration!$A:$A,A1066,Calibration!$B:$B,B1066)&gt;0,"Yes","No")</f>
        <v>No</v>
      </c>
      <c r="S1066" s="6"/>
    </row>
    <row r="1067" spans="1:19" ht="34.5" customHeight="1" x14ac:dyDescent="0.2">
      <c r="A1067" s="2">
        <v>231</v>
      </c>
      <c r="B1067" s="2">
        <v>9</v>
      </c>
      <c r="C1067" s="2" t="s">
        <v>397</v>
      </c>
      <c r="D1067" s="2" t="s">
        <v>39</v>
      </c>
      <c r="E1067" s="2">
        <v>20210707</v>
      </c>
      <c r="F1067" s="2">
        <v>20210709</v>
      </c>
      <c r="G1067" s="2">
        <v>1407.1</v>
      </c>
      <c r="H1067" s="2">
        <v>1213</v>
      </c>
      <c r="I1067" s="2">
        <v>1</v>
      </c>
      <c r="J1067" s="2" t="s">
        <v>78</v>
      </c>
      <c r="K1067" s="2" t="s">
        <v>27</v>
      </c>
      <c r="L1067" s="2" t="s">
        <v>3646</v>
      </c>
      <c r="M1067" s="7" t="s">
        <v>3647</v>
      </c>
      <c r="N1067" s="7" t="s">
        <v>3648</v>
      </c>
      <c r="O1067" s="2"/>
      <c r="P1067" s="2"/>
      <c r="Q1067" s="2" t="str">
        <f>IF(SUMPRODUCT(--ISNUMBER(SEARCH('National Domains'!$A$2:$A$48,L1067)))&gt;0,"Yes","No")</f>
        <v>No</v>
      </c>
      <c r="R1067" s="2" t="str">
        <f>IF(COUNTIFS(Calibration!$A:$A,A1067,Calibration!$B:$B,B1067)&gt;0,"Yes","No")</f>
        <v>No</v>
      </c>
      <c r="S1067" s="6"/>
    </row>
    <row r="1068" spans="1:19" ht="34.5" customHeight="1" x14ac:dyDescent="0.2">
      <c r="A1068" s="2">
        <v>231</v>
      </c>
      <c r="B1068" s="2">
        <v>10</v>
      </c>
      <c r="C1068" s="2" t="s">
        <v>397</v>
      </c>
      <c r="D1068" s="2" t="s">
        <v>39</v>
      </c>
      <c r="E1068" s="2">
        <v>20210707</v>
      </c>
      <c r="F1068" s="2">
        <v>20210709</v>
      </c>
      <c r="G1068" s="2">
        <v>1407.1</v>
      </c>
      <c r="H1068" s="2">
        <v>1213</v>
      </c>
      <c r="I1068" s="2">
        <v>1</v>
      </c>
      <c r="J1068" s="2" t="s">
        <v>78</v>
      </c>
      <c r="K1068" s="2" t="s">
        <v>27</v>
      </c>
      <c r="L1068" s="2" t="s">
        <v>3649</v>
      </c>
      <c r="M1068" s="7" t="s">
        <v>3650</v>
      </c>
      <c r="N1068" s="7" t="s">
        <v>3651</v>
      </c>
      <c r="O1068" s="2"/>
      <c r="P1068" s="2"/>
      <c r="Q1068" s="2" t="str">
        <f>IF(SUMPRODUCT(--ISNUMBER(SEARCH('National Domains'!$A$2:$A$48,L1068)))&gt;0,"Yes","No")</f>
        <v>No</v>
      </c>
      <c r="R1068" s="2" t="str">
        <f>IF(COUNTIFS(Calibration!$A:$A,A1068,Calibration!$B:$B,B1068)&gt;0,"Yes","No")</f>
        <v>No</v>
      </c>
      <c r="S1068" s="6"/>
    </row>
    <row r="1069" spans="1:19" ht="34.5" customHeight="1" x14ac:dyDescent="0.2">
      <c r="A1069" s="2">
        <v>231</v>
      </c>
      <c r="B1069" s="2">
        <v>11</v>
      </c>
      <c r="C1069" s="2" t="s">
        <v>397</v>
      </c>
      <c r="D1069" s="2" t="s">
        <v>39</v>
      </c>
      <c r="E1069" s="2">
        <v>20210707</v>
      </c>
      <c r="F1069" s="2">
        <v>20210709</v>
      </c>
      <c r="G1069" s="2">
        <v>1407.1</v>
      </c>
      <c r="H1069" s="2">
        <v>1213</v>
      </c>
      <c r="I1069" s="2">
        <v>1</v>
      </c>
      <c r="J1069" s="2" t="s">
        <v>78</v>
      </c>
      <c r="K1069" s="2" t="s">
        <v>27</v>
      </c>
      <c r="L1069" s="2" t="s">
        <v>3652</v>
      </c>
      <c r="M1069" s="7" t="s">
        <v>3653</v>
      </c>
      <c r="N1069" s="7" t="s">
        <v>3654</v>
      </c>
      <c r="O1069" s="2"/>
      <c r="P1069" s="2"/>
      <c r="Q1069" s="2" t="str">
        <f>IF(SUMPRODUCT(--ISNUMBER(SEARCH('National Domains'!$A$2:$A$48,L1069)))&gt;0,"Yes","No")</f>
        <v>No</v>
      </c>
      <c r="R1069" s="2" t="str">
        <f>IF(COUNTIFS(Calibration!$A:$A,A1069,Calibration!$B:$B,B1069)&gt;0,"Yes","No")</f>
        <v>No</v>
      </c>
      <c r="S1069" s="6"/>
    </row>
    <row r="1070" spans="1:19" ht="34.5" customHeight="1" x14ac:dyDescent="0.2">
      <c r="A1070" s="2">
        <v>231</v>
      </c>
      <c r="B1070" s="2">
        <v>12</v>
      </c>
      <c r="C1070" s="2" t="s">
        <v>397</v>
      </c>
      <c r="D1070" s="2" t="s">
        <v>39</v>
      </c>
      <c r="E1070" s="2">
        <v>20210707</v>
      </c>
      <c r="F1070" s="2">
        <v>20210709</v>
      </c>
      <c r="G1070" s="2">
        <v>1407.1</v>
      </c>
      <c r="H1070" s="2">
        <v>1213</v>
      </c>
      <c r="I1070" s="2">
        <v>1</v>
      </c>
      <c r="J1070" s="2" t="s">
        <v>78</v>
      </c>
      <c r="K1070" s="2" t="s">
        <v>27</v>
      </c>
      <c r="L1070" s="2" t="s">
        <v>3655</v>
      </c>
      <c r="M1070" s="7" t="s">
        <v>3656</v>
      </c>
      <c r="N1070" s="7" t="s">
        <v>3657</v>
      </c>
      <c r="O1070" s="2"/>
      <c r="P1070" s="2"/>
      <c r="Q1070" s="2" t="str">
        <f>IF(SUMPRODUCT(--ISNUMBER(SEARCH('National Domains'!$A$2:$A$48,L1070)))&gt;0,"Yes","No")</f>
        <v>No</v>
      </c>
      <c r="R1070" s="2" t="str">
        <f>IF(COUNTIFS(Calibration!$A:$A,A1070,Calibration!$B:$B,B1070)&gt;0,"Yes","No")</f>
        <v>No</v>
      </c>
      <c r="S1070" s="6"/>
    </row>
    <row r="1071" spans="1:19" ht="34.5" customHeight="1" x14ac:dyDescent="0.2">
      <c r="A1071" s="2">
        <v>231</v>
      </c>
      <c r="B1071" s="2">
        <v>13</v>
      </c>
      <c r="C1071" s="2" t="s">
        <v>397</v>
      </c>
      <c r="D1071" s="2" t="s">
        <v>39</v>
      </c>
      <c r="E1071" s="2">
        <v>20210707</v>
      </c>
      <c r="F1071" s="2">
        <v>20210709</v>
      </c>
      <c r="G1071" s="2">
        <v>1407.1</v>
      </c>
      <c r="H1071" s="2">
        <v>1213</v>
      </c>
      <c r="I1071" s="2">
        <v>1</v>
      </c>
      <c r="J1071" s="2" t="s">
        <v>78</v>
      </c>
      <c r="K1071" s="2" t="s">
        <v>27</v>
      </c>
      <c r="L1071" s="2" t="s">
        <v>3658</v>
      </c>
      <c r="M1071" s="7" t="s">
        <v>3659</v>
      </c>
      <c r="N1071" s="7" t="s">
        <v>3660</v>
      </c>
      <c r="O1071" s="2"/>
      <c r="P1071" s="2"/>
      <c r="Q1071" s="2" t="str">
        <f>IF(SUMPRODUCT(--ISNUMBER(SEARCH('National Domains'!$A$2:$A$48,L1071)))&gt;0,"Yes","No")</f>
        <v>Yes</v>
      </c>
      <c r="R1071" s="2" t="str">
        <f>IF(COUNTIFS(Calibration!$A:$A,A1071,Calibration!$B:$B,B1071)&gt;0,"Yes","No")</f>
        <v>No</v>
      </c>
      <c r="S1071" s="6"/>
    </row>
    <row r="1072" spans="1:19" ht="34.5" customHeight="1" x14ac:dyDescent="0.2">
      <c r="A1072" s="2">
        <v>231</v>
      </c>
      <c r="B1072" s="2">
        <v>14</v>
      </c>
      <c r="C1072" s="2" t="s">
        <v>397</v>
      </c>
      <c r="D1072" s="2" t="s">
        <v>39</v>
      </c>
      <c r="E1072" s="2">
        <v>20210707</v>
      </c>
      <c r="F1072" s="2">
        <v>20210709</v>
      </c>
      <c r="G1072" s="2">
        <v>1407.1</v>
      </c>
      <c r="H1072" s="2">
        <v>1213</v>
      </c>
      <c r="I1072" s="2">
        <v>1</v>
      </c>
      <c r="J1072" s="2" t="s">
        <v>78</v>
      </c>
      <c r="K1072" s="2" t="s">
        <v>27</v>
      </c>
      <c r="L1072" s="2" t="s">
        <v>3661</v>
      </c>
      <c r="M1072" s="7" t="s">
        <v>3662</v>
      </c>
      <c r="N1072" s="7" t="s">
        <v>3663</v>
      </c>
      <c r="O1072" s="2"/>
      <c r="P1072" s="2"/>
      <c r="Q1072" s="2" t="str">
        <f>IF(SUMPRODUCT(--ISNUMBER(SEARCH('National Domains'!$A$2:$A$48,L1072)))&gt;0,"Yes","No")</f>
        <v>Yes</v>
      </c>
      <c r="R1072" s="2" t="str">
        <f>IF(COUNTIFS(Calibration!$A:$A,A1072,Calibration!$B:$B,B1072)&gt;0,"Yes","No")</f>
        <v>No</v>
      </c>
      <c r="S1072" s="6"/>
    </row>
    <row r="1073" spans="1:19" ht="34.5" customHeight="1" x14ac:dyDescent="0.2">
      <c r="A1073" s="2">
        <v>231</v>
      </c>
      <c r="B1073" s="2">
        <v>15</v>
      </c>
      <c r="C1073" s="2" t="s">
        <v>397</v>
      </c>
      <c r="D1073" s="2" t="s">
        <v>39</v>
      </c>
      <c r="E1073" s="2">
        <v>20210707</v>
      </c>
      <c r="F1073" s="2">
        <v>20210709</v>
      </c>
      <c r="G1073" s="2">
        <v>1407.1</v>
      </c>
      <c r="H1073" s="2">
        <v>1213</v>
      </c>
      <c r="I1073" s="2">
        <v>1</v>
      </c>
      <c r="J1073" s="2" t="s">
        <v>78</v>
      </c>
      <c r="K1073" s="2" t="s">
        <v>27</v>
      </c>
      <c r="L1073" s="2" t="s">
        <v>3664</v>
      </c>
      <c r="M1073" s="7" t="s">
        <v>3665</v>
      </c>
      <c r="N1073" s="7" t="s">
        <v>3666</v>
      </c>
      <c r="O1073" s="2"/>
      <c r="P1073" s="2"/>
      <c r="Q1073" s="2" t="str">
        <f>IF(SUMPRODUCT(--ISNUMBER(SEARCH('National Domains'!$A$2:$A$48,L1073)))&gt;0,"Yes","No")</f>
        <v>Yes</v>
      </c>
      <c r="R1073" s="2" t="str">
        <f>IF(COUNTIFS(Calibration!$A:$A,A1073,Calibration!$B:$B,B1073)&gt;0,"Yes","No")</f>
        <v>No</v>
      </c>
      <c r="S1073" s="6"/>
    </row>
    <row r="1074" spans="1:19" ht="34.5" customHeight="1" x14ac:dyDescent="0.2">
      <c r="A1074" s="2">
        <v>231</v>
      </c>
      <c r="B1074" s="2">
        <v>16</v>
      </c>
      <c r="C1074" s="2" t="s">
        <v>397</v>
      </c>
      <c r="D1074" s="2" t="s">
        <v>39</v>
      </c>
      <c r="E1074" s="2">
        <v>20210707</v>
      </c>
      <c r="F1074" s="2">
        <v>20210709</v>
      </c>
      <c r="G1074" s="2">
        <v>1407.1</v>
      </c>
      <c r="H1074" s="2">
        <v>1213</v>
      </c>
      <c r="I1074" s="2">
        <v>1</v>
      </c>
      <c r="J1074" s="2" t="s">
        <v>78</v>
      </c>
      <c r="K1074" s="2" t="s">
        <v>27</v>
      </c>
      <c r="L1074" s="2" t="s">
        <v>3667</v>
      </c>
      <c r="M1074" s="7" t="s">
        <v>3668</v>
      </c>
      <c r="N1074" s="7" t="s">
        <v>3669</v>
      </c>
      <c r="O1074" s="2"/>
      <c r="P1074" s="2"/>
      <c r="Q1074" s="2" t="str">
        <f>IF(SUMPRODUCT(--ISNUMBER(SEARCH('National Domains'!$A$2:$A$48,L1074)))&gt;0,"Yes","No")</f>
        <v>Yes</v>
      </c>
      <c r="R1074" s="2" t="str">
        <f>IF(COUNTIFS(Calibration!$A:$A,A1074,Calibration!$B:$B,B1074)&gt;0,"Yes","No")</f>
        <v>No</v>
      </c>
      <c r="S1074" s="6"/>
    </row>
    <row r="1075" spans="1:19" ht="34.5" customHeight="1" x14ac:dyDescent="0.2">
      <c r="A1075" s="2">
        <v>231</v>
      </c>
      <c r="B1075" s="2">
        <v>17</v>
      </c>
      <c r="C1075" s="2" t="s">
        <v>397</v>
      </c>
      <c r="D1075" s="2" t="s">
        <v>39</v>
      </c>
      <c r="E1075" s="2">
        <v>20210707</v>
      </c>
      <c r="F1075" s="2">
        <v>20210709</v>
      </c>
      <c r="G1075" s="2">
        <v>1407.1</v>
      </c>
      <c r="H1075" s="2">
        <v>1213</v>
      </c>
      <c r="I1075" s="2">
        <v>1</v>
      </c>
      <c r="J1075" s="2" t="s">
        <v>78</v>
      </c>
      <c r="K1075" s="2" t="s">
        <v>27</v>
      </c>
      <c r="L1075" s="2" t="s">
        <v>3670</v>
      </c>
      <c r="M1075" s="7" t="s">
        <v>3671</v>
      </c>
      <c r="N1075" s="7" t="s">
        <v>3672</v>
      </c>
      <c r="O1075" s="2"/>
      <c r="P1075" s="2"/>
      <c r="Q1075" s="2" t="str">
        <f>IF(SUMPRODUCT(--ISNUMBER(SEARCH('National Domains'!$A$2:$A$48,L1075)))&gt;0,"Yes","No")</f>
        <v>Yes</v>
      </c>
      <c r="R1075" s="2" t="str">
        <f>IF(COUNTIFS(Calibration!$A:$A,A1075,Calibration!$B:$B,B1075)&gt;0,"Yes","No")</f>
        <v>No</v>
      </c>
      <c r="S1075" s="6"/>
    </row>
    <row r="1076" spans="1:19" ht="34.5" customHeight="1" x14ac:dyDescent="0.2">
      <c r="A1076" s="2">
        <v>231</v>
      </c>
      <c r="B1076" s="2">
        <v>18</v>
      </c>
      <c r="C1076" s="2" t="s">
        <v>397</v>
      </c>
      <c r="D1076" s="2" t="s">
        <v>39</v>
      </c>
      <c r="E1076" s="2">
        <v>20210707</v>
      </c>
      <c r="F1076" s="2">
        <v>20210709</v>
      </c>
      <c r="G1076" s="2">
        <v>1407.1</v>
      </c>
      <c r="H1076" s="2">
        <v>1213</v>
      </c>
      <c r="I1076" s="2">
        <v>1</v>
      </c>
      <c r="J1076" s="2" t="s">
        <v>78</v>
      </c>
      <c r="K1076" s="2" t="s">
        <v>27</v>
      </c>
      <c r="L1076" s="2" t="s">
        <v>3673</v>
      </c>
      <c r="M1076" s="7" t="s">
        <v>3674</v>
      </c>
      <c r="N1076" s="7" t="s">
        <v>3675</v>
      </c>
      <c r="O1076" s="2"/>
      <c r="P1076" s="2"/>
      <c r="Q1076" s="2" t="str">
        <f>IF(SUMPRODUCT(--ISNUMBER(SEARCH('National Domains'!$A$2:$A$48,L1076)))&gt;0,"Yes","No")</f>
        <v>Yes</v>
      </c>
      <c r="R1076" s="2" t="str">
        <f>IF(COUNTIFS(Calibration!$A:$A,A1076,Calibration!$B:$B,B1076)&gt;0,"Yes","No")</f>
        <v>No</v>
      </c>
      <c r="S1076" s="6"/>
    </row>
    <row r="1077" spans="1:19" ht="34.5" customHeight="1" x14ac:dyDescent="0.2">
      <c r="A1077" s="2">
        <v>231</v>
      </c>
      <c r="B1077" s="2">
        <v>19</v>
      </c>
      <c r="C1077" s="2" t="s">
        <v>397</v>
      </c>
      <c r="D1077" s="2" t="s">
        <v>39</v>
      </c>
      <c r="E1077" s="2">
        <v>20210707</v>
      </c>
      <c r="F1077" s="2">
        <v>20210709</v>
      </c>
      <c r="G1077" s="2">
        <v>1407.1</v>
      </c>
      <c r="H1077" s="2">
        <v>1213</v>
      </c>
      <c r="I1077" s="2">
        <v>1</v>
      </c>
      <c r="J1077" s="2" t="s">
        <v>78</v>
      </c>
      <c r="K1077" s="2" t="s">
        <v>27</v>
      </c>
      <c r="L1077" s="2" t="s">
        <v>3676</v>
      </c>
      <c r="M1077" s="7" t="s">
        <v>3677</v>
      </c>
      <c r="N1077" s="7" t="s">
        <v>3678</v>
      </c>
      <c r="O1077" s="2"/>
      <c r="P1077" s="2"/>
      <c r="Q1077" s="2" t="str">
        <f>IF(SUMPRODUCT(--ISNUMBER(SEARCH('National Domains'!$A$2:$A$48,L1077)))&gt;0,"Yes","No")</f>
        <v>Yes</v>
      </c>
      <c r="R1077" s="2" t="str">
        <f>IF(COUNTIFS(Calibration!$A:$A,A1077,Calibration!$B:$B,B1077)&gt;0,"Yes","No")</f>
        <v>No</v>
      </c>
      <c r="S1077" s="6"/>
    </row>
    <row r="1078" spans="1:19" ht="34.5" customHeight="1" x14ac:dyDescent="0.2">
      <c r="A1078" s="2">
        <v>231</v>
      </c>
      <c r="B1078" s="2">
        <v>20</v>
      </c>
      <c r="C1078" s="2" t="s">
        <v>397</v>
      </c>
      <c r="D1078" s="2" t="s">
        <v>39</v>
      </c>
      <c r="E1078" s="2">
        <v>20210707</v>
      </c>
      <c r="F1078" s="2">
        <v>20210709</v>
      </c>
      <c r="G1078" s="2">
        <v>1407.1</v>
      </c>
      <c r="H1078" s="2">
        <v>1213</v>
      </c>
      <c r="I1078" s="2">
        <v>1</v>
      </c>
      <c r="J1078" s="2" t="s">
        <v>78</v>
      </c>
      <c r="K1078" s="2" t="s">
        <v>27</v>
      </c>
      <c r="L1078" s="2" t="s">
        <v>3679</v>
      </c>
      <c r="M1078" s="7" t="s">
        <v>3680</v>
      </c>
      <c r="N1078" s="7" t="s">
        <v>3681</v>
      </c>
      <c r="O1078" s="2"/>
      <c r="P1078" s="2"/>
      <c r="Q1078" s="2" t="str">
        <f>IF(SUMPRODUCT(--ISNUMBER(SEARCH('National Domains'!$A$2:$A$48,L1078)))&gt;0,"Yes","No")</f>
        <v>No</v>
      </c>
      <c r="R1078" s="2" t="str">
        <f>IF(COUNTIFS(Calibration!$A:$A,A1078,Calibration!$B:$B,B1078)&gt;0,"Yes","No")</f>
        <v>No</v>
      </c>
      <c r="S1078" s="6"/>
    </row>
    <row r="1079" spans="1:19" ht="34.5" customHeight="1" x14ac:dyDescent="0.2">
      <c r="A1079" s="2">
        <v>233</v>
      </c>
      <c r="B1079" s="2">
        <v>1</v>
      </c>
      <c r="C1079" s="2" t="s">
        <v>399</v>
      </c>
      <c r="D1079" s="2" t="s">
        <v>17</v>
      </c>
      <c r="E1079" s="2">
        <v>20210810</v>
      </c>
      <c r="F1079" s="2">
        <v>20210813</v>
      </c>
      <c r="G1079" s="2">
        <v>1489.5</v>
      </c>
      <c r="H1079" s="2">
        <v>1284</v>
      </c>
      <c r="I1079" s="2">
        <v>2</v>
      </c>
      <c r="J1079" s="2" t="s">
        <v>36</v>
      </c>
      <c r="K1079" s="2" t="s">
        <v>37</v>
      </c>
      <c r="L1079" s="2" t="s">
        <v>3682</v>
      </c>
      <c r="M1079" s="7" t="s">
        <v>3683</v>
      </c>
      <c r="N1079" s="7" t="s">
        <v>3684</v>
      </c>
      <c r="O1079" s="2"/>
      <c r="P1079" s="2"/>
      <c r="Q1079" s="2" t="str">
        <f>IF(SUMPRODUCT(--ISNUMBER(SEARCH('National Domains'!$A$2:$A$48,L1079)))&gt;0,"Yes","No")</f>
        <v>Yes</v>
      </c>
      <c r="R1079" s="2" t="str">
        <f>IF(COUNTIFS(Calibration!$A:$A,A1079,Calibration!$B:$B,B1079)&gt;0,"Yes","No")</f>
        <v>No</v>
      </c>
      <c r="S1079" s="6"/>
    </row>
    <row r="1080" spans="1:19" ht="34.5" customHeight="1" x14ac:dyDescent="0.2">
      <c r="A1080" s="2">
        <v>234</v>
      </c>
      <c r="B1080" s="2">
        <v>1</v>
      </c>
      <c r="C1080" s="2" t="s">
        <v>400</v>
      </c>
      <c r="D1080" s="2" t="s">
        <v>39</v>
      </c>
      <c r="E1080" s="2">
        <v>20210816</v>
      </c>
      <c r="F1080" s="2">
        <v>20210818</v>
      </c>
      <c r="G1080" s="2">
        <v>1481.3</v>
      </c>
      <c r="H1080" s="2">
        <v>1277</v>
      </c>
      <c r="I1080" s="2">
        <v>7</v>
      </c>
      <c r="J1080" s="2" t="s">
        <v>401</v>
      </c>
      <c r="K1080" s="2" t="s">
        <v>15</v>
      </c>
      <c r="L1080" s="2" t="s">
        <v>3685</v>
      </c>
      <c r="M1080" s="7" t="s">
        <v>3686</v>
      </c>
      <c r="N1080" s="7" t="s">
        <v>3687</v>
      </c>
      <c r="O1080" s="2"/>
      <c r="P1080" s="2"/>
      <c r="Q1080" s="2" t="str">
        <f>IF(SUMPRODUCT(--ISNUMBER(SEARCH('National Domains'!$A$2:$A$48,L1080)))&gt;0,"Yes","No")</f>
        <v>No</v>
      </c>
      <c r="R1080" s="2" t="str">
        <f>IF(COUNTIFS(Calibration!$A:$A,A1080,Calibration!$B:$B,B1080)&gt;0,"Yes","No")</f>
        <v>No</v>
      </c>
      <c r="S1080" s="6"/>
    </row>
    <row r="1081" spans="1:19" ht="34.5" customHeight="1" x14ac:dyDescent="0.2">
      <c r="A1081" s="2">
        <v>234</v>
      </c>
      <c r="B1081" s="2">
        <v>2</v>
      </c>
      <c r="C1081" s="2" t="s">
        <v>400</v>
      </c>
      <c r="D1081" s="2" t="s">
        <v>39</v>
      </c>
      <c r="E1081" s="2">
        <v>20210816</v>
      </c>
      <c r="F1081" s="2">
        <v>20210818</v>
      </c>
      <c r="G1081" s="2">
        <v>1481.3</v>
      </c>
      <c r="H1081" s="2">
        <v>1277</v>
      </c>
      <c r="I1081" s="2">
        <v>7</v>
      </c>
      <c r="J1081" s="2" t="s">
        <v>401</v>
      </c>
      <c r="K1081" s="2" t="s">
        <v>15</v>
      </c>
      <c r="L1081" s="2" t="s">
        <v>3688</v>
      </c>
      <c r="M1081" s="7" t="s">
        <v>3689</v>
      </c>
      <c r="N1081" s="7" t="s">
        <v>3690</v>
      </c>
      <c r="O1081" s="2"/>
      <c r="P1081" s="2"/>
      <c r="Q1081" s="2" t="str">
        <f>IF(SUMPRODUCT(--ISNUMBER(SEARCH('National Domains'!$A$2:$A$48,L1081)))&gt;0,"Yes","No")</f>
        <v>No</v>
      </c>
      <c r="R1081" s="2" t="str">
        <f>IF(COUNTIFS(Calibration!$A:$A,A1081,Calibration!$B:$B,B1081)&gt;0,"Yes","No")</f>
        <v>No</v>
      </c>
      <c r="S1081" s="6"/>
    </row>
    <row r="1082" spans="1:19" ht="34.5" customHeight="1" x14ac:dyDescent="0.2">
      <c r="A1082" s="2">
        <v>234</v>
      </c>
      <c r="B1082" s="2">
        <v>3</v>
      </c>
      <c r="C1082" s="2" t="s">
        <v>400</v>
      </c>
      <c r="D1082" s="2" t="s">
        <v>39</v>
      </c>
      <c r="E1082" s="2">
        <v>20210816</v>
      </c>
      <c r="F1082" s="2">
        <v>20210818</v>
      </c>
      <c r="G1082" s="2">
        <v>1481.3</v>
      </c>
      <c r="H1082" s="2">
        <v>1277</v>
      </c>
      <c r="I1082" s="2">
        <v>7</v>
      </c>
      <c r="J1082" s="2" t="s">
        <v>401</v>
      </c>
      <c r="K1082" s="2" t="s">
        <v>15</v>
      </c>
      <c r="L1082" s="2" t="s">
        <v>3691</v>
      </c>
      <c r="M1082" s="7" t="s">
        <v>3692</v>
      </c>
      <c r="N1082" s="7" t="s">
        <v>3693</v>
      </c>
      <c r="O1082" s="2"/>
      <c r="P1082" s="2"/>
      <c r="Q1082" s="2" t="str">
        <f>IF(SUMPRODUCT(--ISNUMBER(SEARCH('National Domains'!$A$2:$A$48,L1082)))&gt;0,"Yes","No")</f>
        <v>Yes</v>
      </c>
      <c r="R1082" s="2" t="str">
        <f>IF(COUNTIFS(Calibration!$A:$A,A1082,Calibration!$B:$B,B1082)&gt;0,"Yes","No")</f>
        <v>No</v>
      </c>
      <c r="S1082" s="6"/>
    </row>
    <row r="1083" spans="1:19" ht="34.5" customHeight="1" x14ac:dyDescent="0.2">
      <c r="A1083" s="2">
        <v>234</v>
      </c>
      <c r="B1083" s="2">
        <v>4</v>
      </c>
      <c r="C1083" s="2" t="s">
        <v>400</v>
      </c>
      <c r="D1083" s="2" t="s">
        <v>39</v>
      </c>
      <c r="E1083" s="2">
        <v>20210816</v>
      </c>
      <c r="F1083" s="2">
        <v>20210818</v>
      </c>
      <c r="G1083" s="2">
        <v>1481.3</v>
      </c>
      <c r="H1083" s="2">
        <v>1277</v>
      </c>
      <c r="I1083" s="2">
        <v>7</v>
      </c>
      <c r="J1083" s="2" t="s">
        <v>401</v>
      </c>
      <c r="K1083" s="2" t="s">
        <v>15</v>
      </c>
      <c r="L1083" s="2" t="s">
        <v>3694</v>
      </c>
      <c r="M1083" s="7" t="s">
        <v>3695</v>
      </c>
      <c r="N1083" s="7" t="s">
        <v>3696</v>
      </c>
      <c r="O1083" s="2"/>
      <c r="P1083" s="2"/>
      <c r="Q1083" s="2" t="str">
        <f>IF(SUMPRODUCT(--ISNUMBER(SEARCH('National Domains'!$A$2:$A$48,L1083)))&gt;0,"Yes","No")</f>
        <v>Yes</v>
      </c>
      <c r="R1083" s="2" t="str">
        <f>IF(COUNTIFS(Calibration!$A:$A,A1083,Calibration!$B:$B,B1083)&gt;0,"Yes","No")</f>
        <v>No</v>
      </c>
      <c r="S1083" s="6"/>
    </row>
    <row r="1084" spans="1:19" ht="34.5" customHeight="1" x14ac:dyDescent="0.2">
      <c r="A1084" s="2">
        <v>234</v>
      </c>
      <c r="B1084" s="2">
        <v>5</v>
      </c>
      <c r="C1084" s="2" t="s">
        <v>400</v>
      </c>
      <c r="D1084" s="2" t="s">
        <v>39</v>
      </c>
      <c r="E1084" s="2">
        <v>20210816</v>
      </c>
      <c r="F1084" s="2">
        <v>20210818</v>
      </c>
      <c r="G1084" s="2">
        <v>1481.3</v>
      </c>
      <c r="H1084" s="2">
        <v>1277</v>
      </c>
      <c r="I1084" s="2">
        <v>7</v>
      </c>
      <c r="J1084" s="2" t="s">
        <v>401</v>
      </c>
      <c r="K1084" s="2" t="s">
        <v>15</v>
      </c>
      <c r="L1084" s="2" t="s">
        <v>3697</v>
      </c>
      <c r="M1084" s="7" t="s">
        <v>3698</v>
      </c>
      <c r="N1084" s="7" t="s">
        <v>3699</v>
      </c>
      <c r="O1084" s="2"/>
      <c r="P1084" s="2"/>
      <c r="Q1084" s="2" t="str">
        <f>IF(SUMPRODUCT(--ISNUMBER(SEARCH('National Domains'!$A$2:$A$48,L1084)))&gt;0,"Yes","No")</f>
        <v>No</v>
      </c>
      <c r="R1084" s="2" t="str">
        <f>IF(COUNTIFS(Calibration!$A:$A,A1084,Calibration!$B:$B,B1084)&gt;0,"Yes","No")</f>
        <v>No</v>
      </c>
      <c r="S1084" s="6"/>
    </row>
    <row r="1085" spans="1:19" ht="34.5" customHeight="1" x14ac:dyDescent="0.2">
      <c r="A1085" s="2">
        <v>235</v>
      </c>
      <c r="B1085" s="2">
        <v>1</v>
      </c>
      <c r="C1085" s="2" t="s">
        <v>402</v>
      </c>
      <c r="D1085" s="2" t="s">
        <v>39</v>
      </c>
      <c r="E1085" s="2">
        <v>20210829</v>
      </c>
      <c r="F1085" s="2">
        <v>20210901</v>
      </c>
      <c r="G1085" s="2">
        <v>84608.1</v>
      </c>
      <c r="H1085" s="2">
        <v>73572</v>
      </c>
      <c r="I1085" s="2">
        <v>96</v>
      </c>
      <c r="J1085" s="2" t="s">
        <v>403</v>
      </c>
      <c r="K1085" s="2" t="s">
        <v>404</v>
      </c>
      <c r="L1085" s="2" t="s">
        <v>3700</v>
      </c>
      <c r="M1085" s="7" t="s">
        <v>3701</v>
      </c>
      <c r="N1085" s="7" t="s">
        <v>3702</v>
      </c>
      <c r="O1085" s="2"/>
      <c r="P1085" s="2"/>
      <c r="Q1085" s="2" t="str">
        <f>IF(SUMPRODUCT(--ISNUMBER(SEARCH('National Domains'!$A$2:$A$48,L1085)))&gt;0,"Yes","No")</f>
        <v>No</v>
      </c>
      <c r="R1085" s="2" t="str">
        <f>IF(COUNTIFS(Calibration!$A:$A,A1085,Calibration!$B:$B,B1085)&gt;0,"Yes","No")</f>
        <v>No</v>
      </c>
      <c r="S1085" s="6"/>
    </row>
    <row r="1086" spans="1:19" ht="34.5" customHeight="1" x14ac:dyDescent="0.2">
      <c r="A1086" s="2">
        <v>235</v>
      </c>
      <c r="B1086" s="2">
        <v>2</v>
      </c>
      <c r="C1086" s="2" t="s">
        <v>402</v>
      </c>
      <c r="D1086" s="2" t="s">
        <v>39</v>
      </c>
      <c r="E1086" s="2">
        <v>20210829</v>
      </c>
      <c r="F1086" s="2">
        <v>20210901</v>
      </c>
      <c r="G1086" s="2">
        <v>84608.1</v>
      </c>
      <c r="H1086" s="2">
        <v>73572</v>
      </c>
      <c r="I1086" s="2">
        <v>96</v>
      </c>
      <c r="J1086" s="2" t="s">
        <v>403</v>
      </c>
      <c r="K1086" s="2" t="s">
        <v>404</v>
      </c>
      <c r="L1086" s="2" t="s">
        <v>3703</v>
      </c>
      <c r="M1086" s="7" t="s">
        <v>3704</v>
      </c>
      <c r="N1086" s="7" t="s">
        <v>3705</v>
      </c>
      <c r="O1086" s="2"/>
      <c r="P1086" s="2"/>
      <c r="Q1086" s="2" t="str">
        <f>IF(SUMPRODUCT(--ISNUMBER(SEARCH('National Domains'!$A$2:$A$48,L1086)))&gt;0,"Yes","No")</f>
        <v>No</v>
      </c>
      <c r="R1086" s="2" t="str">
        <f>IF(COUNTIFS(Calibration!$A:$A,A1086,Calibration!$B:$B,B1086)&gt;0,"Yes","No")</f>
        <v>No</v>
      </c>
      <c r="S1086" s="6"/>
    </row>
    <row r="1087" spans="1:19" ht="34.5" customHeight="1" x14ac:dyDescent="0.2">
      <c r="A1087" s="2">
        <v>235</v>
      </c>
      <c r="B1087" s="2">
        <v>3</v>
      </c>
      <c r="C1087" s="2" t="s">
        <v>402</v>
      </c>
      <c r="D1087" s="2" t="s">
        <v>39</v>
      </c>
      <c r="E1087" s="2">
        <v>20210829</v>
      </c>
      <c r="F1087" s="2">
        <v>20210901</v>
      </c>
      <c r="G1087" s="2">
        <v>84608.1</v>
      </c>
      <c r="H1087" s="2">
        <v>73572</v>
      </c>
      <c r="I1087" s="2">
        <v>96</v>
      </c>
      <c r="J1087" s="2" t="s">
        <v>403</v>
      </c>
      <c r="K1087" s="2" t="s">
        <v>404</v>
      </c>
      <c r="L1087" s="2" t="s">
        <v>3706</v>
      </c>
      <c r="M1087" s="7" t="s">
        <v>3707</v>
      </c>
      <c r="N1087" s="7" t="s">
        <v>3708</v>
      </c>
      <c r="O1087" s="2"/>
      <c r="P1087" s="2"/>
      <c r="Q1087" s="2" t="str">
        <f>IF(SUMPRODUCT(--ISNUMBER(SEARCH('National Domains'!$A$2:$A$48,L1087)))&gt;0,"Yes","No")</f>
        <v>No</v>
      </c>
      <c r="R1087" s="2" t="str">
        <f>IF(COUNTIFS(Calibration!$A:$A,A1087,Calibration!$B:$B,B1087)&gt;0,"Yes","No")</f>
        <v>No</v>
      </c>
      <c r="S1087" s="6"/>
    </row>
    <row r="1088" spans="1:19" ht="34.5" customHeight="1" x14ac:dyDescent="0.2">
      <c r="A1088" s="2">
        <v>235</v>
      </c>
      <c r="B1088" s="2">
        <v>4</v>
      </c>
      <c r="C1088" s="2" t="s">
        <v>402</v>
      </c>
      <c r="D1088" s="2" t="s">
        <v>39</v>
      </c>
      <c r="E1088" s="2">
        <v>20210829</v>
      </c>
      <c r="F1088" s="2">
        <v>20210901</v>
      </c>
      <c r="G1088" s="2">
        <v>84608.1</v>
      </c>
      <c r="H1088" s="2">
        <v>73572</v>
      </c>
      <c r="I1088" s="2">
        <v>96</v>
      </c>
      <c r="J1088" s="2" t="s">
        <v>403</v>
      </c>
      <c r="K1088" s="2" t="s">
        <v>404</v>
      </c>
      <c r="L1088" s="2" t="s">
        <v>3709</v>
      </c>
      <c r="M1088" s="7" t="s">
        <v>3710</v>
      </c>
      <c r="N1088" s="7" t="s">
        <v>3711</v>
      </c>
      <c r="O1088" s="2"/>
      <c r="P1088" s="2"/>
      <c r="Q1088" s="2" t="str">
        <f>IF(SUMPRODUCT(--ISNUMBER(SEARCH('National Domains'!$A$2:$A$48,L1088)))&gt;0,"Yes","No")</f>
        <v>No</v>
      </c>
      <c r="R1088" s="2" t="str">
        <f>IF(COUNTIFS(Calibration!$A:$A,A1088,Calibration!$B:$B,B1088)&gt;0,"Yes","No")</f>
        <v>No</v>
      </c>
      <c r="S1088" s="6"/>
    </row>
    <row r="1089" spans="1:19" ht="34.5" customHeight="1" x14ac:dyDescent="0.2">
      <c r="A1089" s="2">
        <v>235</v>
      </c>
      <c r="B1089" s="2">
        <v>5</v>
      </c>
      <c r="C1089" s="2" t="s">
        <v>402</v>
      </c>
      <c r="D1089" s="2" t="s">
        <v>39</v>
      </c>
      <c r="E1089" s="2">
        <v>20210829</v>
      </c>
      <c r="F1089" s="2">
        <v>20210901</v>
      </c>
      <c r="G1089" s="2">
        <v>84608.1</v>
      </c>
      <c r="H1089" s="2">
        <v>73572</v>
      </c>
      <c r="I1089" s="2">
        <v>96</v>
      </c>
      <c r="J1089" s="2" t="s">
        <v>403</v>
      </c>
      <c r="K1089" s="2" t="s">
        <v>404</v>
      </c>
      <c r="L1089" s="2" t="s">
        <v>3712</v>
      </c>
      <c r="M1089" s="7" t="s">
        <v>3713</v>
      </c>
      <c r="N1089" s="7" t="s">
        <v>3714</v>
      </c>
      <c r="O1089" s="2"/>
      <c r="P1089" s="2"/>
      <c r="Q1089" s="2" t="str">
        <f>IF(SUMPRODUCT(--ISNUMBER(SEARCH('National Domains'!$A$2:$A$48,L1089)))&gt;0,"Yes","No")</f>
        <v>No</v>
      </c>
      <c r="R1089" s="2" t="str">
        <f>IF(COUNTIFS(Calibration!$A:$A,A1089,Calibration!$B:$B,B1089)&gt;0,"Yes","No")</f>
        <v>No</v>
      </c>
      <c r="S1089" s="6"/>
    </row>
    <row r="1090" spans="1:19" ht="34.5" customHeight="1" x14ac:dyDescent="0.2">
      <c r="A1090" s="2">
        <v>235</v>
      </c>
      <c r="B1090" s="2">
        <v>6</v>
      </c>
      <c r="C1090" s="2" t="s">
        <v>402</v>
      </c>
      <c r="D1090" s="2" t="s">
        <v>39</v>
      </c>
      <c r="E1090" s="2">
        <v>20210829</v>
      </c>
      <c r="F1090" s="2">
        <v>20210901</v>
      </c>
      <c r="G1090" s="2">
        <v>84608.1</v>
      </c>
      <c r="H1090" s="2">
        <v>73572</v>
      </c>
      <c r="I1090" s="2">
        <v>96</v>
      </c>
      <c r="J1090" s="2" t="s">
        <v>403</v>
      </c>
      <c r="K1090" s="2" t="s">
        <v>404</v>
      </c>
      <c r="L1090" s="2" t="s">
        <v>3715</v>
      </c>
      <c r="M1090" s="7" t="s">
        <v>3716</v>
      </c>
      <c r="N1090" s="7" t="s">
        <v>3717</v>
      </c>
      <c r="O1090" s="2"/>
      <c r="P1090" s="2"/>
      <c r="Q1090" s="2" t="str">
        <f>IF(SUMPRODUCT(--ISNUMBER(SEARCH('National Domains'!$A$2:$A$48,L1090)))&gt;0,"Yes","No")</f>
        <v>No</v>
      </c>
      <c r="R1090" s="2" t="str">
        <f>IF(COUNTIFS(Calibration!$A:$A,A1090,Calibration!$B:$B,B1090)&gt;0,"Yes","No")</f>
        <v>No</v>
      </c>
      <c r="S1090" s="6"/>
    </row>
    <row r="1091" spans="1:19" ht="34.5" customHeight="1" x14ac:dyDescent="0.2">
      <c r="A1091" s="2">
        <v>235</v>
      </c>
      <c r="B1091" s="2">
        <v>7</v>
      </c>
      <c r="C1091" s="2" t="s">
        <v>402</v>
      </c>
      <c r="D1091" s="2" t="s">
        <v>39</v>
      </c>
      <c r="E1091" s="2">
        <v>20210829</v>
      </c>
      <c r="F1091" s="2">
        <v>20210901</v>
      </c>
      <c r="G1091" s="2">
        <v>84608.1</v>
      </c>
      <c r="H1091" s="2">
        <v>73572</v>
      </c>
      <c r="I1091" s="2">
        <v>96</v>
      </c>
      <c r="J1091" s="2" t="s">
        <v>403</v>
      </c>
      <c r="K1091" s="2" t="s">
        <v>404</v>
      </c>
      <c r="L1091" s="2" t="s">
        <v>3718</v>
      </c>
      <c r="M1091" s="7" t="s">
        <v>3701</v>
      </c>
      <c r="N1091" s="7" t="s">
        <v>3702</v>
      </c>
      <c r="O1091" s="2"/>
      <c r="P1091" s="2"/>
      <c r="Q1091" s="2" t="str">
        <f>IF(SUMPRODUCT(--ISNUMBER(SEARCH('National Domains'!$A$2:$A$48,L1091)))&gt;0,"Yes","No")</f>
        <v>No</v>
      </c>
      <c r="R1091" s="2" t="str">
        <f>IF(COUNTIFS(Calibration!$A:$A,A1091,Calibration!$B:$B,B1091)&gt;0,"Yes","No")</f>
        <v>No</v>
      </c>
      <c r="S1091" s="6"/>
    </row>
    <row r="1092" spans="1:19" ht="34.5" customHeight="1" x14ac:dyDescent="0.2">
      <c r="A1092" s="2">
        <v>235</v>
      </c>
      <c r="B1092" s="2">
        <v>8</v>
      </c>
      <c r="C1092" s="2" t="s">
        <v>402</v>
      </c>
      <c r="D1092" s="2" t="s">
        <v>39</v>
      </c>
      <c r="E1092" s="2">
        <v>20210829</v>
      </c>
      <c r="F1092" s="2">
        <v>20210901</v>
      </c>
      <c r="G1092" s="2">
        <v>84608.1</v>
      </c>
      <c r="H1092" s="2">
        <v>73572</v>
      </c>
      <c r="I1092" s="2">
        <v>96</v>
      </c>
      <c r="J1092" s="2" t="s">
        <v>403</v>
      </c>
      <c r="K1092" s="2" t="s">
        <v>404</v>
      </c>
      <c r="L1092" s="2" t="s">
        <v>3719</v>
      </c>
      <c r="M1092" s="7" t="s">
        <v>3720</v>
      </c>
      <c r="N1092" s="7" t="s">
        <v>3721</v>
      </c>
      <c r="O1092" s="2"/>
      <c r="P1092" s="2"/>
      <c r="Q1092" s="2" t="str">
        <f>IF(SUMPRODUCT(--ISNUMBER(SEARCH('National Domains'!$A$2:$A$48,L1092)))&gt;0,"Yes","No")</f>
        <v>No</v>
      </c>
      <c r="R1092" s="2" t="str">
        <f>IF(COUNTIFS(Calibration!$A:$A,A1092,Calibration!$B:$B,B1092)&gt;0,"Yes","No")</f>
        <v>No</v>
      </c>
      <c r="S1092" s="6"/>
    </row>
    <row r="1093" spans="1:19" ht="34.5" customHeight="1" x14ac:dyDescent="0.2">
      <c r="A1093" s="2">
        <v>235</v>
      </c>
      <c r="B1093" s="2">
        <v>9</v>
      </c>
      <c r="C1093" s="2" t="s">
        <v>402</v>
      </c>
      <c r="D1093" s="2" t="s">
        <v>39</v>
      </c>
      <c r="E1093" s="2">
        <v>20210829</v>
      </c>
      <c r="F1093" s="2">
        <v>20210901</v>
      </c>
      <c r="G1093" s="2">
        <v>84608.1</v>
      </c>
      <c r="H1093" s="2">
        <v>73572</v>
      </c>
      <c r="I1093" s="2">
        <v>96</v>
      </c>
      <c r="J1093" s="2" t="s">
        <v>403</v>
      </c>
      <c r="K1093" s="2" t="s">
        <v>404</v>
      </c>
      <c r="L1093" s="2" t="s">
        <v>3722</v>
      </c>
      <c r="M1093" s="7" t="s">
        <v>3723</v>
      </c>
      <c r="N1093" s="7" t="s">
        <v>3724</v>
      </c>
      <c r="O1093" s="2"/>
      <c r="P1093" s="2"/>
      <c r="Q1093" s="2" t="str">
        <f>IF(SUMPRODUCT(--ISNUMBER(SEARCH('National Domains'!$A$2:$A$48,L1093)))&gt;0,"Yes","No")</f>
        <v>No</v>
      </c>
      <c r="R1093" s="2" t="str">
        <f>IF(COUNTIFS(Calibration!$A:$A,A1093,Calibration!$B:$B,B1093)&gt;0,"Yes","No")</f>
        <v>No</v>
      </c>
      <c r="S1093" s="6"/>
    </row>
    <row r="1094" spans="1:19" ht="34.5" customHeight="1" x14ac:dyDescent="0.2">
      <c r="A1094" s="2">
        <v>235</v>
      </c>
      <c r="B1094" s="2">
        <v>10</v>
      </c>
      <c r="C1094" s="2" t="s">
        <v>402</v>
      </c>
      <c r="D1094" s="2" t="s">
        <v>39</v>
      </c>
      <c r="E1094" s="2">
        <v>20210829</v>
      </c>
      <c r="F1094" s="2">
        <v>20210901</v>
      </c>
      <c r="G1094" s="2">
        <v>84608.1</v>
      </c>
      <c r="H1094" s="2">
        <v>73572</v>
      </c>
      <c r="I1094" s="2">
        <v>96</v>
      </c>
      <c r="J1094" s="2" t="s">
        <v>403</v>
      </c>
      <c r="K1094" s="2" t="s">
        <v>404</v>
      </c>
      <c r="L1094" s="2" t="s">
        <v>3725</v>
      </c>
      <c r="M1094" s="7" t="s">
        <v>3726</v>
      </c>
      <c r="N1094" s="7" t="s">
        <v>3727</v>
      </c>
      <c r="O1094" s="2"/>
      <c r="P1094" s="2"/>
      <c r="Q1094" s="2" t="str">
        <f>IF(SUMPRODUCT(--ISNUMBER(SEARCH('National Domains'!$A$2:$A$48,L1094)))&gt;0,"Yes","No")</f>
        <v>No</v>
      </c>
      <c r="R1094" s="2" t="str">
        <f>IF(COUNTIFS(Calibration!$A:$A,A1094,Calibration!$B:$B,B1094)&gt;0,"Yes","No")</f>
        <v>No</v>
      </c>
      <c r="S1094" s="6"/>
    </row>
    <row r="1095" spans="1:19" ht="34.5" customHeight="1" x14ac:dyDescent="0.2">
      <c r="A1095" s="2">
        <v>235</v>
      </c>
      <c r="B1095" s="2">
        <v>11</v>
      </c>
      <c r="C1095" s="2" t="s">
        <v>402</v>
      </c>
      <c r="D1095" s="2" t="s">
        <v>39</v>
      </c>
      <c r="E1095" s="2">
        <v>20210829</v>
      </c>
      <c r="F1095" s="2">
        <v>20210901</v>
      </c>
      <c r="G1095" s="2">
        <v>84608.1</v>
      </c>
      <c r="H1095" s="2">
        <v>73572</v>
      </c>
      <c r="I1095" s="2">
        <v>96</v>
      </c>
      <c r="J1095" s="2" t="s">
        <v>403</v>
      </c>
      <c r="K1095" s="2" t="s">
        <v>404</v>
      </c>
      <c r="L1095" s="2" t="s">
        <v>3728</v>
      </c>
      <c r="M1095" s="7" t="s">
        <v>3729</v>
      </c>
      <c r="N1095" s="7" t="s">
        <v>3730</v>
      </c>
      <c r="O1095" s="2"/>
      <c r="P1095" s="2"/>
      <c r="Q1095" s="2" t="str">
        <f>IF(SUMPRODUCT(--ISNUMBER(SEARCH('National Domains'!$A$2:$A$48,L1095)))&gt;0,"Yes","No")</f>
        <v>No</v>
      </c>
      <c r="R1095" s="2" t="str">
        <f>IF(COUNTIFS(Calibration!$A:$A,A1095,Calibration!$B:$B,B1095)&gt;0,"Yes","No")</f>
        <v>No</v>
      </c>
      <c r="S1095" s="6"/>
    </row>
    <row r="1096" spans="1:19" ht="23.25" customHeight="1" x14ac:dyDescent="0.2">
      <c r="A1096" s="2">
        <v>235</v>
      </c>
      <c r="B1096" s="2">
        <v>12</v>
      </c>
      <c r="C1096" s="2" t="s">
        <v>402</v>
      </c>
      <c r="D1096" s="2" t="s">
        <v>39</v>
      </c>
      <c r="E1096" s="2">
        <v>20210829</v>
      </c>
      <c r="F1096" s="2">
        <v>20210901</v>
      </c>
      <c r="G1096" s="2">
        <v>84608.1</v>
      </c>
      <c r="H1096" s="2">
        <v>73572</v>
      </c>
      <c r="I1096" s="2">
        <v>96</v>
      </c>
      <c r="J1096" s="2" t="s">
        <v>403</v>
      </c>
      <c r="K1096" s="2" t="s">
        <v>404</v>
      </c>
      <c r="L1096" s="2" t="s">
        <v>3731</v>
      </c>
      <c r="M1096" s="7" t="s">
        <v>3732</v>
      </c>
      <c r="N1096" s="7" t="s">
        <v>3733</v>
      </c>
      <c r="O1096" s="2"/>
      <c r="P1096" s="2"/>
      <c r="Q1096" s="2" t="str">
        <f>IF(SUMPRODUCT(--ISNUMBER(SEARCH('National Domains'!$A$2:$A$48,L1096)))&gt;0,"Yes","No")</f>
        <v>No</v>
      </c>
      <c r="R1096" s="2" t="str">
        <f>IF(COUNTIFS(Calibration!$A:$A,A1096,Calibration!$B:$B,B1096)&gt;0,"Yes","No")</f>
        <v>No</v>
      </c>
      <c r="S1096" s="6"/>
    </row>
    <row r="1097" spans="1:19" ht="34.5" customHeight="1" x14ac:dyDescent="0.2">
      <c r="A1097" s="2">
        <v>235</v>
      </c>
      <c r="B1097" s="2">
        <v>13</v>
      </c>
      <c r="C1097" s="2" t="s">
        <v>402</v>
      </c>
      <c r="D1097" s="2" t="s">
        <v>39</v>
      </c>
      <c r="E1097" s="2">
        <v>20210829</v>
      </c>
      <c r="F1097" s="2">
        <v>20210901</v>
      </c>
      <c r="G1097" s="2">
        <v>84608.1</v>
      </c>
      <c r="H1097" s="2">
        <v>73572</v>
      </c>
      <c r="I1097" s="2">
        <v>96</v>
      </c>
      <c r="J1097" s="2" t="s">
        <v>403</v>
      </c>
      <c r="K1097" s="2" t="s">
        <v>404</v>
      </c>
      <c r="L1097" s="2" t="s">
        <v>3734</v>
      </c>
      <c r="M1097" s="7" t="s">
        <v>3735</v>
      </c>
      <c r="N1097" s="7" t="s">
        <v>3736</v>
      </c>
      <c r="O1097" s="2"/>
      <c r="P1097" s="2"/>
      <c r="Q1097" s="2" t="str">
        <f>IF(SUMPRODUCT(--ISNUMBER(SEARCH('National Domains'!$A$2:$A$48,L1097)))&gt;0,"Yes","No")</f>
        <v>Yes</v>
      </c>
      <c r="R1097" s="2" t="str">
        <f>IF(COUNTIFS(Calibration!$A:$A,A1097,Calibration!$B:$B,B1097)&gt;0,"Yes","No")</f>
        <v>No</v>
      </c>
      <c r="S1097" s="6"/>
    </row>
    <row r="1098" spans="1:19" ht="34.5" customHeight="1" x14ac:dyDescent="0.2">
      <c r="A1098" s="2">
        <v>235</v>
      </c>
      <c r="B1098" s="2">
        <v>14</v>
      </c>
      <c r="C1098" s="2" t="s">
        <v>402</v>
      </c>
      <c r="D1098" s="2" t="s">
        <v>39</v>
      </c>
      <c r="E1098" s="2">
        <v>20210829</v>
      </c>
      <c r="F1098" s="2">
        <v>20210901</v>
      </c>
      <c r="G1098" s="2">
        <v>84608.1</v>
      </c>
      <c r="H1098" s="2">
        <v>73572</v>
      </c>
      <c r="I1098" s="2">
        <v>96</v>
      </c>
      <c r="J1098" s="2" t="s">
        <v>403</v>
      </c>
      <c r="K1098" s="2" t="s">
        <v>404</v>
      </c>
      <c r="L1098" s="2" t="s">
        <v>3737</v>
      </c>
      <c r="M1098" s="7" t="s">
        <v>3738</v>
      </c>
      <c r="N1098" s="7" t="s">
        <v>3739</v>
      </c>
      <c r="O1098" s="2"/>
      <c r="P1098" s="2"/>
      <c r="Q1098" s="2" t="str">
        <f>IF(SUMPRODUCT(--ISNUMBER(SEARCH('National Domains'!$A$2:$A$48,L1098)))&gt;0,"Yes","No")</f>
        <v>Yes</v>
      </c>
      <c r="R1098" s="2" t="str">
        <f>IF(COUNTIFS(Calibration!$A:$A,A1098,Calibration!$B:$B,B1098)&gt;0,"Yes","No")</f>
        <v>No</v>
      </c>
      <c r="S1098" s="6"/>
    </row>
    <row r="1099" spans="1:19" ht="34.5" customHeight="1" x14ac:dyDescent="0.2">
      <c r="A1099" s="2">
        <v>235</v>
      </c>
      <c r="B1099" s="2">
        <v>15</v>
      </c>
      <c r="C1099" s="2" t="s">
        <v>402</v>
      </c>
      <c r="D1099" s="2" t="s">
        <v>39</v>
      </c>
      <c r="E1099" s="2">
        <v>20210829</v>
      </c>
      <c r="F1099" s="2">
        <v>20210901</v>
      </c>
      <c r="G1099" s="2">
        <v>84608.1</v>
      </c>
      <c r="H1099" s="2">
        <v>73572</v>
      </c>
      <c r="I1099" s="2">
        <v>96</v>
      </c>
      <c r="J1099" s="2" t="s">
        <v>403</v>
      </c>
      <c r="K1099" s="2" t="s">
        <v>404</v>
      </c>
      <c r="L1099" s="2" t="s">
        <v>3740</v>
      </c>
      <c r="M1099" s="7" t="s">
        <v>3741</v>
      </c>
      <c r="N1099" s="7" t="s">
        <v>3742</v>
      </c>
      <c r="O1099" s="2"/>
      <c r="P1099" s="2"/>
      <c r="Q1099" s="2" t="str">
        <f>IF(SUMPRODUCT(--ISNUMBER(SEARCH('National Domains'!$A$2:$A$48,L1099)))&gt;0,"Yes","No")</f>
        <v>Yes</v>
      </c>
      <c r="R1099" s="2" t="str">
        <f>IF(COUNTIFS(Calibration!$A:$A,A1099,Calibration!$B:$B,B1099)&gt;0,"Yes","No")</f>
        <v>No</v>
      </c>
      <c r="S1099" s="6"/>
    </row>
    <row r="1100" spans="1:19" ht="34.5" customHeight="1" x14ac:dyDescent="0.2">
      <c r="A1100" s="2">
        <v>235</v>
      </c>
      <c r="B1100" s="2">
        <v>16</v>
      </c>
      <c r="C1100" s="2" t="s">
        <v>402</v>
      </c>
      <c r="D1100" s="2" t="s">
        <v>39</v>
      </c>
      <c r="E1100" s="2">
        <v>20210829</v>
      </c>
      <c r="F1100" s="2">
        <v>20210901</v>
      </c>
      <c r="G1100" s="2">
        <v>84608.1</v>
      </c>
      <c r="H1100" s="2">
        <v>73572</v>
      </c>
      <c r="I1100" s="2">
        <v>96</v>
      </c>
      <c r="J1100" s="2" t="s">
        <v>403</v>
      </c>
      <c r="K1100" s="2" t="s">
        <v>404</v>
      </c>
      <c r="L1100" s="2" t="s">
        <v>3743</v>
      </c>
      <c r="M1100" s="7" t="s">
        <v>3744</v>
      </c>
      <c r="N1100" s="7" t="s">
        <v>3745</v>
      </c>
      <c r="O1100" s="2"/>
      <c r="P1100" s="2"/>
      <c r="Q1100" s="2" t="str">
        <f>IF(SUMPRODUCT(--ISNUMBER(SEARCH('National Domains'!$A$2:$A$48,L1100)))&gt;0,"Yes","No")</f>
        <v>Yes</v>
      </c>
      <c r="R1100" s="2" t="str">
        <f>IF(COUNTIFS(Calibration!$A:$A,A1100,Calibration!$B:$B,B1100)&gt;0,"Yes","No")</f>
        <v>No</v>
      </c>
      <c r="S1100" s="6"/>
    </row>
    <row r="1101" spans="1:19" ht="34.5" customHeight="1" x14ac:dyDescent="0.2">
      <c r="A1101" s="2">
        <v>235</v>
      </c>
      <c r="B1101" s="2">
        <v>17</v>
      </c>
      <c r="C1101" s="2" t="s">
        <v>402</v>
      </c>
      <c r="D1101" s="2" t="s">
        <v>39</v>
      </c>
      <c r="E1101" s="2">
        <v>20210829</v>
      </c>
      <c r="F1101" s="2">
        <v>20210901</v>
      </c>
      <c r="G1101" s="2">
        <v>84608.1</v>
      </c>
      <c r="H1101" s="2">
        <v>73572</v>
      </c>
      <c r="I1101" s="2">
        <v>96</v>
      </c>
      <c r="J1101" s="2" t="s">
        <v>403</v>
      </c>
      <c r="K1101" s="2" t="s">
        <v>404</v>
      </c>
      <c r="L1101" s="2" t="s">
        <v>3746</v>
      </c>
      <c r="M1101" s="7" t="s">
        <v>3747</v>
      </c>
      <c r="N1101" s="7" t="s">
        <v>3748</v>
      </c>
      <c r="O1101" s="2"/>
      <c r="P1101" s="2"/>
      <c r="Q1101" s="2" t="str">
        <f>IF(SUMPRODUCT(--ISNUMBER(SEARCH('National Domains'!$A$2:$A$48,L1101)))&gt;0,"Yes","No")</f>
        <v>No</v>
      </c>
      <c r="R1101" s="2" t="str">
        <f>IF(COUNTIFS(Calibration!$A:$A,A1101,Calibration!$B:$B,B1101)&gt;0,"Yes","No")</f>
        <v>No</v>
      </c>
      <c r="S1101" s="6"/>
    </row>
    <row r="1102" spans="1:19" ht="34.5" customHeight="1" x14ac:dyDescent="0.2">
      <c r="A1102" s="2">
        <v>235</v>
      </c>
      <c r="B1102" s="2">
        <v>18</v>
      </c>
      <c r="C1102" s="2" t="s">
        <v>402</v>
      </c>
      <c r="D1102" s="2" t="s">
        <v>39</v>
      </c>
      <c r="E1102" s="2">
        <v>20210829</v>
      </c>
      <c r="F1102" s="2">
        <v>20210901</v>
      </c>
      <c r="G1102" s="2">
        <v>84608.1</v>
      </c>
      <c r="H1102" s="2">
        <v>73572</v>
      </c>
      <c r="I1102" s="2">
        <v>96</v>
      </c>
      <c r="J1102" s="2" t="s">
        <v>403</v>
      </c>
      <c r="K1102" s="2" t="s">
        <v>404</v>
      </c>
      <c r="L1102" s="2" t="s">
        <v>3749</v>
      </c>
      <c r="M1102" s="7" t="s">
        <v>3750</v>
      </c>
      <c r="N1102" s="7" t="s">
        <v>3751</v>
      </c>
      <c r="O1102" s="2"/>
      <c r="P1102" s="2"/>
      <c r="Q1102" s="2" t="str">
        <f>IF(SUMPRODUCT(--ISNUMBER(SEARCH('National Domains'!$A$2:$A$48,L1102)))&gt;0,"Yes","No")</f>
        <v>Yes</v>
      </c>
      <c r="R1102" s="2" t="str">
        <f>IF(COUNTIFS(Calibration!$A:$A,A1102,Calibration!$B:$B,B1102)&gt;0,"Yes","No")</f>
        <v>No</v>
      </c>
      <c r="S1102" s="6"/>
    </row>
    <row r="1103" spans="1:19" ht="23.25" customHeight="1" x14ac:dyDescent="0.2">
      <c r="A1103" s="2">
        <v>235</v>
      </c>
      <c r="B1103" s="2">
        <v>19</v>
      </c>
      <c r="C1103" s="2" t="s">
        <v>402</v>
      </c>
      <c r="D1103" s="2" t="s">
        <v>39</v>
      </c>
      <c r="E1103" s="2">
        <v>20210829</v>
      </c>
      <c r="F1103" s="2">
        <v>20210901</v>
      </c>
      <c r="G1103" s="2">
        <v>84608.1</v>
      </c>
      <c r="H1103" s="2">
        <v>73572</v>
      </c>
      <c r="I1103" s="2">
        <v>96</v>
      </c>
      <c r="J1103" s="2" t="s">
        <v>403</v>
      </c>
      <c r="K1103" s="2" t="s">
        <v>404</v>
      </c>
      <c r="L1103" s="2" t="s">
        <v>3752</v>
      </c>
      <c r="M1103" s="7" t="s">
        <v>3753</v>
      </c>
      <c r="N1103" s="7" t="s">
        <v>3754</v>
      </c>
      <c r="O1103" s="2"/>
      <c r="P1103" s="2"/>
      <c r="Q1103" s="2" t="str">
        <f>IF(SUMPRODUCT(--ISNUMBER(SEARCH('National Domains'!$A$2:$A$48,L1103)))&gt;0,"Yes","No")</f>
        <v>Yes</v>
      </c>
      <c r="R1103" s="2" t="str">
        <f>IF(COUNTIFS(Calibration!$A:$A,A1103,Calibration!$B:$B,B1103)&gt;0,"Yes","No")</f>
        <v>No</v>
      </c>
      <c r="S1103" s="6"/>
    </row>
    <row r="1104" spans="1:19" ht="34.5" customHeight="1" x14ac:dyDescent="0.2">
      <c r="A1104" s="2">
        <v>235</v>
      </c>
      <c r="B1104" s="2">
        <v>20</v>
      </c>
      <c r="C1104" s="2" t="s">
        <v>402</v>
      </c>
      <c r="D1104" s="2" t="s">
        <v>39</v>
      </c>
      <c r="E1104" s="2">
        <v>20210829</v>
      </c>
      <c r="F1104" s="2">
        <v>20210901</v>
      </c>
      <c r="G1104" s="2">
        <v>84608.1</v>
      </c>
      <c r="H1104" s="2">
        <v>73572</v>
      </c>
      <c r="I1104" s="2">
        <v>96</v>
      </c>
      <c r="J1104" s="2" t="s">
        <v>403</v>
      </c>
      <c r="K1104" s="2" t="s">
        <v>404</v>
      </c>
      <c r="L1104" s="2" t="s">
        <v>3755</v>
      </c>
      <c r="M1104" s="7" t="s">
        <v>3756</v>
      </c>
      <c r="N1104" s="7" t="s">
        <v>3702</v>
      </c>
      <c r="O1104" s="2"/>
      <c r="P1104" s="2"/>
      <c r="Q1104" s="2" t="str">
        <f>IF(SUMPRODUCT(--ISNUMBER(SEARCH('National Domains'!$A$2:$A$48,L1104)))&gt;0,"Yes","No")</f>
        <v>No</v>
      </c>
      <c r="R1104" s="2" t="str">
        <f>IF(COUNTIFS(Calibration!$A:$A,A1104,Calibration!$B:$B,B1104)&gt;0,"Yes","No")</f>
        <v>No</v>
      </c>
      <c r="S1104" s="6"/>
    </row>
    <row r="1105" spans="1:19" ht="34.5" customHeight="1" x14ac:dyDescent="0.2">
      <c r="A1105" s="2">
        <v>235</v>
      </c>
      <c r="B1105" s="2">
        <v>21</v>
      </c>
      <c r="C1105" s="2" t="s">
        <v>402</v>
      </c>
      <c r="D1105" s="2" t="s">
        <v>39</v>
      </c>
      <c r="E1105" s="2">
        <v>20210829</v>
      </c>
      <c r="F1105" s="2">
        <v>20210901</v>
      </c>
      <c r="G1105" s="2">
        <v>84608.1</v>
      </c>
      <c r="H1105" s="2">
        <v>73572</v>
      </c>
      <c r="I1105" s="2">
        <v>96</v>
      </c>
      <c r="J1105" s="2" t="s">
        <v>403</v>
      </c>
      <c r="K1105" s="2" t="s">
        <v>404</v>
      </c>
      <c r="L1105" s="2" t="s">
        <v>3757</v>
      </c>
      <c r="M1105" s="7" t="s">
        <v>3758</v>
      </c>
      <c r="N1105" s="7" t="s">
        <v>3759</v>
      </c>
      <c r="O1105" s="2"/>
      <c r="P1105" s="2"/>
      <c r="Q1105" s="2" t="str">
        <f>IF(SUMPRODUCT(--ISNUMBER(SEARCH('National Domains'!$A$2:$A$48,L1105)))&gt;0,"Yes","No")</f>
        <v>No</v>
      </c>
      <c r="R1105" s="2" t="str">
        <f>IF(COUNTIFS(Calibration!$A:$A,A1105,Calibration!$B:$B,B1105)&gt;0,"Yes","No")</f>
        <v>No</v>
      </c>
      <c r="S1105" s="6"/>
    </row>
    <row r="1106" spans="1:19" ht="34.5" customHeight="1" x14ac:dyDescent="0.2">
      <c r="A1106" s="2">
        <v>235</v>
      </c>
      <c r="B1106" s="2">
        <v>22</v>
      </c>
      <c r="C1106" s="2" t="s">
        <v>402</v>
      </c>
      <c r="D1106" s="2" t="s">
        <v>39</v>
      </c>
      <c r="E1106" s="2">
        <v>20210829</v>
      </c>
      <c r="F1106" s="2">
        <v>20210901</v>
      </c>
      <c r="G1106" s="2">
        <v>84608.1</v>
      </c>
      <c r="H1106" s="2">
        <v>73572</v>
      </c>
      <c r="I1106" s="2">
        <v>96</v>
      </c>
      <c r="J1106" s="2" t="s">
        <v>403</v>
      </c>
      <c r="K1106" s="2" t="s">
        <v>404</v>
      </c>
      <c r="L1106" s="2" t="s">
        <v>3760</v>
      </c>
      <c r="M1106" s="7" t="s">
        <v>3761</v>
      </c>
      <c r="N1106" s="7" t="s">
        <v>3762</v>
      </c>
      <c r="O1106" s="2"/>
      <c r="P1106" s="2"/>
      <c r="Q1106" s="2" t="str">
        <f>IF(SUMPRODUCT(--ISNUMBER(SEARCH('National Domains'!$A$2:$A$48,L1106)))&gt;0,"Yes","No")</f>
        <v>No</v>
      </c>
      <c r="R1106" s="2" t="str">
        <f>IF(COUNTIFS(Calibration!$A:$A,A1106,Calibration!$B:$B,B1106)&gt;0,"Yes","No")</f>
        <v>No</v>
      </c>
      <c r="S1106" s="6"/>
    </row>
    <row r="1107" spans="1:19" ht="34.5" customHeight="1" x14ac:dyDescent="0.2">
      <c r="A1107" s="2">
        <v>235</v>
      </c>
      <c r="B1107" s="2">
        <v>23</v>
      </c>
      <c r="C1107" s="2" t="s">
        <v>402</v>
      </c>
      <c r="D1107" s="2" t="s">
        <v>39</v>
      </c>
      <c r="E1107" s="2">
        <v>20210829</v>
      </c>
      <c r="F1107" s="2">
        <v>20210901</v>
      </c>
      <c r="G1107" s="2">
        <v>84608.1</v>
      </c>
      <c r="H1107" s="2">
        <v>73572</v>
      </c>
      <c r="I1107" s="2">
        <v>96</v>
      </c>
      <c r="J1107" s="2" t="s">
        <v>403</v>
      </c>
      <c r="K1107" s="2" t="s">
        <v>404</v>
      </c>
      <c r="L1107" s="2" t="s">
        <v>3763</v>
      </c>
      <c r="M1107" s="7" t="s">
        <v>3764</v>
      </c>
      <c r="N1107" s="7" t="s">
        <v>3765</v>
      </c>
      <c r="O1107" s="2"/>
      <c r="P1107" s="2"/>
      <c r="Q1107" s="2" t="str">
        <f>IF(SUMPRODUCT(--ISNUMBER(SEARCH('National Domains'!$A$2:$A$48,L1107)))&gt;0,"Yes","No")</f>
        <v>No</v>
      </c>
      <c r="R1107" s="2" t="str">
        <f>IF(COUNTIFS(Calibration!$A:$A,A1107,Calibration!$B:$B,B1107)&gt;0,"Yes","No")</f>
        <v>No</v>
      </c>
      <c r="S1107" s="6"/>
    </row>
    <row r="1108" spans="1:19" ht="34.5" customHeight="1" x14ac:dyDescent="0.2">
      <c r="A1108" s="2">
        <v>235</v>
      </c>
      <c r="B1108" s="2">
        <v>24</v>
      </c>
      <c r="C1108" s="2" t="s">
        <v>402</v>
      </c>
      <c r="D1108" s="2" t="s">
        <v>39</v>
      </c>
      <c r="E1108" s="2">
        <v>20210829</v>
      </c>
      <c r="F1108" s="2">
        <v>20210901</v>
      </c>
      <c r="G1108" s="2">
        <v>84608.1</v>
      </c>
      <c r="H1108" s="2">
        <v>73572</v>
      </c>
      <c r="I1108" s="2">
        <v>96</v>
      </c>
      <c r="J1108" s="2" t="s">
        <v>403</v>
      </c>
      <c r="K1108" s="2" t="s">
        <v>404</v>
      </c>
      <c r="L1108" s="2" t="s">
        <v>3766</v>
      </c>
      <c r="M1108" s="7" t="s">
        <v>3767</v>
      </c>
      <c r="N1108" s="7" t="s">
        <v>3768</v>
      </c>
      <c r="O1108" s="2"/>
      <c r="P1108" s="2"/>
      <c r="Q1108" s="2" t="str">
        <f>IF(SUMPRODUCT(--ISNUMBER(SEARCH('National Domains'!$A$2:$A$48,L1108)))&gt;0,"Yes","No")</f>
        <v>No</v>
      </c>
      <c r="R1108" s="2" t="str">
        <f>IF(COUNTIFS(Calibration!$A:$A,A1108,Calibration!$B:$B,B1108)&gt;0,"Yes","No")</f>
        <v>No</v>
      </c>
      <c r="S1108" s="6"/>
    </row>
    <row r="1109" spans="1:19" ht="34.5" customHeight="1" x14ac:dyDescent="0.2">
      <c r="A1109" s="2">
        <v>235</v>
      </c>
      <c r="B1109" s="2">
        <v>25</v>
      </c>
      <c r="C1109" s="2" t="s">
        <v>402</v>
      </c>
      <c r="D1109" s="2" t="s">
        <v>39</v>
      </c>
      <c r="E1109" s="2">
        <v>20210829</v>
      </c>
      <c r="F1109" s="2">
        <v>20210901</v>
      </c>
      <c r="G1109" s="2">
        <v>84608.1</v>
      </c>
      <c r="H1109" s="2">
        <v>73572</v>
      </c>
      <c r="I1109" s="2">
        <v>96</v>
      </c>
      <c r="J1109" s="2" t="s">
        <v>403</v>
      </c>
      <c r="K1109" s="2" t="s">
        <v>404</v>
      </c>
      <c r="L1109" s="2" t="s">
        <v>3769</v>
      </c>
      <c r="M1109" s="7" t="s">
        <v>3770</v>
      </c>
      <c r="N1109" s="7" t="s">
        <v>3771</v>
      </c>
      <c r="O1109" s="2"/>
      <c r="P1109" s="2"/>
      <c r="Q1109" s="2" t="str">
        <f>IF(SUMPRODUCT(--ISNUMBER(SEARCH('National Domains'!$A$2:$A$48,L1109)))&gt;0,"Yes","No")</f>
        <v>Yes</v>
      </c>
      <c r="R1109" s="2" t="str">
        <f>IF(COUNTIFS(Calibration!$A:$A,A1109,Calibration!$B:$B,B1109)&gt;0,"Yes","No")</f>
        <v>No</v>
      </c>
      <c r="S1109" s="6"/>
    </row>
    <row r="1110" spans="1:19" ht="34.5" customHeight="1" x14ac:dyDescent="0.2">
      <c r="A1110" s="2">
        <v>236</v>
      </c>
      <c r="B1110" s="2">
        <v>1</v>
      </c>
      <c r="C1110" s="2" t="s">
        <v>405</v>
      </c>
      <c r="D1110" s="2" t="s">
        <v>39</v>
      </c>
      <c r="E1110" s="2">
        <v>20210914</v>
      </c>
      <c r="F1110" s="2">
        <v>20210918</v>
      </c>
      <c r="G1110" s="2">
        <v>1168.5</v>
      </c>
      <c r="H1110" s="2">
        <v>1016</v>
      </c>
      <c r="I1110" s="2">
        <v>0</v>
      </c>
      <c r="J1110" s="2" t="s">
        <v>40</v>
      </c>
      <c r="K1110" s="2" t="s">
        <v>41</v>
      </c>
      <c r="L1110" s="2" t="s">
        <v>3772</v>
      </c>
      <c r="M1110" s="7" t="s">
        <v>3773</v>
      </c>
      <c r="N1110" s="7" t="s">
        <v>3774</v>
      </c>
      <c r="O1110" s="2"/>
      <c r="P1110" s="2"/>
      <c r="Q1110" s="2" t="str">
        <f>IF(SUMPRODUCT(--ISNUMBER(SEARCH('National Domains'!$A$2:$A$48,L1110)))&gt;0,"Yes","No")</f>
        <v>No</v>
      </c>
      <c r="R1110" s="2" t="str">
        <f>IF(COUNTIFS(Calibration!$A:$A,A1110,Calibration!$B:$B,B1110)&gt;0,"Yes","No")</f>
        <v>No</v>
      </c>
      <c r="S1110" s="6"/>
    </row>
    <row r="1111" spans="1:19" ht="34.5" customHeight="1" x14ac:dyDescent="0.2">
      <c r="A1111" s="2">
        <v>236</v>
      </c>
      <c r="B1111" s="2">
        <v>2</v>
      </c>
      <c r="C1111" s="2" t="s">
        <v>405</v>
      </c>
      <c r="D1111" s="2" t="s">
        <v>39</v>
      </c>
      <c r="E1111" s="2">
        <v>20210914</v>
      </c>
      <c r="F1111" s="2">
        <v>20210918</v>
      </c>
      <c r="G1111" s="2">
        <v>1168.5</v>
      </c>
      <c r="H1111" s="2">
        <v>1016</v>
      </c>
      <c r="I1111" s="2">
        <v>0</v>
      </c>
      <c r="J1111" s="2" t="s">
        <v>40</v>
      </c>
      <c r="K1111" s="2" t="s">
        <v>41</v>
      </c>
      <c r="L1111" s="2" t="s">
        <v>3775</v>
      </c>
      <c r="M1111" s="7" t="s">
        <v>3776</v>
      </c>
      <c r="N1111" s="7" t="s">
        <v>3777</v>
      </c>
      <c r="O1111" s="2"/>
      <c r="P1111" s="2"/>
      <c r="Q1111" s="2" t="str">
        <f>IF(SUMPRODUCT(--ISNUMBER(SEARCH('National Domains'!$A$2:$A$48,L1111)))&gt;0,"Yes","No")</f>
        <v>No</v>
      </c>
      <c r="R1111" s="2" t="str">
        <f>IF(COUNTIFS(Calibration!$A:$A,A1111,Calibration!$B:$B,B1111)&gt;0,"Yes","No")</f>
        <v>No</v>
      </c>
      <c r="S1111" s="6"/>
    </row>
    <row r="1112" spans="1:19" ht="34.5" customHeight="1" x14ac:dyDescent="0.2">
      <c r="A1112" s="2">
        <v>236</v>
      </c>
      <c r="B1112" s="2">
        <v>3</v>
      </c>
      <c r="C1112" s="2" t="s">
        <v>405</v>
      </c>
      <c r="D1112" s="2" t="s">
        <v>39</v>
      </c>
      <c r="E1112" s="2">
        <v>20210914</v>
      </c>
      <c r="F1112" s="2">
        <v>20210918</v>
      </c>
      <c r="G1112" s="2">
        <v>1168.5</v>
      </c>
      <c r="H1112" s="2">
        <v>1016</v>
      </c>
      <c r="I1112" s="2">
        <v>0</v>
      </c>
      <c r="J1112" s="2" t="s">
        <v>40</v>
      </c>
      <c r="K1112" s="2" t="s">
        <v>41</v>
      </c>
      <c r="L1112" s="2" t="s">
        <v>3778</v>
      </c>
      <c r="M1112" s="7" t="s">
        <v>3779</v>
      </c>
      <c r="N1112" s="7" t="s">
        <v>3780</v>
      </c>
      <c r="O1112" s="2"/>
      <c r="P1112" s="2"/>
      <c r="Q1112" s="2" t="str">
        <f>IF(SUMPRODUCT(--ISNUMBER(SEARCH('National Domains'!$A$2:$A$48,L1112)))&gt;0,"Yes","No")</f>
        <v>Yes</v>
      </c>
      <c r="R1112" s="2" t="str">
        <f>IF(COUNTIFS(Calibration!$A:$A,A1112,Calibration!$B:$B,B1112)&gt;0,"Yes","No")</f>
        <v>No</v>
      </c>
      <c r="S1112" s="6"/>
    </row>
    <row r="1113" spans="1:19" ht="34.5" customHeight="1" x14ac:dyDescent="0.2">
      <c r="A1113" s="2">
        <v>236</v>
      </c>
      <c r="B1113" s="2">
        <v>4</v>
      </c>
      <c r="C1113" s="2" t="s">
        <v>405</v>
      </c>
      <c r="D1113" s="2" t="s">
        <v>39</v>
      </c>
      <c r="E1113" s="2">
        <v>20210914</v>
      </c>
      <c r="F1113" s="2">
        <v>20210918</v>
      </c>
      <c r="G1113" s="2">
        <v>1168.5</v>
      </c>
      <c r="H1113" s="2">
        <v>1016</v>
      </c>
      <c r="I1113" s="2">
        <v>0</v>
      </c>
      <c r="J1113" s="2" t="s">
        <v>40</v>
      </c>
      <c r="K1113" s="2" t="s">
        <v>41</v>
      </c>
      <c r="L1113" s="2" t="s">
        <v>3781</v>
      </c>
      <c r="M1113" s="7" t="s">
        <v>3782</v>
      </c>
      <c r="N1113" s="7" t="s">
        <v>3783</v>
      </c>
      <c r="O1113" s="2"/>
      <c r="P1113" s="2"/>
      <c r="Q1113" s="2" t="str">
        <f>IF(SUMPRODUCT(--ISNUMBER(SEARCH('National Domains'!$A$2:$A$48,L1113)))&gt;0,"Yes","No")</f>
        <v>Yes</v>
      </c>
      <c r="R1113" s="2" t="str">
        <f>IF(COUNTIFS(Calibration!$A:$A,A1113,Calibration!$B:$B,B1113)&gt;0,"Yes","No")</f>
        <v>No</v>
      </c>
      <c r="S1113" s="6"/>
    </row>
    <row r="1114" spans="1:19" ht="34.5" customHeight="1" x14ac:dyDescent="0.2">
      <c r="A1114" s="2">
        <v>236</v>
      </c>
      <c r="B1114" s="2">
        <v>5</v>
      </c>
      <c r="C1114" s="2" t="s">
        <v>405</v>
      </c>
      <c r="D1114" s="2" t="s">
        <v>39</v>
      </c>
      <c r="E1114" s="2">
        <v>20210914</v>
      </c>
      <c r="F1114" s="2">
        <v>20210918</v>
      </c>
      <c r="G1114" s="2">
        <v>1168.5</v>
      </c>
      <c r="H1114" s="2">
        <v>1016</v>
      </c>
      <c r="I1114" s="2">
        <v>0</v>
      </c>
      <c r="J1114" s="2" t="s">
        <v>40</v>
      </c>
      <c r="K1114" s="2" t="s">
        <v>41</v>
      </c>
      <c r="L1114" s="2" t="s">
        <v>3784</v>
      </c>
      <c r="M1114" s="7" t="s">
        <v>3785</v>
      </c>
      <c r="N1114" s="7" t="s">
        <v>3786</v>
      </c>
      <c r="O1114" s="2"/>
      <c r="P1114" s="2"/>
      <c r="Q1114" s="2" t="str">
        <f>IF(SUMPRODUCT(--ISNUMBER(SEARCH('National Domains'!$A$2:$A$48,L1114)))&gt;0,"Yes","No")</f>
        <v>Yes</v>
      </c>
      <c r="R1114" s="2" t="str">
        <f>IF(COUNTIFS(Calibration!$A:$A,A1114,Calibration!$B:$B,B1114)&gt;0,"Yes","No")</f>
        <v>No</v>
      </c>
      <c r="S1114" s="6"/>
    </row>
    <row r="1115" spans="1:19" ht="34.5" customHeight="1" x14ac:dyDescent="0.2">
      <c r="A1115" s="2">
        <v>236</v>
      </c>
      <c r="B1115" s="2">
        <v>6</v>
      </c>
      <c r="C1115" s="2" t="s">
        <v>405</v>
      </c>
      <c r="D1115" s="2" t="s">
        <v>39</v>
      </c>
      <c r="E1115" s="2">
        <v>20210914</v>
      </c>
      <c r="F1115" s="2">
        <v>20210918</v>
      </c>
      <c r="G1115" s="2">
        <v>1168.5</v>
      </c>
      <c r="H1115" s="2">
        <v>1016</v>
      </c>
      <c r="I1115" s="2">
        <v>0</v>
      </c>
      <c r="J1115" s="2" t="s">
        <v>40</v>
      </c>
      <c r="K1115" s="2" t="s">
        <v>41</v>
      </c>
      <c r="L1115" s="2" t="s">
        <v>3787</v>
      </c>
      <c r="M1115" s="7" t="s">
        <v>3788</v>
      </c>
      <c r="N1115" s="7" t="s">
        <v>3789</v>
      </c>
      <c r="O1115" s="2"/>
      <c r="P1115" s="2"/>
      <c r="Q1115" s="2" t="str">
        <f>IF(SUMPRODUCT(--ISNUMBER(SEARCH('National Domains'!$A$2:$A$48,L1115)))&gt;0,"Yes","No")</f>
        <v>Yes</v>
      </c>
      <c r="R1115" s="2" t="str">
        <f>IF(COUNTIFS(Calibration!$A:$A,A1115,Calibration!$B:$B,B1115)&gt;0,"Yes","No")</f>
        <v>No</v>
      </c>
      <c r="S1115" s="6"/>
    </row>
    <row r="1116" spans="1:19" ht="34.5" customHeight="1" x14ac:dyDescent="0.2">
      <c r="A1116" s="2">
        <v>236</v>
      </c>
      <c r="B1116" s="2">
        <v>7</v>
      </c>
      <c r="C1116" s="2" t="s">
        <v>405</v>
      </c>
      <c r="D1116" s="2" t="s">
        <v>39</v>
      </c>
      <c r="E1116" s="2">
        <v>20210914</v>
      </c>
      <c r="F1116" s="2">
        <v>20210918</v>
      </c>
      <c r="G1116" s="2">
        <v>1168.5</v>
      </c>
      <c r="H1116" s="2">
        <v>1016</v>
      </c>
      <c r="I1116" s="2">
        <v>0</v>
      </c>
      <c r="J1116" s="2" t="s">
        <v>40</v>
      </c>
      <c r="K1116" s="2" t="s">
        <v>41</v>
      </c>
      <c r="L1116" s="2" t="s">
        <v>3790</v>
      </c>
      <c r="M1116" s="7" t="s">
        <v>3791</v>
      </c>
      <c r="N1116" s="7" t="s">
        <v>3792</v>
      </c>
      <c r="O1116" s="2"/>
      <c r="P1116" s="2"/>
      <c r="Q1116" s="2" t="str">
        <f>IF(SUMPRODUCT(--ISNUMBER(SEARCH('National Domains'!$A$2:$A$48,L1116)))&gt;0,"Yes","No")</f>
        <v>Yes</v>
      </c>
      <c r="R1116" s="2" t="str">
        <f>IF(COUNTIFS(Calibration!$A:$A,A1116,Calibration!$B:$B,B1116)&gt;0,"Yes","No")</f>
        <v>No</v>
      </c>
      <c r="S1116" s="6"/>
    </row>
    <row r="1117" spans="1:19" ht="34.5" customHeight="1" x14ac:dyDescent="0.2">
      <c r="A1117" s="2">
        <v>236</v>
      </c>
      <c r="B1117" s="2">
        <v>8</v>
      </c>
      <c r="C1117" s="2" t="s">
        <v>405</v>
      </c>
      <c r="D1117" s="2" t="s">
        <v>39</v>
      </c>
      <c r="E1117" s="2">
        <v>20210914</v>
      </c>
      <c r="F1117" s="2">
        <v>20210918</v>
      </c>
      <c r="G1117" s="2">
        <v>1168.5</v>
      </c>
      <c r="H1117" s="2">
        <v>1016</v>
      </c>
      <c r="I1117" s="2">
        <v>0</v>
      </c>
      <c r="J1117" s="2" t="s">
        <v>40</v>
      </c>
      <c r="K1117" s="2" t="s">
        <v>41</v>
      </c>
      <c r="L1117" s="2" t="s">
        <v>3793</v>
      </c>
      <c r="M1117" s="7" t="s">
        <v>3794</v>
      </c>
      <c r="N1117" s="7" t="s">
        <v>3795</v>
      </c>
      <c r="O1117" s="2"/>
      <c r="P1117" s="2"/>
      <c r="Q1117" s="2" t="str">
        <f>IF(SUMPRODUCT(--ISNUMBER(SEARCH('National Domains'!$A$2:$A$48,L1117)))&gt;0,"Yes","No")</f>
        <v>Yes</v>
      </c>
      <c r="R1117" s="2" t="str">
        <f>IF(COUNTIFS(Calibration!$A:$A,A1117,Calibration!$B:$B,B1117)&gt;0,"Yes","No")</f>
        <v>No</v>
      </c>
      <c r="S1117" s="6"/>
    </row>
    <row r="1118" spans="1:19" ht="34.5" customHeight="1" x14ac:dyDescent="0.2">
      <c r="A1118" s="2">
        <v>236</v>
      </c>
      <c r="B1118" s="2">
        <v>9</v>
      </c>
      <c r="C1118" s="2" t="s">
        <v>405</v>
      </c>
      <c r="D1118" s="2" t="s">
        <v>39</v>
      </c>
      <c r="E1118" s="2">
        <v>20210914</v>
      </c>
      <c r="F1118" s="2">
        <v>20210918</v>
      </c>
      <c r="G1118" s="2">
        <v>1168.5</v>
      </c>
      <c r="H1118" s="2">
        <v>1016</v>
      </c>
      <c r="I1118" s="2">
        <v>0</v>
      </c>
      <c r="J1118" s="2" t="s">
        <v>40</v>
      </c>
      <c r="K1118" s="2" t="s">
        <v>41</v>
      </c>
      <c r="L1118" s="2" t="s">
        <v>3796</v>
      </c>
      <c r="M1118" s="7" t="s">
        <v>3797</v>
      </c>
      <c r="N1118" s="7" t="s">
        <v>3798</v>
      </c>
      <c r="O1118" s="2"/>
      <c r="P1118" s="2"/>
      <c r="Q1118" s="2" t="str">
        <f>IF(SUMPRODUCT(--ISNUMBER(SEARCH('National Domains'!$A$2:$A$48,L1118)))&gt;0,"Yes","No")</f>
        <v>No</v>
      </c>
      <c r="R1118" s="2" t="str">
        <f>IF(COUNTIFS(Calibration!$A:$A,A1118,Calibration!$B:$B,B1118)&gt;0,"Yes","No")</f>
        <v>No</v>
      </c>
      <c r="S1118" s="6"/>
    </row>
    <row r="1119" spans="1:19" ht="34.5" customHeight="1" x14ac:dyDescent="0.2">
      <c r="A1119" s="2">
        <v>236</v>
      </c>
      <c r="B1119" s="2">
        <v>10</v>
      </c>
      <c r="C1119" s="2" t="s">
        <v>405</v>
      </c>
      <c r="D1119" s="2" t="s">
        <v>39</v>
      </c>
      <c r="E1119" s="2">
        <v>20210914</v>
      </c>
      <c r="F1119" s="2">
        <v>20210918</v>
      </c>
      <c r="G1119" s="2">
        <v>1168.5</v>
      </c>
      <c r="H1119" s="2">
        <v>1016</v>
      </c>
      <c r="I1119" s="2">
        <v>0</v>
      </c>
      <c r="J1119" s="2" t="s">
        <v>40</v>
      </c>
      <c r="K1119" s="2" t="s">
        <v>41</v>
      </c>
      <c r="L1119" s="2" t="s">
        <v>3799</v>
      </c>
      <c r="M1119" s="7" t="s">
        <v>3800</v>
      </c>
      <c r="N1119" s="7" t="s">
        <v>3801</v>
      </c>
      <c r="O1119" s="2"/>
      <c r="P1119" s="2"/>
      <c r="Q1119" s="2" t="str">
        <f>IF(SUMPRODUCT(--ISNUMBER(SEARCH('National Domains'!$A$2:$A$48,L1119)))&gt;0,"Yes","No")</f>
        <v>Yes</v>
      </c>
      <c r="R1119" s="2" t="str">
        <f>IF(COUNTIFS(Calibration!$A:$A,A1119,Calibration!$B:$B,B1119)&gt;0,"Yes","No")</f>
        <v>No</v>
      </c>
      <c r="S1119" s="6"/>
    </row>
    <row r="1120" spans="1:19" ht="34.5" customHeight="1" x14ac:dyDescent="0.2">
      <c r="A1120" s="2">
        <v>237</v>
      </c>
      <c r="B1120" s="2">
        <v>1</v>
      </c>
      <c r="C1120" s="2" t="s">
        <v>406</v>
      </c>
      <c r="D1120" s="2" t="s">
        <v>17</v>
      </c>
      <c r="E1120" s="2">
        <v>20211210</v>
      </c>
      <c r="F1120" s="2">
        <v>20211210</v>
      </c>
      <c r="G1120" s="2">
        <v>4463.1000000000004</v>
      </c>
      <c r="H1120" s="2">
        <v>3915</v>
      </c>
      <c r="I1120" s="2">
        <v>93</v>
      </c>
      <c r="J1120" s="2" t="s">
        <v>297</v>
      </c>
      <c r="K1120" s="2" t="s">
        <v>109</v>
      </c>
      <c r="L1120" s="2" t="s">
        <v>3802</v>
      </c>
      <c r="M1120" s="7" t="s">
        <v>3803</v>
      </c>
      <c r="N1120" s="7" t="s">
        <v>3804</v>
      </c>
      <c r="O1120" s="2"/>
      <c r="P1120" s="2"/>
      <c r="Q1120" s="2" t="str">
        <f>IF(SUMPRODUCT(--ISNUMBER(SEARCH('National Domains'!$A$2:$A$48,L1120)))&gt;0,"Yes","No")</f>
        <v>No</v>
      </c>
      <c r="R1120" s="2" t="str">
        <f>IF(COUNTIFS(Calibration!$A:$A,A1120,Calibration!$B:$B,B1120)&gt;0,"Yes","No")</f>
        <v>No</v>
      </c>
      <c r="S1120" s="6"/>
    </row>
    <row r="1121" spans="1:19" ht="34.5" customHeight="1" x14ac:dyDescent="0.2">
      <c r="A1121" s="2">
        <v>237</v>
      </c>
      <c r="B1121" s="2">
        <v>2</v>
      </c>
      <c r="C1121" s="2" t="s">
        <v>406</v>
      </c>
      <c r="D1121" s="2" t="s">
        <v>17</v>
      </c>
      <c r="E1121" s="2">
        <v>20211210</v>
      </c>
      <c r="F1121" s="2">
        <v>20211210</v>
      </c>
      <c r="G1121" s="2">
        <v>4463.1000000000004</v>
      </c>
      <c r="H1121" s="2">
        <v>3915</v>
      </c>
      <c r="I1121" s="2">
        <v>93</v>
      </c>
      <c r="J1121" s="2" t="s">
        <v>297</v>
      </c>
      <c r="K1121" s="2" t="s">
        <v>109</v>
      </c>
      <c r="L1121" s="2" t="s">
        <v>3805</v>
      </c>
      <c r="M1121" s="7" t="s">
        <v>3806</v>
      </c>
      <c r="N1121" s="7" t="s">
        <v>3807</v>
      </c>
      <c r="O1121" s="2"/>
      <c r="P1121" s="2"/>
      <c r="Q1121" s="2" t="str">
        <f>IF(SUMPRODUCT(--ISNUMBER(SEARCH('National Domains'!$A$2:$A$48,L1121)))&gt;0,"Yes","No")</f>
        <v>No</v>
      </c>
      <c r="R1121" s="2" t="str">
        <f>IF(COUNTIFS(Calibration!$A:$A,A1121,Calibration!$B:$B,B1121)&gt;0,"Yes","No")</f>
        <v>No</v>
      </c>
      <c r="S1121" s="6"/>
    </row>
    <row r="1122" spans="1:19" ht="34.5" customHeight="1" x14ac:dyDescent="0.2">
      <c r="A1122" s="2">
        <v>237</v>
      </c>
      <c r="B1122" s="2">
        <v>3</v>
      </c>
      <c r="C1122" s="2" t="s">
        <v>406</v>
      </c>
      <c r="D1122" s="2" t="s">
        <v>17</v>
      </c>
      <c r="E1122" s="2">
        <v>20211210</v>
      </c>
      <c r="F1122" s="2">
        <v>20211210</v>
      </c>
      <c r="G1122" s="2">
        <v>4463.1000000000004</v>
      </c>
      <c r="H1122" s="2">
        <v>3915</v>
      </c>
      <c r="I1122" s="2">
        <v>93</v>
      </c>
      <c r="J1122" s="2" t="s">
        <v>297</v>
      </c>
      <c r="K1122" s="2" t="s">
        <v>109</v>
      </c>
      <c r="L1122" s="2" t="s">
        <v>3808</v>
      </c>
      <c r="M1122" s="7" t="s">
        <v>3809</v>
      </c>
      <c r="N1122" s="7" t="s">
        <v>3810</v>
      </c>
      <c r="O1122" s="2"/>
      <c r="P1122" s="2"/>
      <c r="Q1122" s="2" t="str">
        <f>IF(SUMPRODUCT(--ISNUMBER(SEARCH('National Domains'!$A$2:$A$48,L1122)))&gt;0,"Yes","No")</f>
        <v>Yes</v>
      </c>
      <c r="R1122" s="2" t="str">
        <f>IF(COUNTIFS(Calibration!$A:$A,A1122,Calibration!$B:$B,B1122)&gt;0,"Yes","No")</f>
        <v>No</v>
      </c>
      <c r="S1122" s="6"/>
    </row>
    <row r="1123" spans="1:19" ht="34.5" customHeight="1" x14ac:dyDescent="0.2">
      <c r="A1123" s="2">
        <v>237</v>
      </c>
      <c r="B1123" s="2">
        <v>4</v>
      </c>
      <c r="C1123" s="2" t="s">
        <v>406</v>
      </c>
      <c r="D1123" s="2" t="s">
        <v>17</v>
      </c>
      <c r="E1123" s="2">
        <v>20211210</v>
      </c>
      <c r="F1123" s="2">
        <v>20211210</v>
      </c>
      <c r="G1123" s="2">
        <v>4463.1000000000004</v>
      </c>
      <c r="H1123" s="2">
        <v>3915</v>
      </c>
      <c r="I1123" s="2">
        <v>93</v>
      </c>
      <c r="J1123" s="2" t="s">
        <v>297</v>
      </c>
      <c r="K1123" s="2" t="s">
        <v>109</v>
      </c>
      <c r="L1123" s="2" t="s">
        <v>3811</v>
      </c>
      <c r="M1123" s="7" t="s">
        <v>3812</v>
      </c>
      <c r="N1123" s="7" t="s">
        <v>3813</v>
      </c>
      <c r="O1123" s="2"/>
      <c r="P1123" s="2"/>
      <c r="Q1123" s="2" t="str">
        <f>IF(SUMPRODUCT(--ISNUMBER(SEARCH('National Domains'!$A$2:$A$48,L1123)))&gt;0,"Yes","No")</f>
        <v>Yes</v>
      </c>
      <c r="R1123" s="2" t="str">
        <f>IF(COUNTIFS(Calibration!$A:$A,A1123,Calibration!$B:$B,B1123)&gt;0,"Yes","No")</f>
        <v>No</v>
      </c>
      <c r="S1123" s="6"/>
    </row>
    <row r="1124" spans="1:19" ht="34.5" customHeight="1" x14ac:dyDescent="0.2">
      <c r="A1124" s="2">
        <v>237</v>
      </c>
      <c r="B1124" s="2">
        <v>5</v>
      </c>
      <c r="C1124" s="2" t="s">
        <v>406</v>
      </c>
      <c r="D1124" s="2" t="s">
        <v>17</v>
      </c>
      <c r="E1124" s="2">
        <v>20211210</v>
      </c>
      <c r="F1124" s="2">
        <v>20211210</v>
      </c>
      <c r="G1124" s="2">
        <v>4463.1000000000004</v>
      </c>
      <c r="H1124" s="2">
        <v>3915</v>
      </c>
      <c r="I1124" s="2">
        <v>93</v>
      </c>
      <c r="J1124" s="2" t="s">
        <v>297</v>
      </c>
      <c r="K1124" s="2" t="s">
        <v>109</v>
      </c>
      <c r="L1124" s="2" t="s">
        <v>3814</v>
      </c>
      <c r="M1124" s="7" t="s">
        <v>3815</v>
      </c>
      <c r="N1124" s="7" t="s">
        <v>3816</v>
      </c>
      <c r="O1124" s="2"/>
      <c r="P1124" s="2"/>
      <c r="Q1124" s="2" t="str">
        <f>IF(SUMPRODUCT(--ISNUMBER(SEARCH('National Domains'!$A$2:$A$48,L1124)))&gt;0,"Yes","No")</f>
        <v>Yes</v>
      </c>
      <c r="R1124" s="2" t="str">
        <f>IF(COUNTIFS(Calibration!$A:$A,A1124,Calibration!$B:$B,B1124)&gt;0,"Yes","No")</f>
        <v>No</v>
      </c>
      <c r="S1124" s="6"/>
    </row>
    <row r="1125" spans="1:19" ht="34.5" customHeight="1" x14ac:dyDescent="0.2">
      <c r="A1125" s="2">
        <v>237</v>
      </c>
      <c r="B1125" s="2">
        <v>6</v>
      </c>
      <c r="C1125" s="2" t="s">
        <v>406</v>
      </c>
      <c r="D1125" s="2" t="s">
        <v>17</v>
      </c>
      <c r="E1125" s="2">
        <v>20211210</v>
      </c>
      <c r="F1125" s="2">
        <v>20211210</v>
      </c>
      <c r="G1125" s="2">
        <v>4463.1000000000004</v>
      </c>
      <c r="H1125" s="2">
        <v>3915</v>
      </c>
      <c r="I1125" s="2">
        <v>93</v>
      </c>
      <c r="J1125" s="2" t="s">
        <v>297</v>
      </c>
      <c r="K1125" s="2" t="s">
        <v>109</v>
      </c>
      <c r="L1125" s="2" t="s">
        <v>3817</v>
      </c>
      <c r="M1125" s="7" t="s">
        <v>3818</v>
      </c>
      <c r="N1125" s="7" t="s">
        <v>3819</v>
      </c>
      <c r="O1125" s="2"/>
      <c r="P1125" s="2"/>
      <c r="Q1125" s="2" t="str">
        <f>IF(SUMPRODUCT(--ISNUMBER(SEARCH('National Domains'!$A$2:$A$48,L1125)))&gt;0,"Yes","No")</f>
        <v>Yes</v>
      </c>
      <c r="R1125" s="2" t="str">
        <f>IF(COUNTIFS(Calibration!$A:$A,A1125,Calibration!$B:$B,B1125)&gt;0,"Yes","No")</f>
        <v>No</v>
      </c>
      <c r="S1125" s="6"/>
    </row>
    <row r="1126" spans="1:19" ht="34.5" customHeight="1" x14ac:dyDescent="0.2">
      <c r="A1126" s="2">
        <v>237</v>
      </c>
      <c r="B1126" s="2">
        <v>7</v>
      </c>
      <c r="C1126" s="2" t="s">
        <v>406</v>
      </c>
      <c r="D1126" s="2" t="s">
        <v>17</v>
      </c>
      <c r="E1126" s="2">
        <v>20211210</v>
      </c>
      <c r="F1126" s="2">
        <v>20211210</v>
      </c>
      <c r="G1126" s="2">
        <v>4463.1000000000004</v>
      </c>
      <c r="H1126" s="2">
        <v>3915</v>
      </c>
      <c r="I1126" s="2">
        <v>93</v>
      </c>
      <c r="J1126" s="2" t="s">
        <v>297</v>
      </c>
      <c r="K1126" s="2" t="s">
        <v>109</v>
      </c>
      <c r="L1126" s="2" t="s">
        <v>3820</v>
      </c>
      <c r="M1126" s="7" t="s">
        <v>3821</v>
      </c>
      <c r="N1126" s="7" t="s">
        <v>3822</v>
      </c>
      <c r="O1126" s="2"/>
      <c r="P1126" s="2"/>
      <c r="Q1126" s="2" t="str">
        <f>IF(SUMPRODUCT(--ISNUMBER(SEARCH('National Domains'!$A$2:$A$48,L1126)))&gt;0,"Yes","No")</f>
        <v>Yes</v>
      </c>
      <c r="R1126" s="2" t="str">
        <f>IF(COUNTIFS(Calibration!$A:$A,A1126,Calibration!$B:$B,B1126)&gt;0,"Yes","No")</f>
        <v>No</v>
      </c>
      <c r="S1126" s="6"/>
    </row>
    <row r="1127" spans="1:19" ht="34.5" customHeight="1" x14ac:dyDescent="0.2">
      <c r="A1127" s="2">
        <v>237</v>
      </c>
      <c r="B1127" s="2">
        <v>8</v>
      </c>
      <c r="C1127" s="2" t="s">
        <v>406</v>
      </c>
      <c r="D1127" s="2" t="s">
        <v>17</v>
      </c>
      <c r="E1127" s="2">
        <v>20211210</v>
      </c>
      <c r="F1127" s="2">
        <v>20211210</v>
      </c>
      <c r="G1127" s="2">
        <v>4463.1000000000004</v>
      </c>
      <c r="H1127" s="2">
        <v>3915</v>
      </c>
      <c r="I1127" s="2">
        <v>93</v>
      </c>
      <c r="J1127" s="2" t="s">
        <v>297</v>
      </c>
      <c r="K1127" s="2" t="s">
        <v>109</v>
      </c>
      <c r="L1127" s="2" t="s">
        <v>3823</v>
      </c>
      <c r="M1127" s="7" t="s">
        <v>3824</v>
      </c>
      <c r="N1127" s="7" t="s">
        <v>3825</v>
      </c>
      <c r="O1127" s="2"/>
      <c r="P1127" s="2"/>
      <c r="Q1127" s="2" t="str">
        <f>IF(SUMPRODUCT(--ISNUMBER(SEARCH('National Domains'!$A$2:$A$48,L1127)))&gt;0,"Yes","No")</f>
        <v>Yes</v>
      </c>
      <c r="R1127" s="2" t="str">
        <f>IF(COUNTIFS(Calibration!$A:$A,A1127,Calibration!$B:$B,B1127)&gt;0,"Yes","No")</f>
        <v>No</v>
      </c>
      <c r="S1127" s="6"/>
    </row>
    <row r="1128" spans="1:19" ht="34.5" customHeight="1" x14ac:dyDescent="0.2">
      <c r="A1128" s="2">
        <v>238</v>
      </c>
      <c r="B1128" s="2">
        <v>1</v>
      </c>
      <c r="C1128" s="2" t="s">
        <v>407</v>
      </c>
      <c r="D1128" s="2" t="s">
        <v>17</v>
      </c>
      <c r="E1128" s="2">
        <v>20211215</v>
      </c>
      <c r="F1128" s="2">
        <v>20211215</v>
      </c>
      <c r="G1128" s="2">
        <v>2031.5</v>
      </c>
      <c r="H1128" s="2">
        <v>1782</v>
      </c>
      <c r="I1128" s="2">
        <v>1</v>
      </c>
      <c r="J1128" s="2" t="s">
        <v>36</v>
      </c>
      <c r="K1128" s="2" t="s">
        <v>37</v>
      </c>
      <c r="L1128" s="2" t="s">
        <v>3826</v>
      </c>
      <c r="M1128" s="7" t="s">
        <v>3827</v>
      </c>
      <c r="N1128" s="7" t="s">
        <v>3828</v>
      </c>
      <c r="O1128" s="2"/>
      <c r="P1128" s="2"/>
      <c r="Q1128" s="2" t="str">
        <f>IF(SUMPRODUCT(--ISNUMBER(SEARCH('National Domains'!$A$2:$A$48,L1128)))&gt;0,"Yes","No")</f>
        <v>No</v>
      </c>
      <c r="R1128" s="2" t="str">
        <f>IF(COUNTIFS(Calibration!$A:$A,A1128,Calibration!$B:$B,B1128)&gt;0,"Yes","No")</f>
        <v>No</v>
      </c>
      <c r="S1128" s="6"/>
    </row>
    <row r="1129" spans="1:19" ht="34.5" customHeight="1" x14ac:dyDescent="0.2">
      <c r="A1129" s="2">
        <v>238</v>
      </c>
      <c r="B1129" s="2">
        <v>2</v>
      </c>
      <c r="C1129" s="2" t="s">
        <v>407</v>
      </c>
      <c r="D1129" s="2" t="s">
        <v>17</v>
      </c>
      <c r="E1129" s="2">
        <v>20211215</v>
      </c>
      <c r="F1129" s="2">
        <v>20211215</v>
      </c>
      <c r="G1129" s="2">
        <v>2031.5</v>
      </c>
      <c r="H1129" s="2">
        <v>1782</v>
      </c>
      <c r="I1129" s="2">
        <v>1</v>
      </c>
      <c r="J1129" s="2" t="s">
        <v>36</v>
      </c>
      <c r="K1129" s="2" t="s">
        <v>37</v>
      </c>
      <c r="L1129" s="2" t="s">
        <v>3829</v>
      </c>
      <c r="M1129" s="7" t="s">
        <v>3830</v>
      </c>
      <c r="N1129" s="7" t="s">
        <v>3831</v>
      </c>
      <c r="O1129" s="2"/>
      <c r="P1129" s="2"/>
      <c r="Q1129" s="2" t="str">
        <f>IF(SUMPRODUCT(--ISNUMBER(SEARCH('National Domains'!$A$2:$A$48,L1129)))&gt;0,"Yes","No")</f>
        <v>No</v>
      </c>
      <c r="R1129" s="2" t="str">
        <f>IF(COUNTIFS(Calibration!$A:$A,A1129,Calibration!$B:$B,B1129)&gt;0,"Yes","No")</f>
        <v>No</v>
      </c>
      <c r="S1129" s="6"/>
    </row>
    <row r="1130" spans="1:19" ht="34.5" customHeight="1" x14ac:dyDescent="0.2">
      <c r="A1130" s="2">
        <v>238</v>
      </c>
      <c r="B1130" s="2">
        <v>3</v>
      </c>
      <c r="C1130" s="2" t="s">
        <v>407</v>
      </c>
      <c r="D1130" s="2" t="s">
        <v>17</v>
      </c>
      <c r="E1130" s="2">
        <v>20211215</v>
      </c>
      <c r="F1130" s="2">
        <v>20211215</v>
      </c>
      <c r="G1130" s="2">
        <v>2031.5</v>
      </c>
      <c r="H1130" s="2">
        <v>1782</v>
      </c>
      <c r="I1130" s="2">
        <v>1</v>
      </c>
      <c r="J1130" s="2" t="s">
        <v>36</v>
      </c>
      <c r="K1130" s="2" t="s">
        <v>37</v>
      </c>
      <c r="L1130" s="2" t="s">
        <v>3832</v>
      </c>
      <c r="M1130" s="7" t="s">
        <v>3833</v>
      </c>
      <c r="N1130" s="7" t="s">
        <v>3834</v>
      </c>
      <c r="O1130" s="2"/>
      <c r="P1130" s="2"/>
      <c r="Q1130" s="2" t="str">
        <f>IF(SUMPRODUCT(--ISNUMBER(SEARCH('National Domains'!$A$2:$A$48,L1130)))&gt;0,"Yes","No")</f>
        <v>Yes</v>
      </c>
      <c r="R1130" s="2" t="str">
        <f>IF(COUNTIFS(Calibration!$A:$A,A1130,Calibration!$B:$B,B1130)&gt;0,"Yes","No")</f>
        <v>No</v>
      </c>
      <c r="S1130" s="6"/>
    </row>
    <row r="1131" spans="1:19" ht="34.5" customHeight="1" x14ac:dyDescent="0.2">
      <c r="A1131" s="2">
        <v>238</v>
      </c>
      <c r="B1131" s="2">
        <v>4</v>
      </c>
      <c r="C1131" s="2" t="s">
        <v>407</v>
      </c>
      <c r="D1131" s="2" t="s">
        <v>17</v>
      </c>
      <c r="E1131" s="2">
        <v>20211215</v>
      </c>
      <c r="F1131" s="2">
        <v>20211215</v>
      </c>
      <c r="G1131" s="2">
        <v>2031.5</v>
      </c>
      <c r="H1131" s="2">
        <v>1782</v>
      </c>
      <c r="I1131" s="2">
        <v>1</v>
      </c>
      <c r="J1131" s="2" t="s">
        <v>36</v>
      </c>
      <c r="K1131" s="2" t="s">
        <v>37</v>
      </c>
      <c r="L1131" s="2" t="s">
        <v>3835</v>
      </c>
      <c r="M1131" s="7" t="s">
        <v>3836</v>
      </c>
      <c r="N1131" s="7" t="s">
        <v>3837</v>
      </c>
      <c r="O1131" s="2"/>
      <c r="P1131" s="2"/>
      <c r="Q1131" s="2" t="str">
        <f>IF(SUMPRODUCT(--ISNUMBER(SEARCH('National Domains'!$A$2:$A$48,L1131)))&gt;0,"Yes","No")</f>
        <v>Yes</v>
      </c>
      <c r="R1131" s="2" t="str">
        <f>IF(COUNTIFS(Calibration!$A:$A,A1131,Calibration!$B:$B,B1131)&gt;0,"Yes","No")</f>
        <v>No</v>
      </c>
      <c r="S1131" s="6"/>
    </row>
    <row r="1132" spans="1:19" ht="34.5" customHeight="1" x14ac:dyDescent="0.2">
      <c r="A1132" s="2">
        <v>238</v>
      </c>
      <c r="B1132" s="2">
        <v>5</v>
      </c>
      <c r="C1132" s="2" t="s">
        <v>407</v>
      </c>
      <c r="D1132" s="2" t="s">
        <v>17</v>
      </c>
      <c r="E1132" s="2">
        <v>20211215</v>
      </c>
      <c r="F1132" s="2">
        <v>20211215</v>
      </c>
      <c r="G1132" s="2">
        <v>2031.5</v>
      </c>
      <c r="H1132" s="2">
        <v>1782</v>
      </c>
      <c r="I1132" s="2">
        <v>1</v>
      </c>
      <c r="J1132" s="2" t="s">
        <v>36</v>
      </c>
      <c r="K1132" s="2" t="s">
        <v>37</v>
      </c>
      <c r="L1132" s="2" t="s">
        <v>3838</v>
      </c>
      <c r="M1132" s="7" t="s">
        <v>3839</v>
      </c>
      <c r="N1132" s="7" t="s">
        <v>3840</v>
      </c>
      <c r="O1132" s="2"/>
      <c r="P1132" s="2"/>
      <c r="Q1132" s="2" t="str">
        <f>IF(SUMPRODUCT(--ISNUMBER(SEARCH('National Domains'!$A$2:$A$48,L1132)))&gt;0,"Yes","No")</f>
        <v>Yes</v>
      </c>
      <c r="R1132" s="2" t="str">
        <f>IF(COUNTIFS(Calibration!$A:$A,A1132,Calibration!$B:$B,B1132)&gt;0,"Yes","No")</f>
        <v>No</v>
      </c>
      <c r="S1132" s="6"/>
    </row>
    <row r="1133" spans="1:19" ht="34.5" customHeight="1" x14ac:dyDescent="0.2">
      <c r="A1133" s="2">
        <v>238</v>
      </c>
      <c r="B1133" s="2">
        <v>6</v>
      </c>
      <c r="C1133" s="2" t="s">
        <v>407</v>
      </c>
      <c r="D1133" s="2" t="s">
        <v>17</v>
      </c>
      <c r="E1133" s="2">
        <v>20211215</v>
      </c>
      <c r="F1133" s="2">
        <v>20211215</v>
      </c>
      <c r="G1133" s="2">
        <v>2031.5</v>
      </c>
      <c r="H1133" s="2">
        <v>1782</v>
      </c>
      <c r="I1133" s="2">
        <v>1</v>
      </c>
      <c r="J1133" s="2" t="s">
        <v>36</v>
      </c>
      <c r="K1133" s="2" t="s">
        <v>37</v>
      </c>
      <c r="L1133" s="2" t="s">
        <v>3841</v>
      </c>
      <c r="M1133" s="7" t="s">
        <v>3842</v>
      </c>
      <c r="N1133" s="7" t="s">
        <v>3843</v>
      </c>
      <c r="O1133" s="2"/>
      <c r="P1133" s="2"/>
      <c r="Q1133" s="2" t="str">
        <f>IF(SUMPRODUCT(--ISNUMBER(SEARCH('National Domains'!$A$2:$A$48,L1133)))&gt;0,"Yes","No")</f>
        <v>Yes</v>
      </c>
      <c r="R1133" s="2" t="str">
        <f>IF(COUNTIFS(Calibration!$A:$A,A1133,Calibration!$B:$B,B1133)&gt;0,"Yes","No")</f>
        <v>No</v>
      </c>
      <c r="S1133" s="6"/>
    </row>
    <row r="1134" spans="1:19" ht="34.5" customHeight="1" x14ac:dyDescent="0.2">
      <c r="A1134" s="2">
        <v>238</v>
      </c>
      <c r="B1134" s="2">
        <v>7</v>
      </c>
      <c r="C1134" s="2" t="s">
        <v>407</v>
      </c>
      <c r="D1134" s="2" t="s">
        <v>17</v>
      </c>
      <c r="E1134" s="2">
        <v>20211215</v>
      </c>
      <c r="F1134" s="2">
        <v>20211215</v>
      </c>
      <c r="G1134" s="2">
        <v>2031.5</v>
      </c>
      <c r="H1134" s="2">
        <v>1782</v>
      </c>
      <c r="I1134" s="2">
        <v>1</v>
      </c>
      <c r="J1134" s="2" t="s">
        <v>36</v>
      </c>
      <c r="K1134" s="2" t="s">
        <v>37</v>
      </c>
      <c r="L1134" s="2" t="s">
        <v>3844</v>
      </c>
      <c r="M1134" s="7" t="s">
        <v>3845</v>
      </c>
      <c r="N1134" s="7" t="s">
        <v>3846</v>
      </c>
      <c r="O1134" s="2"/>
      <c r="P1134" s="2"/>
      <c r="Q1134" s="2" t="str">
        <f>IF(SUMPRODUCT(--ISNUMBER(SEARCH('National Domains'!$A$2:$A$48,L1134)))&gt;0,"Yes","No")</f>
        <v>Yes</v>
      </c>
      <c r="R1134" s="2" t="str">
        <f>IF(COUNTIFS(Calibration!$A:$A,A1134,Calibration!$B:$B,B1134)&gt;0,"Yes","No")</f>
        <v>No</v>
      </c>
      <c r="S1134" s="6"/>
    </row>
    <row r="1135" spans="1:19" ht="34.5" customHeight="1" x14ac:dyDescent="0.2">
      <c r="A1135" s="2">
        <v>238</v>
      </c>
      <c r="B1135" s="2">
        <v>8</v>
      </c>
      <c r="C1135" s="2" t="s">
        <v>407</v>
      </c>
      <c r="D1135" s="2" t="s">
        <v>17</v>
      </c>
      <c r="E1135" s="2">
        <v>20211215</v>
      </c>
      <c r="F1135" s="2">
        <v>20211215</v>
      </c>
      <c r="G1135" s="2">
        <v>2031.5</v>
      </c>
      <c r="H1135" s="2">
        <v>1782</v>
      </c>
      <c r="I1135" s="2">
        <v>1</v>
      </c>
      <c r="J1135" s="2" t="s">
        <v>36</v>
      </c>
      <c r="K1135" s="2" t="s">
        <v>37</v>
      </c>
      <c r="L1135" s="2" t="s">
        <v>3847</v>
      </c>
      <c r="M1135" s="7" t="s">
        <v>3848</v>
      </c>
      <c r="N1135" s="7" t="s">
        <v>3849</v>
      </c>
      <c r="O1135" s="2"/>
      <c r="P1135" s="2"/>
      <c r="Q1135" s="2" t="str">
        <f>IF(SUMPRODUCT(--ISNUMBER(SEARCH('National Domains'!$A$2:$A$48,L1135)))&gt;0,"Yes","No")</f>
        <v>No</v>
      </c>
      <c r="R1135" s="2" t="str">
        <f>IF(COUNTIFS(Calibration!$A:$A,A1135,Calibration!$B:$B,B1135)&gt;0,"Yes","No")</f>
        <v>No</v>
      </c>
      <c r="S1135" s="6"/>
    </row>
    <row r="1136" spans="1:19" ht="34.5" customHeight="1" x14ac:dyDescent="0.2">
      <c r="A1136" s="2">
        <v>238</v>
      </c>
      <c r="B1136" s="2">
        <v>9</v>
      </c>
      <c r="C1136" s="2" t="s">
        <v>407</v>
      </c>
      <c r="D1136" s="2" t="s">
        <v>17</v>
      </c>
      <c r="E1136" s="2">
        <v>20211215</v>
      </c>
      <c r="F1136" s="2">
        <v>20211215</v>
      </c>
      <c r="G1136" s="2">
        <v>2031.5</v>
      </c>
      <c r="H1136" s="2">
        <v>1782</v>
      </c>
      <c r="I1136" s="2">
        <v>1</v>
      </c>
      <c r="J1136" s="2" t="s">
        <v>36</v>
      </c>
      <c r="K1136" s="2" t="s">
        <v>37</v>
      </c>
      <c r="L1136" s="2" t="s">
        <v>3850</v>
      </c>
      <c r="M1136" s="7" t="s">
        <v>3851</v>
      </c>
      <c r="N1136" s="7" t="s">
        <v>3852</v>
      </c>
      <c r="O1136" s="2"/>
      <c r="P1136" s="2"/>
      <c r="Q1136" s="2" t="str">
        <f>IF(SUMPRODUCT(--ISNUMBER(SEARCH('National Domains'!$A$2:$A$48,L1136)))&gt;0,"Yes","No")</f>
        <v>No</v>
      </c>
      <c r="R1136" s="2" t="str">
        <f>IF(COUNTIFS(Calibration!$A:$A,A1136,Calibration!$B:$B,B1136)&gt;0,"Yes","No")</f>
        <v>No</v>
      </c>
      <c r="S1136" s="6"/>
    </row>
    <row r="1137" spans="1:19" ht="34.5" customHeight="1" x14ac:dyDescent="0.2">
      <c r="A1137" s="2">
        <v>238</v>
      </c>
      <c r="B1137" s="2">
        <v>10</v>
      </c>
      <c r="C1137" s="2" t="s">
        <v>407</v>
      </c>
      <c r="D1137" s="2" t="s">
        <v>17</v>
      </c>
      <c r="E1137" s="2">
        <v>20211215</v>
      </c>
      <c r="F1137" s="2">
        <v>20211215</v>
      </c>
      <c r="G1137" s="2">
        <v>2031.5</v>
      </c>
      <c r="H1137" s="2">
        <v>1782</v>
      </c>
      <c r="I1137" s="2">
        <v>1</v>
      </c>
      <c r="J1137" s="2" t="s">
        <v>36</v>
      </c>
      <c r="K1137" s="2" t="s">
        <v>37</v>
      </c>
      <c r="L1137" s="2" t="s">
        <v>3853</v>
      </c>
      <c r="M1137" s="7" t="s">
        <v>3854</v>
      </c>
      <c r="N1137" s="7" t="s">
        <v>3855</v>
      </c>
      <c r="O1137" s="2"/>
      <c r="P1137" s="2"/>
      <c r="Q1137" s="2" t="str">
        <f>IF(SUMPRODUCT(--ISNUMBER(SEARCH('National Domains'!$A$2:$A$48,L1137)))&gt;0,"Yes","No")</f>
        <v>No</v>
      </c>
      <c r="R1137" s="2" t="str">
        <f>IF(COUNTIFS(Calibration!$A:$A,A1137,Calibration!$B:$B,B1137)&gt;0,"Yes","No")</f>
        <v>No</v>
      </c>
      <c r="S1137" s="6"/>
    </row>
    <row r="1138" spans="1:19" ht="34.5" customHeight="1" x14ac:dyDescent="0.2">
      <c r="A1138" s="2">
        <v>238</v>
      </c>
      <c r="B1138" s="2">
        <v>11</v>
      </c>
      <c r="C1138" s="2" t="s">
        <v>407</v>
      </c>
      <c r="D1138" s="2" t="s">
        <v>17</v>
      </c>
      <c r="E1138" s="2">
        <v>20211215</v>
      </c>
      <c r="F1138" s="2">
        <v>20211215</v>
      </c>
      <c r="G1138" s="2">
        <v>2031.5</v>
      </c>
      <c r="H1138" s="2">
        <v>1782</v>
      </c>
      <c r="I1138" s="2">
        <v>1</v>
      </c>
      <c r="J1138" s="2" t="s">
        <v>36</v>
      </c>
      <c r="K1138" s="2" t="s">
        <v>37</v>
      </c>
      <c r="L1138" s="2" t="s">
        <v>3856</v>
      </c>
      <c r="M1138" s="7" t="s">
        <v>3857</v>
      </c>
      <c r="N1138" s="7" t="s">
        <v>3858</v>
      </c>
      <c r="O1138" s="2"/>
      <c r="P1138" s="2"/>
      <c r="Q1138" s="2" t="str">
        <f>IF(SUMPRODUCT(--ISNUMBER(SEARCH('National Domains'!$A$2:$A$48,L1138)))&gt;0,"Yes","No")</f>
        <v>No</v>
      </c>
      <c r="R1138" s="2" t="str">
        <f>IF(COUNTIFS(Calibration!$A:$A,A1138,Calibration!$B:$B,B1138)&gt;0,"Yes","No")</f>
        <v>No</v>
      </c>
      <c r="S1138" s="6"/>
    </row>
    <row r="1139" spans="1:19" ht="34.5" customHeight="1" x14ac:dyDescent="0.2">
      <c r="A1139" s="2">
        <v>238</v>
      </c>
      <c r="B1139" s="2">
        <v>12</v>
      </c>
      <c r="C1139" s="2" t="s">
        <v>407</v>
      </c>
      <c r="D1139" s="2" t="s">
        <v>17</v>
      </c>
      <c r="E1139" s="2">
        <v>20211215</v>
      </c>
      <c r="F1139" s="2">
        <v>20211215</v>
      </c>
      <c r="G1139" s="2">
        <v>2031.5</v>
      </c>
      <c r="H1139" s="2">
        <v>1782</v>
      </c>
      <c r="I1139" s="2">
        <v>1</v>
      </c>
      <c r="J1139" s="2" t="s">
        <v>36</v>
      </c>
      <c r="K1139" s="2" t="s">
        <v>37</v>
      </c>
      <c r="L1139" s="2" t="s">
        <v>3859</v>
      </c>
      <c r="M1139" s="7" t="s">
        <v>3860</v>
      </c>
      <c r="N1139" s="7" t="s">
        <v>3861</v>
      </c>
      <c r="O1139" s="2"/>
      <c r="P1139" s="2"/>
      <c r="Q1139" s="2" t="str">
        <f>IF(SUMPRODUCT(--ISNUMBER(SEARCH('National Domains'!$A$2:$A$48,L1139)))&gt;0,"Yes","No")</f>
        <v>Yes</v>
      </c>
      <c r="R1139" s="2" t="str">
        <f>IF(COUNTIFS(Calibration!$A:$A,A1139,Calibration!$B:$B,B1139)&gt;0,"Yes","No")</f>
        <v>No</v>
      </c>
      <c r="S1139" s="6"/>
    </row>
    <row r="1140" spans="1:19" ht="34.5" customHeight="1" x14ac:dyDescent="0.2">
      <c r="A1140" s="2">
        <v>238</v>
      </c>
      <c r="B1140" s="2">
        <v>13</v>
      </c>
      <c r="C1140" s="2" t="s">
        <v>407</v>
      </c>
      <c r="D1140" s="2" t="s">
        <v>17</v>
      </c>
      <c r="E1140" s="2">
        <v>20211215</v>
      </c>
      <c r="F1140" s="2">
        <v>20211215</v>
      </c>
      <c r="G1140" s="2">
        <v>2031.5</v>
      </c>
      <c r="H1140" s="2">
        <v>1782</v>
      </c>
      <c r="I1140" s="2">
        <v>1</v>
      </c>
      <c r="J1140" s="2" t="s">
        <v>36</v>
      </c>
      <c r="K1140" s="2" t="s">
        <v>37</v>
      </c>
      <c r="L1140" s="2" t="s">
        <v>3862</v>
      </c>
      <c r="M1140" s="7" t="s">
        <v>3863</v>
      </c>
      <c r="N1140" s="7" t="s">
        <v>3864</v>
      </c>
      <c r="O1140" s="2"/>
      <c r="P1140" s="2"/>
      <c r="Q1140" s="2" t="str">
        <f>IF(SUMPRODUCT(--ISNUMBER(SEARCH('National Domains'!$A$2:$A$48,L1140)))&gt;0,"Yes","No")</f>
        <v>Yes</v>
      </c>
      <c r="R1140" s="2" t="str">
        <f>IF(COUNTIFS(Calibration!$A:$A,A1140,Calibration!$B:$B,B1140)&gt;0,"Yes","No")</f>
        <v>No</v>
      </c>
      <c r="S1140" s="6"/>
    </row>
    <row r="1141" spans="1:19" ht="34.5" customHeight="1" x14ac:dyDescent="0.2">
      <c r="A1141" s="2">
        <v>238</v>
      </c>
      <c r="B1141" s="2">
        <v>14</v>
      </c>
      <c r="C1141" s="2" t="s">
        <v>407</v>
      </c>
      <c r="D1141" s="2" t="s">
        <v>17</v>
      </c>
      <c r="E1141" s="2">
        <v>20211215</v>
      </c>
      <c r="F1141" s="2">
        <v>20211215</v>
      </c>
      <c r="G1141" s="2">
        <v>2031.5</v>
      </c>
      <c r="H1141" s="2">
        <v>1782</v>
      </c>
      <c r="I1141" s="2">
        <v>1</v>
      </c>
      <c r="J1141" s="2" t="s">
        <v>36</v>
      </c>
      <c r="K1141" s="2" t="s">
        <v>37</v>
      </c>
      <c r="L1141" s="2" t="s">
        <v>3865</v>
      </c>
      <c r="M1141" s="7" t="s">
        <v>3866</v>
      </c>
      <c r="N1141" s="7" t="s">
        <v>3867</v>
      </c>
      <c r="O1141" s="2"/>
      <c r="P1141" s="2"/>
      <c r="Q1141" s="2" t="str">
        <f>IF(SUMPRODUCT(--ISNUMBER(SEARCH('National Domains'!$A$2:$A$48,L1141)))&gt;0,"Yes","No")</f>
        <v>Yes</v>
      </c>
      <c r="R1141" s="2" t="str">
        <f>IF(COUNTIFS(Calibration!$A:$A,A1141,Calibration!$B:$B,B1141)&gt;0,"Yes","No")</f>
        <v>No</v>
      </c>
      <c r="S1141" s="6"/>
    </row>
    <row r="1142" spans="1:19" ht="34.5" customHeight="1" x14ac:dyDescent="0.2">
      <c r="A1142" s="2">
        <v>238</v>
      </c>
      <c r="B1142" s="2">
        <v>15</v>
      </c>
      <c r="C1142" s="2" t="s">
        <v>407</v>
      </c>
      <c r="D1142" s="2" t="s">
        <v>17</v>
      </c>
      <c r="E1142" s="2">
        <v>20211215</v>
      </c>
      <c r="F1142" s="2">
        <v>20211215</v>
      </c>
      <c r="G1142" s="2">
        <v>2031.5</v>
      </c>
      <c r="H1142" s="2">
        <v>1782</v>
      </c>
      <c r="I1142" s="2">
        <v>1</v>
      </c>
      <c r="J1142" s="2" t="s">
        <v>36</v>
      </c>
      <c r="K1142" s="2" t="s">
        <v>37</v>
      </c>
      <c r="L1142" s="2" t="s">
        <v>3868</v>
      </c>
      <c r="M1142" s="7" t="s">
        <v>3869</v>
      </c>
      <c r="N1142" s="7" t="s">
        <v>3870</v>
      </c>
      <c r="O1142" s="2"/>
      <c r="P1142" s="2"/>
      <c r="Q1142" s="2" t="str">
        <f>IF(SUMPRODUCT(--ISNUMBER(SEARCH('National Domains'!$A$2:$A$48,L1142)))&gt;0,"Yes","No")</f>
        <v>Yes</v>
      </c>
      <c r="R1142" s="2" t="str">
        <f>IF(COUNTIFS(Calibration!$A:$A,A1142,Calibration!$B:$B,B1142)&gt;0,"Yes","No")</f>
        <v>No</v>
      </c>
      <c r="S1142" s="6"/>
    </row>
    <row r="1143" spans="1:19" ht="34.5" customHeight="1" x14ac:dyDescent="0.2">
      <c r="A1143" s="2">
        <v>238</v>
      </c>
      <c r="B1143" s="2">
        <v>16</v>
      </c>
      <c r="C1143" s="2" t="s">
        <v>407</v>
      </c>
      <c r="D1143" s="2" t="s">
        <v>17</v>
      </c>
      <c r="E1143" s="2">
        <v>20211215</v>
      </c>
      <c r="F1143" s="2">
        <v>20211215</v>
      </c>
      <c r="G1143" s="2">
        <v>2031.5</v>
      </c>
      <c r="H1143" s="2">
        <v>1782</v>
      </c>
      <c r="I1143" s="2">
        <v>1</v>
      </c>
      <c r="J1143" s="2" t="s">
        <v>36</v>
      </c>
      <c r="K1143" s="2" t="s">
        <v>37</v>
      </c>
      <c r="L1143" s="2" t="s">
        <v>3871</v>
      </c>
      <c r="M1143" s="7" t="s">
        <v>3872</v>
      </c>
      <c r="N1143" s="7" t="s">
        <v>3873</v>
      </c>
      <c r="O1143" s="2"/>
      <c r="P1143" s="2"/>
      <c r="Q1143" s="2" t="str">
        <f>IF(SUMPRODUCT(--ISNUMBER(SEARCH('National Domains'!$A$2:$A$48,L1143)))&gt;0,"Yes","No")</f>
        <v>No</v>
      </c>
      <c r="R1143" s="2" t="str">
        <f>IF(COUNTIFS(Calibration!$A:$A,A1143,Calibration!$B:$B,B1143)&gt;0,"Yes","No")</f>
        <v>No</v>
      </c>
      <c r="S1143" s="6"/>
    </row>
    <row r="1144" spans="1:19" ht="34.5" customHeight="1" x14ac:dyDescent="0.2">
      <c r="A1144" s="2">
        <v>238</v>
      </c>
      <c r="B1144" s="2">
        <v>17</v>
      </c>
      <c r="C1144" s="2" t="s">
        <v>407</v>
      </c>
      <c r="D1144" s="2" t="s">
        <v>17</v>
      </c>
      <c r="E1144" s="2">
        <v>20211215</v>
      </c>
      <c r="F1144" s="2">
        <v>20211215</v>
      </c>
      <c r="G1144" s="2">
        <v>2031.5</v>
      </c>
      <c r="H1144" s="2">
        <v>1782</v>
      </c>
      <c r="I1144" s="2">
        <v>1</v>
      </c>
      <c r="J1144" s="2" t="s">
        <v>36</v>
      </c>
      <c r="K1144" s="2" t="s">
        <v>37</v>
      </c>
      <c r="L1144" s="2" t="s">
        <v>3874</v>
      </c>
      <c r="M1144" s="7" t="s">
        <v>3875</v>
      </c>
      <c r="N1144" s="7" t="s">
        <v>3876</v>
      </c>
      <c r="O1144" s="2"/>
      <c r="P1144" s="2"/>
      <c r="Q1144" s="2" t="str">
        <f>IF(SUMPRODUCT(--ISNUMBER(SEARCH('National Domains'!$A$2:$A$48,L1144)))&gt;0,"Yes","No")</f>
        <v>Yes</v>
      </c>
      <c r="R1144" s="2" t="str">
        <f>IF(COUNTIFS(Calibration!$A:$A,A1144,Calibration!$B:$B,B1144)&gt;0,"Yes","No")</f>
        <v>No</v>
      </c>
      <c r="S1144" s="6"/>
    </row>
    <row r="1145" spans="1:19" ht="34.5" customHeight="1" x14ac:dyDescent="0.2">
      <c r="A1145" s="2">
        <v>238</v>
      </c>
      <c r="B1145" s="2">
        <v>18</v>
      </c>
      <c r="C1145" s="2" t="s">
        <v>407</v>
      </c>
      <c r="D1145" s="2" t="s">
        <v>17</v>
      </c>
      <c r="E1145" s="2">
        <v>20211215</v>
      </c>
      <c r="F1145" s="2">
        <v>20211215</v>
      </c>
      <c r="G1145" s="2">
        <v>2031.5</v>
      </c>
      <c r="H1145" s="2">
        <v>1782</v>
      </c>
      <c r="I1145" s="2">
        <v>1</v>
      </c>
      <c r="J1145" s="2" t="s">
        <v>36</v>
      </c>
      <c r="K1145" s="2" t="s">
        <v>37</v>
      </c>
      <c r="L1145" s="2" t="s">
        <v>3877</v>
      </c>
      <c r="M1145" s="7" t="s">
        <v>3878</v>
      </c>
      <c r="N1145" s="7" t="s">
        <v>3879</v>
      </c>
      <c r="O1145" s="2"/>
      <c r="P1145" s="2"/>
      <c r="Q1145" s="2" t="str">
        <f>IF(SUMPRODUCT(--ISNUMBER(SEARCH('National Domains'!$A$2:$A$48,L1145)))&gt;0,"Yes","No")</f>
        <v>Yes</v>
      </c>
      <c r="R1145" s="2" t="str">
        <f>IF(COUNTIFS(Calibration!$A:$A,A1145,Calibration!$B:$B,B1145)&gt;0,"Yes","No")</f>
        <v>No</v>
      </c>
      <c r="S1145" s="6"/>
    </row>
    <row r="1146" spans="1:19" ht="34.5" customHeight="1" x14ac:dyDescent="0.2">
      <c r="A1146" s="2">
        <v>238</v>
      </c>
      <c r="B1146" s="2">
        <v>19</v>
      </c>
      <c r="C1146" s="2" t="s">
        <v>407</v>
      </c>
      <c r="D1146" s="2" t="s">
        <v>17</v>
      </c>
      <c r="E1146" s="2">
        <v>20211215</v>
      </c>
      <c r="F1146" s="2">
        <v>20211215</v>
      </c>
      <c r="G1146" s="2">
        <v>2031.5</v>
      </c>
      <c r="H1146" s="2">
        <v>1782</v>
      </c>
      <c r="I1146" s="2">
        <v>1</v>
      </c>
      <c r="J1146" s="2" t="s">
        <v>36</v>
      </c>
      <c r="K1146" s="2" t="s">
        <v>37</v>
      </c>
      <c r="L1146" s="2" t="s">
        <v>3880</v>
      </c>
      <c r="M1146" s="7" t="s">
        <v>3881</v>
      </c>
      <c r="N1146" s="7" t="s">
        <v>3882</v>
      </c>
      <c r="O1146" s="2"/>
      <c r="P1146" s="2"/>
      <c r="Q1146" s="2" t="str">
        <f>IF(SUMPRODUCT(--ISNUMBER(SEARCH('National Domains'!$A$2:$A$48,L1146)))&gt;0,"Yes","No")</f>
        <v>Yes</v>
      </c>
      <c r="R1146" s="2" t="str">
        <f>IF(COUNTIFS(Calibration!$A:$A,A1146,Calibration!$B:$B,B1146)&gt;0,"Yes","No")</f>
        <v>No</v>
      </c>
      <c r="S1146" s="6"/>
    </row>
    <row r="1147" spans="1:19" ht="34.5" customHeight="1" x14ac:dyDescent="0.2">
      <c r="A1147" s="2">
        <v>238</v>
      </c>
      <c r="B1147" s="2">
        <v>20</v>
      </c>
      <c r="C1147" s="2" t="s">
        <v>407</v>
      </c>
      <c r="D1147" s="2" t="s">
        <v>17</v>
      </c>
      <c r="E1147" s="2">
        <v>20211215</v>
      </c>
      <c r="F1147" s="2">
        <v>20211215</v>
      </c>
      <c r="G1147" s="2">
        <v>2031.5</v>
      </c>
      <c r="H1147" s="2">
        <v>1782</v>
      </c>
      <c r="I1147" s="2">
        <v>1</v>
      </c>
      <c r="J1147" s="2" t="s">
        <v>36</v>
      </c>
      <c r="K1147" s="2" t="s">
        <v>37</v>
      </c>
      <c r="L1147" s="2" t="s">
        <v>3883</v>
      </c>
      <c r="M1147" s="7" t="s">
        <v>3884</v>
      </c>
      <c r="N1147" s="7" t="s">
        <v>3885</v>
      </c>
      <c r="O1147" s="2"/>
      <c r="P1147" s="2"/>
      <c r="Q1147" s="2" t="str">
        <f>IF(SUMPRODUCT(--ISNUMBER(SEARCH('National Domains'!$A$2:$A$48,L1147)))&gt;0,"Yes","No")</f>
        <v>No</v>
      </c>
      <c r="R1147" s="2" t="str">
        <f>IF(COUNTIFS(Calibration!$A:$A,A1147,Calibration!$B:$B,B1147)&gt;0,"Yes","No")</f>
        <v>No</v>
      </c>
      <c r="S1147" s="6"/>
    </row>
    <row r="1148" spans="1:19" ht="34.5" customHeight="1" x14ac:dyDescent="0.2">
      <c r="A1148" s="2">
        <v>239</v>
      </c>
      <c r="B1148" s="2">
        <v>1</v>
      </c>
      <c r="C1148" s="2" t="s">
        <v>408</v>
      </c>
      <c r="D1148" s="2" t="s">
        <v>21</v>
      </c>
      <c r="E1148" s="2">
        <v>20210601</v>
      </c>
      <c r="F1148" s="2">
        <v>20211231</v>
      </c>
      <c r="G1148" s="2">
        <v>12064</v>
      </c>
      <c r="H1148" s="2">
        <v>10400</v>
      </c>
      <c r="I1148" s="2">
        <v>8</v>
      </c>
      <c r="J1148" s="2" t="s">
        <v>22</v>
      </c>
      <c r="K1148" s="2" t="s">
        <v>23</v>
      </c>
      <c r="L1148" s="2" t="s">
        <v>3886</v>
      </c>
      <c r="M1148" s="7" t="s">
        <v>3887</v>
      </c>
      <c r="N1148" s="7" t="s">
        <v>3888</v>
      </c>
      <c r="O1148" s="2"/>
      <c r="P1148" s="2"/>
      <c r="Q1148" s="2" t="str">
        <f>IF(SUMPRODUCT(--ISNUMBER(SEARCH('National Domains'!$A$2:$A$48,L1148)))&gt;0,"Yes","No")</f>
        <v>No</v>
      </c>
      <c r="R1148" s="2" t="str">
        <f>IF(COUNTIFS(Calibration!$A:$A,A1148,Calibration!$B:$B,B1148)&gt;0,"Yes","No")</f>
        <v>No</v>
      </c>
      <c r="S1148" s="6"/>
    </row>
    <row r="1149" spans="1:19" ht="34.5" customHeight="1" x14ac:dyDescent="0.2">
      <c r="A1149" s="2">
        <v>239</v>
      </c>
      <c r="B1149" s="2">
        <v>2</v>
      </c>
      <c r="C1149" s="2" t="s">
        <v>408</v>
      </c>
      <c r="D1149" s="2" t="s">
        <v>21</v>
      </c>
      <c r="E1149" s="2">
        <v>20210601</v>
      </c>
      <c r="F1149" s="2">
        <v>20211231</v>
      </c>
      <c r="G1149" s="2">
        <v>12064</v>
      </c>
      <c r="H1149" s="2">
        <v>10400</v>
      </c>
      <c r="I1149" s="2">
        <v>8</v>
      </c>
      <c r="J1149" s="2" t="s">
        <v>22</v>
      </c>
      <c r="K1149" s="2" t="s">
        <v>23</v>
      </c>
      <c r="L1149" s="2" t="s">
        <v>3889</v>
      </c>
      <c r="M1149" s="7" t="s">
        <v>3890</v>
      </c>
      <c r="N1149" s="7" t="s">
        <v>3891</v>
      </c>
      <c r="O1149" s="2"/>
      <c r="P1149" s="2"/>
      <c r="Q1149" s="2" t="str">
        <f>IF(SUMPRODUCT(--ISNUMBER(SEARCH('National Domains'!$A$2:$A$48,L1149)))&gt;0,"Yes","No")</f>
        <v>No</v>
      </c>
      <c r="R1149" s="2" t="str">
        <f>IF(COUNTIFS(Calibration!$A:$A,A1149,Calibration!$B:$B,B1149)&gt;0,"Yes","No")</f>
        <v>No</v>
      </c>
      <c r="S1149" s="6"/>
    </row>
    <row r="1150" spans="1:19" ht="23.25" customHeight="1" x14ac:dyDescent="0.2">
      <c r="A1150" s="2">
        <v>239</v>
      </c>
      <c r="B1150" s="2">
        <v>3</v>
      </c>
      <c r="C1150" s="2" t="s">
        <v>408</v>
      </c>
      <c r="D1150" s="2" t="s">
        <v>21</v>
      </c>
      <c r="E1150" s="2">
        <v>20210601</v>
      </c>
      <c r="F1150" s="2">
        <v>20211231</v>
      </c>
      <c r="G1150" s="2">
        <v>12064</v>
      </c>
      <c r="H1150" s="2">
        <v>10400</v>
      </c>
      <c r="I1150" s="2">
        <v>8</v>
      </c>
      <c r="J1150" s="2" t="s">
        <v>22</v>
      </c>
      <c r="K1150" s="2" t="s">
        <v>23</v>
      </c>
      <c r="L1150" s="2" t="s">
        <v>3892</v>
      </c>
      <c r="M1150" s="7" t="s">
        <v>3893</v>
      </c>
      <c r="N1150" s="7" t="s">
        <v>3894</v>
      </c>
      <c r="O1150" s="2"/>
      <c r="P1150" s="2"/>
      <c r="Q1150" s="2" t="str">
        <f>IF(SUMPRODUCT(--ISNUMBER(SEARCH('National Domains'!$A$2:$A$48,L1150)))&gt;0,"Yes","No")</f>
        <v>No</v>
      </c>
      <c r="R1150" s="2" t="str">
        <f>IF(COUNTIFS(Calibration!$A:$A,A1150,Calibration!$B:$B,B1150)&gt;0,"Yes","No")</f>
        <v>No</v>
      </c>
      <c r="S1150" s="6"/>
    </row>
    <row r="1151" spans="1:19" ht="34.5" customHeight="1" x14ac:dyDescent="0.2">
      <c r="A1151" s="2">
        <v>239</v>
      </c>
      <c r="B1151" s="2">
        <v>4</v>
      </c>
      <c r="C1151" s="2" t="s">
        <v>408</v>
      </c>
      <c r="D1151" s="2" t="s">
        <v>21</v>
      </c>
      <c r="E1151" s="2">
        <v>20210601</v>
      </c>
      <c r="F1151" s="2">
        <v>20211231</v>
      </c>
      <c r="G1151" s="2">
        <v>12064</v>
      </c>
      <c r="H1151" s="2">
        <v>10400</v>
      </c>
      <c r="I1151" s="2">
        <v>8</v>
      </c>
      <c r="J1151" s="2" t="s">
        <v>22</v>
      </c>
      <c r="K1151" s="2" t="s">
        <v>23</v>
      </c>
      <c r="L1151" s="2" t="s">
        <v>3895</v>
      </c>
      <c r="M1151" s="7" t="s">
        <v>3896</v>
      </c>
      <c r="N1151" s="7" t="s">
        <v>3897</v>
      </c>
      <c r="O1151" s="2"/>
      <c r="P1151" s="2"/>
      <c r="Q1151" s="2" t="str">
        <f>IF(SUMPRODUCT(--ISNUMBER(SEARCH('National Domains'!$A$2:$A$48,L1151)))&gt;0,"Yes","No")</f>
        <v>No</v>
      </c>
      <c r="R1151" s="2" t="str">
        <f>IF(COUNTIFS(Calibration!$A:$A,A1151,Calibration!$B:$B,B1151)&gt;0,"Yes","No")</f>
        <v>No</v>
      </c>
      <c r="S1151" s="6"/>
    </row>
    <row r="1152" spans="1:19" ht="34.5" customHeight="1" x14ac:dyDescent="0.2">
      <c r="A1152" s="2">
        <v>239</v>
      </c>
      <c r="B1152" s="2">
        <v>5</v>
      </c>
      <c r="C1152" s="2" t="s">
        <v>408</v>
      </c>
      <c r="D1152" s="2" t="s">
        <v>21</v>
      </c>
      <c r="E1152" s="2">
        <v>20210601</v>
      </c>
      <c r="F1152" s="2">
        <v>20211231</v>
      </c>
      <c r="G1152" s="2">
        <v>12064</v>
      </c>
      <c r="H1152" s="2">
        <v>10400</v>
      </c>
      <c r="I1152" s="2">
        <v>8</v>
      </c>
      <c r="J1152" s="2" t="s">
        <v>22</v>
      </c>
      <c r="K1152" s="2" t="s">
        <v>23</v>
      </c>
      <c r="L1152" s="2" t="s">
        <v>3898</v>
      </c>
      <c r="M1152" s="7" t="s">
        <v>3899</v>
      </c>
      <c r="N1152" s="7" t="s">
        <v>3900</v>
      </c>
      <c r="O1152" s="2"/>
      <c r="P1152" s="2"/>
      <c r="Q1152" s="2" t="str">
        <f>IF(SUMPRODUCT(--ISNUMBER(SEARCH('National Domains'!$A$2:$A$48,L1152)))&gt;0,"Yes","No")</f>
        <v>Yes</v>
      </c>
      <c r="R1152" s="2" t="str">
        <f>IF(COUNTIFS(Calibration!$A:$A,A1152,Calibration!$B:$B,B1152)&gt;0,"Yes","No")</f>
        <v>No</v>
      </c>
      <c r="S1152" s="6"/>
    </row>
    <row r="1153" spans="1:19" ht="23.25" customHeight="1" x14ac:dyDescent="0.2">
      <c r="A1153" s="2">
        <v>239</v>
      </c>
      <c r="B1153" s="2">
        <v>6</v>
      </c>
      <c r="C1153" s="2" t="s">
        <v>408</v>
      </c>
      <c r="D1153" s="2" t="s">
        <v>21</v>
      </c>
      <c r="E1153" s="2">
        <v>20210601</v>
      </c>
      <c r="F1153" s="2">
        <v>20211231</v>
      </c>
      <c r="G1153" s="2">
        <v>12064</v>
      </c>
      <c r="H1153" s="2">
        <v>10400</v>
      </c>
      <c r="I1153" s="2">
        <v>8</v>
      </c>
      <c r="J1153" s="2" t="s">
        <v>22</v>
      </c>
      <c r="K1153" s="2" t="s">
        <v>23</v>
      </c>
      <c r="L1153" s="2" t="s">
        <v>3901</v>
      </c>
      <c r="M1153" s="7" t="s">
        <v>3902</v>
      </c>
      <c r="N1153" s="7" t="s">
        <v>3903</v>
      </c>
      <c r="O1153" s="2"/>
      <c r="P1153" s="2"/>
      <c r="Q1153" s="2" t="str">
        <f>IF(SUMPRODUCT(--ISNUMBER(SEARCH('National Domains'!$A$2:$A$48,L1153)))&gt;0,"Yes","No")</f>
        <v>Yes</v>
      </c>
      <c r="R1153" s="2" t="str">
        <f>IF(COUNTIFS(Calibration!$A:$A,A1153,Calibration!$B:$B,B1153)&gt;0,"Yes","No")</f>
        <v>No</v>
      </c>
      <c r="S1153" s="6"/>
    </row>
    <row r="1154" spans="1:19" ht="34.5" customHeight="1" x14ac:dyDescent="0.2">
      <c r="A1154" s="2">
        <v>239</v>
      </c>
      <c r="B1154" s="2">
        <v>7</v>
      </c>
      <c r="C1154" s="2" t="s">
        <v>408</v>
      </c>
      <c r="D1154" s="2" t="s">
        <v>21</v>
      </c>
      <c r="E1154" s="2">
        <v>20210601</v>
      </c>
      <c r="F1154" s="2">
        <v>20211231</v>
      </c>
      <c r="G1154" s="2">
        <v>12064</v>
      </c>
      <c r="H1154" s="2">
        <v>10400</v>
      </c>
      <c r="I1154" s="2">
        <v>8</v>
      </c>
      <c r="J1154" s="2" t="s">
        <v>22</v>
      </c>
      <c r="K1154" s="2" t="s">
        <v>23</v>
      </c>
      <c r="L1154" s="2" t="s">
        <v>3904</v>
      </c>
      <c r="M1154" s="7" t="s">
        <v>3905</v>
      </c>
      <c r="N1154" s="7" t="s">
        <v>3906</v>
      </c>
      <c r="O1154" s="2"/>
      <c r="P1154" s="2"/>
      <c r="Q1154" s="2" t="str">
        <f>IF(SUMPRODUCT(--ISNUMBER(SEARCH('National Domains'!$A$2:$A$48,L1154)))&gt;0,"Yes","No")</f>
        <v>Yes</v>
      </c>
      <c r="R1154" s="2" t="str">
        <f>IF(COUNTIFS(Calibration!$A:$A,A1154,Calibration!$B:$B,B1154)&gt;0,"Yes","No")</f>
        <v>No</v>
      </c>
      <c r="S1154" s="6"/>
    </row>
    <row r="1155" spans="1:19" ht="34.5" customHeight="1" x14ac:dyDescent="0.2">
      <c r="A1155" s="2">
        <v>239</v>
      </c>
      <c r="B1155" s="2">
        <v>8</v>
      </c>
      <c r="C1155" s="2" t="s">
        <v>408</v>
      </c>
      <c r="D1155" s="2" t="s">
        <v>21</v>
      </c>
      <c r="E1155" s="2">
        <v>20210601</v>
      </c>
      <c r="F1155" s="2">
        <v>20211231</v>
      </c>
      <c r="G1155" s="2">
        <v>12064</v>
      </c>
      <c r="H1155" s="2">
        <v>10400</v>
      </c>
      <c r="I1155" s="2">
        <v>8</v>
      </c>
      <c r="J1155" s="2" t="s">
        <v>22</v>
      </c>
      <c r="K1155" s="2" t="s">
        <v>23</v>
      </c>
      <c r="L1155" s="2" t="s">
        <v>3907</v>
      </c>
      <c r="M1155" s="7" t="s">
        <v>3908</v>
      </c>
      <c r="N1155" s="7" t="s">
        <v>3909</v>
      </c>
      <c r="O1155" s="2"/>
      <c r="P1155" s="2"/>
      <c r="Q1155" s="2" t="str">
        <f>IF(SUMPRODUCT(--ISNUMBER(SEARCH('National Domains'!$A$2:$A$48,L1155)))&gt;0,"Yes","No")</f>
        <v>Yes</v>
      </c>
      <c r="R1155" s="2" t="str">
        <f>IF(COUNTIFS(Calibration!$A:$A,A1155,Calibration!$B:$B,B1155)&gt;0,"Yes","No")</f>
        <v>No</v>
      </c>
      <c r="S1155" s="6"/>
    </row>
    <row r="1156" spans="1:19" ht="34.5" customHeight="1" x14ac:dyDescent="0.2">
      <c r="A1156" s="2">
        <v>239</v>
      </c>
      <c r="B1156" s="2">
        <v>9</v>
      </c>
      <c r="C1156" s="2" t="s">
        <v>408</v>
      </c>
      <c r="D1156" s="2" t="s">
        <v>21</v>
      </c>
      <c r="E1156" s="2">
        <v>20210601</v>
      </c>
      <c r="F1156" s="2">
        <v>20211231</v>
      </c>
      <c r="G1156" s="2">
        <v>12064</v>
      </c>
      <c r="H1156" s="2">
        <v>10400</v>
      </c>
      <c r="I1156" s="2">
        <v>8</v>
      </c>
      <c r="J1156" s="2" t="s">
        <v>22</v>
      </c>
      <c r="K1156" s="2" t="s">
        <v>23</v>
      </c>
      <c r="L1156" s="2" t="s">
        <v>3910</v>
      </c>
      <c r="M1156" s="7" t="s">
        <v>3911</v>
      </c>
      <c r="N1156" s="7" t="s">
        <v>3912</v>
      </c>
      <c r="O1156" s="2"/>
      <c r="P1156" s="2"/>
      <c r="Q1156" s="2" t="str">
        <f>IF(SUMPRODUCT(--ISNUMBER(SEARCH('National Domains'!$A$2:$A$48,L1156)))&gt;0,"Yes","No")</f>
        <v>Yes</v>
      </c>
      <c r="R1156" s="2" t="str">
        <f>IF(COUNTIFS(Calibration!$A:$A,A1156,Calibration!$B:$B,B1156)&gt;0,"Yes","No")</f>
        <v>No</v>
      </c>
      <c r="S1156" s="6"/>
    </row>
    <row r="1157" spans="1:19" ht="34.5" customHeight="1" x14ac:dyDescent="0.2">
      <c r="A1157" s="2">
        <v>239</v>
      </c>
      <c r="B1157" s="2">
        <v>10</v>
      </c>
      <c r="C1157" s="2" t="s">
        <v>408</v>
      </c>
      <c r="D1157" s="2" t="s">
        <v>21</v>
      </c>
      <c r="E1157" s="2">
        <v>20210601</v>
      </c>
      <c r="F1157" s="2">
        <v>20211231</v>
      </c>
      <c r="G1157" s="2">
        <v>12064</v>
      </c>
      <c r="H1157" s="2">
        <v>10400</v>
      </c>
      <c r="I1157" s="2">
        <v>8</v>
      </c>
      <c r="J1157" s="2" t="s">
        <v>22</v>
      </c>
      <c r="K1157" s="2" t="s">
        <v>23</v>
      </c>
      <c r="L1157" s="2" t="s">
        <v>3913</v>
      </c>
      <c r="M1157" s="7" t="s">
        <v>3914</v>
      </c>
      <c r="N1157" s="7" t="s">
        <v>3915</v>
      </c>
      <c r="O1157" s="2"/>
      <c r="P1157" s="2"/>
      <c r="Q1157" s="2" t="str">
        <f>IF(SUMPRODUCT(--ISNUMBER(SEARCH('National Domains'!$A$2:$A$48,L1157)))&gt;0,"Yes","No")</f>
        <v>No</v>
      </c>
      <c r="R1157" s="2" t="str">
        <f>IF(COUNTIFS(Calibration!$A:$A,A1157,Calibration!$B:$B,B1157)&gt;0,"Yes","No")</f>
        <v>No</v>
      </c>
      <c r="S1157" s="6"/>
    </row>
    <row r="1158" spans="1:19" ht="23.25" customHeight="1" x14ac:dyDescent="0.2">
      <c r="A1158" s="2">
        <v>239</v>
      </c>
      <c r="B1158" s="2">
        <v>11</v>
      </c>
      <c r="C1158" s="2" t="s">
        <v>408</v>
      </c>
      <c r="D1158" s="2" t="s">
        <v>21</v>
      </c>
      <c r="E1158" s="2">
        <v>20210601</v>
      </c>
      <c r="F1158" s="2">
        <v>20211231</v>
      </c>
      <c r="G1158" s="2">
        <v>12064</v>
      </c>
      <c r="H1158" s="2">
        <v>10400</v>
      </c>
      <c r="I1158" s="2">
        <v>8</v>
      </c>
      <c r="J1158" s="2" t="s">
        <v>22</v>
      </c>
      <c r="K1158" s="2" t="s">
        <v>23</v>
      </c>
      <c r="L1158" s="2" t="s">
        <v>3916</v>
      </c>
      <c r="M1158" s="7" t="s">
        <v>3917</v>
      </c>
      <c r="N1158" s="7" t="s">
        <v>3918</v>
      </c>
      <c r="O1158" s="2"/>
      <c r="P1158" s="2"/>
      <c r="Q1158" s="2" t="str">
        <f>IF(SUMPRODUCT(--ISNUMBER(SEARCH('National Domains'!$A$2:$A$48,L1158)))&gt;0,"Yes","No")</f>
        <v>No</v>
      </c>
      <c r="R1158" s="2" t="str">
        <f>IF(COUNTIFS(Calibration!$A:$A,A1158,Calibration!$B:$B,B1158)&gt;0,"Yes","No")</f>
        <v>No</v>
      </c>
      <c r="S1158" s="6"/>
    </row>
    <row r="1159" spans="1:19" ht="34.5" customHeight="1" x14ac:dyDescent="0.2">
      <c r="A1159" s="2">
        <v>239</v>
      </c>
      <c r="B1159" s="2">
        <v>12</v>
      </c>
      <c r="C1159" s="2" t="s">
        <v>408</v>
      </c>
      <c r="D1159" s="2" t="s">
        <v>21</v>
      </c>
      <c r="E1159" s="2">
        <v>20210601</v>
      </c>
      <c r="F1159" s="2">
        <v>20211231</v>
      </c>
      <c r="G1159" s="2">
        <v>12064</v>
      </c>
      <c r="H1159" s="2">
        <v>10400</v>
      </c>
      <c r="I1159" s="2">
        <v>8</v>
      </c>
      <c r="J1159" s="2" t="s">
        <v>22</v>
      </c>
      <c r="K1159" s="2" t="s">
        <v>23</v>
      </c>
      <c r="L1159" s="2" t="s">
        <v>3919</v>
      </c>
      <c r="M1159" s="7" t="s">
        <v>3920</v>
      </c>
      <c r="N1159" s="7" t="s">
        <v>3921</v>
      </c>
      <c r="O1159" s="2"/>
      <c r="P1159" s="2"/>
      <c r="Q1159" s="2" t="str">
        <f>IF(SUMPRODUCT(--ISNUMBER(SEARCH('National Domains'!$A$2:$A$48,L1159)))&gt;0,"Yes","No")</f>
        <v>Yes</v>
      </c>
      <c r="R1159" s="2" t="str">
        <f>IF(COUNTIFS(Calibration!$A:$A,A1159,Calibration!$B:$B,B1159)&gt;0,"Yes","No")</f>
        <v>No</v>
      </c>
      <c r="S1159" s="6"/>
    </row>
    <row r="1160" spans="1:19" ht="34.5" customHeight="1" x14ac:dyDescent="0.2">
      <c r="A1160" s="2">
        <v>239</v>
      </c>
      <c r="B1160" s="2">
        <v>13</v>
      </c>
      <c r="C1160" s="2" t="s">
        <v>408</v>
      </c>
      <c r="D1160" s="2" t="s">
        <v>21</v>
      </c>
      <c r="E1160" s="2">
        <v>20210601</v>
      </c>
      <c r="F1160" s="2">
        <v>20211231</v>
      </c>
      <c r="G1160" s="2">
        <v>12064</v>
      </c>
      <c r="H1160" s="2">
        <v>10400</v>
      </c>
      <c r="I1160" s="2">
        <v>8</v>
      </c>
      <c r="J1160" s="2" t="s">
        <v>22</v>
      </c>
      <c r="K1160" s="2" t="s">
        <v>23</v>
      </c>
      <c r="L1160" s="2" t="s">
        <v>3922</v>
      </c>
      <c r="M1160" s="7" t="s">
        <v>3923</v>
      </c>
      <c r="N1160" s="7" t="s">
        <v>3924</v>
      </c>
      <c r="O1160" s="2"/>
      <c r="P1160" s="2"/>
      <c r="Q1160" s="2" t="str">
        <f>IF(SUMPRODUCT(--ISNUMBER(SEARCH('National Domains'!$A$2:$A$48,L1160)))&gt;0,"Yes","No")</f>
        <v>Yes</v>
      </c>
      <c r="R1160" s="2" t="str">
        <f>IF(COUNTIFS(Calibration!$A:$A,A1160,Calibration!$B:$B,B1160)&gt;0,"Yes","No")</f>
        <v>No</v>
      </c>
      <c r="S1160" s="6"/>
    </row>
    <row r="1161" spans="1:19" ht="34.5" customHeight="1" x14ac:dyDescent="0.2">
      <c r="A1161" s="2">
        <v>239</v>
      </c>
      <c r="B1161" s="2">
        <v>14</v>
      </c>
      <c r="C1161" s="2" t="s">
        <v>408</v>
      </c>
      <c r="D1161" s="2" t="s">
        <v>21</v>
      </c>
      <c r="E1161" s="2">
        <v>20210601</v>
      </c>
      <c r="F1161" s="2">
        <v>20211231</v>
      </c>
      <c r="G1161" s="2">
        <v>12064</v>
      </c>
      <c r="H1161" s="2">
        <v>10400</v>
      </c>
      <c r="I1161" s="2">
        <v>8</v>
      </c>
      <c r="J1161" s="2" t="s">
        <v>22</v>
      </c>
      <c r="K1161" s="2" t="s">
        <v>23</v>
      </c>
      <c r="L1161" s="2" t="s">
        <v>3925</v>
      </c>
      <c r="M1161" s="7" t="s">
        <v>3926</v>
      </c>
      <c r="N1161" s="7" t="s">
        <v>3927</v>
      </c>
      <c r="O1161" s="2"/>
      <c r="P1161" s="2"/>
      <c r="Q1161" s="2" t="str">
        <f>IF(SUMPRODUCT(--ISNUMBER(SEARCH('National Domains'!$A$2:$A$48,L1161)))&gt;0,"Yes","No")</f>
        <v>Yes</v>
      </c>
      <c r="R1161" s="2" t="str">
        <f>IF(COUNTIFS(Calibration!$A:$A,A1161,Calibration!$B:$B,B1161)&gt;0,"Yes","No")</f>
        <v>No</v>
      </c>
      <c r="S1161" s="6"/>
    </row>
    <row r="1162" spans="1:19" ht="23.25" customHeight="1" x14ac:dyDescent="0.2">
      <c r="A1162" s="2">
        <v>239</v>
      </c>
      <c r="B1162" s="2">
        <v>15</v>
      </c>
      <c r="C1162" s="2" t="s">
        <v>408</v>
      </c>
      <c r="D1162" s="2" t="s">
        <v>21</v>
      </c>
      <c r="E1162" s="2">
        <v>20210601</v>
      </c>
      <c r="F1162" s="2">
        <v>20211231</v>
      </c>
      <c r="G1162" s="2">
        <v>12064</v>
      </c>
      <c r="H1162" s="2">
        <v>10400</v>
      </c>
      <c r="I1162" s="2">
        <v>8</v>
      </c>
      <c r="J1162" s="2" t="s">
        <v>22</v>
      </c>
      <c r="K1162" s="2" t="s">
        <v>23</v>
      </c>
      <c r="L1162" s="2" t="s">
        <v>3928</v>
      </c>
      <c r="M1162" s="7" t="s">
        <v>3929</v>
      </c>
      <c r="N1162" s="7" t="s">
        <v>3930</v>
      </c>
      <c r="O1162" s="2"/>
      <c r="P1162" s="2"/>
      <c r="Q1162" s="2" t="str">
        <f>IF(SUMPRODUCT(--ISNUMBER(SEARCH('National Domains'!$A$2:$A$48,L1162)))&gt;0,"Yes","No")</f>
        <v>Yes</v>
      </c>
      <c r="R1162" s="2" t="str">
        <f>IF(COUNTIFS(Calibration!$A:$A,A1162,Calibration!$B:$B,B1162)&gt;0,"Yes","No")</f>
        <v>No</v>
      </c>
      <c r="S1162" s="6"/>
    </row>
    <row r="1163" spans="1:19" ht="34.5" customHeight="1" x14ac:dyDescent="0.2">
      <c r="A1163" s="4">
        <v>239</v>
      </c>
      <c r="B1163" s="4">
        <v>16</v>
      </c>
      <c r="C1163" s="4" t="s">
        <v>408</v>
      </c>
      <c r="D1163" s="4" t="s">
        <v>21</v>
      </c>
      <c r="E1163" s="4">
        <v>20210601</v>
      </c>
      <c r="F1163" s="4">
        <v>20211231</v>
      </c>
      <c r="G1163" s="4">
        <v>12064</v>
      </c>
      <c r="H1163" s="4">
        <v>10400</v>
      </c>
      <c r="I1163" s="4">
        <v>8</v>
      </c>
      <c r="J1163" s="4" t="s">
        <v>22</v>
      </c>
      <c r="K1163" s="4" t="s">
        <v>23</v>
      </c>
      <c r="L1163" s="4" t="s">
        <v>3931</v>
      </c>
      <c r="M1163" s="5" t="s">
        <v>3932</v>
      </c>
      <c r="N1163" s="5" t="s">
        <v>3933</v>
      </c>
      <c r="O1163" s="4"/>
      <c r="P1163" s="4"/>
      <c r="Q1163" s="4" t="str">
        <f>IF(SUMPRODUCT(--ISNUMBER(SEARCH('National Domains'!$A$2:$A$48,L1163)))&gt;0,"Yes","No")</f>
        <v>No</v>
      </c>
      <c r="R1163" s="4" t="str">
        <f>IF(COUNTIFS(Calibration!$A:$A,A1163,Calibration!$B:$B,B1163)&gt;0,"Yes","No")</f>
        <v>Yes</v>
      </c>
      <c r="S1163" s="6"/>
    </row>
    <row r="1164" spans="1:19" ht="34.5" customHeight="1" x14ac:dyDescent="0.2">
      <c r="A1164" s="2">
        <v>239</v>
      </c>
      <c r="B1164" s="2">
        <v>17</v>
      </c>
      <c r="C1164" s="2" t="s">
        <v>408</v>
      </c>
      <c r="D1164" s="2" t="s">
        <v>21</v>
      </c>
      <c r="E1164" s="2">
        <v>20210601</v>
      </c>
      <c r="F1164" s="2">
        <v>20211231</v>
      </c>
      <c r="G1164" s="2">
        <v>12064</v>
      </c>
      <c r="H1164" s="2">
        <v>10400</v>
      </c>
      <c r="I1164" s="2">
        <v>8</v>
      </c>
      <c r="J1164" s="2" t="s">
        <v>22</v>
      </c>
      <c r="K1164" s="2" t="s">
        <v>23</v>
      </c>
      <c r="L1164" s="2" t="s">
        <v>3934</v>
      </c>
      <c r="M1164" s="7" t="s">
        <v>3935</v>
      </c>
      <c r="N1164" s="7" t="s">
        <v>3936</v>
      </c>
      <c r="O1164" s="2"/>
      <c r="P1164" s="2"/>
      <c r="Q1164" s="2" t="str">
        <f>IF(SUMPRODUCT(--ISNUMBER(SEARCH('National Domains'!$A$2:$A$48,L1164)))&gt;0,"Yes","No")</f>
        <v>No</v>
      </c>
      <c r="R1164" s="2" t="str">
        <f>IF(COUNTIFS(Calibration!$A:$A,A1164,Calibration!$B:$B,B1164)&gt;0,"Yes","No")</f>
        <v>No</v>
      </c>
      <c r="S1164" s="6"/>
    </row>
    <row r="1165" spans="1:19" ht="34.5" customHeight="1" x14ac:dyDescent="0.2">
      <c r="A1165" s="2">
        <v>239</v>
      </c>
      <c r="B1165" s="2">
        <v>18</v>
      </c>
      <c r="C1165" s="2" t="s">
        <v>408</v>
      </c>
      <c r="D1165" s="2" t="s">
        <v>21</v>
      </c>
      <c r="E1165" s="2">
        <v>20210601</v>
      </c>
      <c r="F1165" s="2">
        <v>20211231</v>
      </c>
      <c r="G1165" s="2">
        <v>12064</v>
      </c>
      <c r="H1165" s="2">
        <v>10400</v>
      </c>
      <c r="I1165" s="2">
        <v>8</v>
      </c>
      <c r="J1165" s="2" t="s">
        <v>22</v>
      </c>
      <c r="K1165" s="2" t="s">
        <v>23</v>
      </c>
      <c r="L1165" s="2" t="s">
        <v>3937</v>
      </c>
      <c r="M1165" s="7" t="s">
        <v>3938</v>
      </c>
      <c r="N1165" s="7" t="s">
        <v>3939</v>
      </c>
      <c r="O1165" s="2"/>
      <c r="P1165" s="2"/>
      <c r="Q1165" s="2" t="str">
        <f>IF(SUMPRODUCT(--ISNUMBER(SEARCH('National Domains'!$A$2:$A$48,L1165)))&gt;0,"Yes","No")</f>
        <v>No</v>
      </c>
      <c r="R1165" s="2" t="str">
        <f>IF(COUNTIFS(Calibration!$A:$A,A1165,Calibration!$B:$B,B1165)&gt;0,"Yes","No")</f>
        <v>No</v>
      </c>
      <c r="S1165" s="6"/>
    </row>
    <row r="1166" spans="1:19" ht="34.5" customHeight="1" x14ac:dyDescent="0.2">
      <c r="A1166" s="2">
        <v>239</v>
      </c>
      <c r="B1166" s="2">
        <v>19</v>
      </c>
      <c r="C1166" s="2" t="s">
        <v>408</v>
      </c>
      <c r="D1166" s="2" t="s">
        <v>21</v>
      </c>
      <c r="E1166" s="2">
        <v>20210601</v>
      </c>
      <c r="F1166" s="2">
        <v>20211231</v>
      </c>
      <c r="G1166" s="2">
        <v>12064</v>
      </c>
      <c r="H1166" s="2">
        <v>10400</v>
      </c>
      <c r="I1166" s="2">
        <v>8</v>
      </c>
      <c r="J1166" s="2" t="s">
        <v>22</v>
      </c>
      <c r="K1166" s="2" t="s">
        <v>23</v>
      </c>
      <c r="L1166" s="2" t="s">
        <v>3940</v>
      </c>
      <c r="M1166" s="7" t="s">
        <v>3941</v>
      </c>
      <c r="N1166" s="7" t="s">
        <v>3942</v>
      </c>
      <c r="O1166" s="2"/>
      <c r="P1166" s="2"/>
      <c r="Q1166" s="2" t="str">
        <f>IF(SUMPRODUCT(--ISNUMBER(SEARCH('National Domains'!$A$2:$A$48,L1166)))&gt;0,"Yes","No")</f>
        <v>No</v>
      </c>
      <c r="R1166" s="2" t="str">
        <f>IF(COUNTIFS(Calibration!$A:$A,A1166,Calibration!$B:$B,B1166)&gt;0,"Yes","No")</f>
        <v>No</v>
      </c>
      <c r="S1166" s="6"/>
    </row>
    <row r="1167" spans="1:19" ht="34.5" customHeight="1" x14ac:dyDescent="0.2">
      <c r="A1167" s="2">
        <v>239</v>
      </c>
      <c r="B1167" s="2">
        <v>20</v>
      </c>
      <c r="C1167" s="2" t="s">
        <v>408</v>
      </c>
      <c r="D1167" s="2" t="s">
        <v>21</v>
      </c>
      <c r="E1167" s="2">
        <v>20210601</v>
      </c>
      <c r="F1167" s="2">
        <v>20211231</v>
      </c>
      <c r="G1167" s="2">
        <v>12064</v>
      </c>
      <c r="H1167" s="2">
        <v>10400</v>
      </c>
      <c r="I1167" s="2">
        <v>8</v>
      </c>
      <c r="J1167" s="2" t="s">
        <v>22</v>
      </c>
      <c r="K1167" s="2" t="s">
        <v>23</v>
      </c>
      <c r="L1167" s="2" t="s">
        <v>3943</v>
      </c>
      <c r="M1167" s="7" t="s">
        <v>3944</v>
      </c>
      <c r="N1167" s="7" t="s">
        <v>3945</v>
      </c>
      <c r="O1167" s="2"/>
      <c r="P1167" s="2"/>
      <c r="Q1167" s="2" t="str">
        <f>IF(SUMPRODUCT(--ISNUMBER(SEARCH('National Domains'!$A$2:$A$48,L1167)))&gt;0,"Yes","No")</f>
        <v>No</v>
      </c>
      <c r="R1167" s="2" t="str">
        <f>IF(COUNTIFS(Calibration!$A:$A,A1167,Calibration!$B:$B,B1167)&gt;0,"Yes","No")</f>
        <v>No</v>
      </c>
      <c r="S1167" s="6"/>
    </row>
    <row r="1168" spans="1:19" ht="34.5" customHeight="1" x14ac:dyDescent="0.2">
      <c r="A1168" s="2">
        <v>239</v>
      </c>
      <c r="B1168" s="2">
        <v>21</v>
      </c>
      <c r="C1168" s="2" t="s">
        <v>408</v>
      </c>
      <c r="D1168" s="2" t="s">
        <v>21</v>
      </c>
      <c r="E1168" s="2">
        <v>20210601</v>
      </c>
      <c r="F1168" s="2">
        <v>20211231</v>
      </c>
      <c r="G1168" s="2">
        <v>12064</v>
      </c>
      <c r="H1168" s="2">
        <v>10400</v>
      </c>
      <c r="I1168" s="2">
        <v>8</v>
      </c>
      <c r="J1168" s="2" t="s">
        <v>22</v>
      </c>
      <c r="K1168" s="2" t="s">
        <v>23</v>
      </c>
      <c r="L1168" s="2" t="s">
        <v>3946</v>
      </c>
      <c r="M1168" s="7" t="s">
        <v>3947</v>
      </c>
      <c r="N1168" s="7" t="s">
        <v>3948</v>
      </c>
      <c r="O1168" s="2"/>
      <c r="P1168" s="2"/>
      <c r="Q1168" s="2" t="str">
        <f>IF(SUMPRODUCT(--ISNUMBER(SEARCH('National Domains'!$A$2:$A$48,L1168)))&gt;0,"Yes","No")</f>
        <v>No</v>
      </c>
      <c r="R1168" s="2" t="str">
        <f>IF(COUNTIFS(Calibration!$A:$A,A1168,Calibration!$B:$B,B1168)&gt;0,"Yes","No")</f>
        <v>No</v>
      </c>
      <c r="S1168" s="6"/>
    </row>
    <row r="1169" spans="1:19" ht="34.5" customHeight="1" x14ac:dyDescent="0.2">
      <c r="A1169" s="2">
        <v>239</v>
      </c>
      <c r="B1169" s="2">
        <v>22</v>
      </c>
      <c r="C1169" s="2" t="s">
        <v>408</v>
      </c>
      <c r="D1169" s="2" t="s">
        <v>21</v>
      </c>
      <c r="E1169" s="2">
        <v>20210601</v>
      </c>
      <c r="F1169" s="2">
        <v>20211231</v>
      </c>
      <c r="G1169" s="2">
        <v>12064</v>
      </c>
      <c r="H1169" s="2">
        <v>10400</v>
      </c>
      <c r="I1169" s="2">
        <v>8</v>
      </c>
      <c r="J1169" s="2" t="s">
        <v>22</v>
      </c>
      <c r="K1169" s="2" t="s">
        <v>23</v>
      </c>
      <c r="L1169" s="2" t="s">
        <v>3949</v>
      </c>
      <c r="M1169" s="7" t="s">
        <v>3950</v>
      </c>
      <c r="N1169" s="7" t="s">
        <v>3951</v>
      </c>
      <c r="O1169" s="2"/>
      <c r="P1169" s="2"/>
      <c r="Q1169" s="2" t="str">
        <f>IF(SUMPRODUCT(--ISNUMBER(SEARCH('National Domains'!$A$2:$A$48,L1169)))&gt;0,"Yes","No")</f>
        <v>Yes</v>
      </c>
      <c r="R1169" s="2" t="str">
        <f>IF(COUNTIFS(Calibration!$A:$A,A1169,Calibration!$B:$B,B1169)&gt;0,"Yes","No")</f>
        <v>No</v>
      </c>
      <c r="S1169" s="6"/>
    </row>
    <row r="1170" spans="1:19" ht="34.5" customHeight="1" x14ac:dyDescent="0.2">
      <c r="A1170" s="2">
        <v>239</v>
      </c>
      <c r="B1170" s="2">
        <v>23</v>
      </c>
      <c r="C1170" s="2" t="s">
        <v>408</v>
      </c>
      <c r="D1170" s="2" t="s">
        <v>21</v>
      </c>
      <c r="E1170" s="2">
        <v>20210601</v>
      </c>
      <c r="F1170" s="2">
        <v>20211231</v>
      </c>
      <c r="G1170" s="2">
        <v>12064</v>
      </c>
      <c r="H1170" s="2">
        <v>10400</v>
      </c>
      <c r="I1170" s="2">
        <v>8</v>
      </c>
      <c r="J1170" s="2" t="s">
        <v>22</v>
      </c>
      <c r="K1170" s="2" t="s">
        <v>23</v>
      </c>
      <c r="L1170" s="2" t="s">
        <v>3952</v>
      </c>
      <c r="M1170" s="7" t="s">
        <v>3953</v>
      </c>
      <c r="N1170" s="7" t="s">
        <v>3954</v>
      </c>
      <c r="O1170" s="2"/>
      <c r="P1170" s="2"/>
      <c r="Q1170" s="2" t="str">
        <f>IF(SUMPRODUCT(--ISNUMBER(SEARCH('National Domains'!$A$2:$A$48,L1170)))&gt;0,"Yes","No")</f>
        <v>Yes</v>
      </c>
      <c r="R1170" s="2" t="str">
        <f>IF(COUNTIFS(Calibration!$A:$A,A1170,Calibration!$B:$B,B1170)&gt;0,"Yes","No")</f>
        <v>No</v>
      </c>
      <c r="S1170" s="6"/>
    </row>
    <row r="1171" spans="1:19" ht="34.5" customHeight="1" x14ac:dyDescent="0.2">
      <c r="A1171" s="2">
        <v>239</v>
      </c>
      <c r="B1171" s="2">
        <v>24</v>
      </c>
      <c r="C1171" s="2" t="s">
        <v>408</v>
      </c>
      <c r="D1171" s="2" t="s">
        <v>21</v>
      </c>
      <c r="E1171" s="2">
        <v>20210601</v>
      </c>
      <c r="F1171" s="2">
        <v>20211231</v>
      </c>
      <c r="G1171" s="2">
        <v>12064</v>
      </c>
      <c r="H1171" s="2">
        <v>10400</v>
      </c>
      <c r="I1171" s="2">
        <v>8</v>
      </c>
      <c r="J1171" s="2" t="s">
        <v>22</v>
      </c>
      <c r="K1171" s="2" t="s">
        <v>23</v>
      </c>
      <c r="L1171" s="2" t="s">
        <v>3955</v>
      </c>
      <c r="M1171" s="7" t="s">
        <v>3956</v>
      </c>
      <c r="N1171" s="7" t="s">
        <v>3957</v>
      </c>
      <c r="O1171" s="2"/>
      <c r="P1171" s="2"/>
      <c r="Q1171" s="2" t="str">
        <f>IF(SUMPRODUCT(--ISNUMBER(SEARCH('National Domains'!$A$2:$A$48,L1171)))&gt;0,"Yes","No")</f>
        <v>Yes</v>
      </c>
      <c r="R1171" s="2" t="str">
        <f>IF(COUNTIFS(Calibration!$A:$A,A1171,Calibration!$B:$B,B1171)&gt;0,"Yes","No")</f>
        <v>No</v>
      </c>
      <c r="S1171" s="6"/>
    </row>
    <row r="1172" spans="1:19" ht="34.5" customHeight="1" x14ac:dyDescent="0.2">
      <c r="A1172" s="2">
        <v>239</v>
      </c>
      <c r="B1172" s="2">
        <v>25</v>
      </c>
      <c r="C1172" s="2" t="s">
        <v>408</v>
      </c>
      <c r="D1172" s="2" t="s">
        <v>21</v>
      </c>
      <c r="E1172" s="2">
        <v>20210601</v>
      </c>
      <c r="F1172" s="2">
        <v>20211231</v>
      </c>
      <c r="G1172" s="2">
        <v>12064</v>
      </c>
      <c r="H1172" s="2">
        <v>10400</v>
      </c>
      <c r="I1172" s="2">
        <v>8</v>
      </c>
      <c r="J1172" s="2" t="s">
        <v>22</v>
      </c>
      <c r="K1172" s="2" t="s">
        <v>23</v>
      </c>
      <c r="L1172" s="2" t="s">
        <v>3958</v>
      </c>
      <c r="M1172" s="7" t="s">
        <v>3959</v>
      </c>
      <c r="N1172" s="7" t="s">
        <v>3960</v>
      </c>
      <c r="O1172" s="2"/>
      <c r="P1172" s="2"/>
      <c r="Q1172" s="2" t="str">
        <f>IF(SUMPRODUCT(--ISNUMBER(SEARCH('National Domains'!$A$2:$A$48,L1172)))&gt;0,"Yes","No")</f>
        <v>Yes</v>
      </c>
      <c r="R1172" s="2" t="str">
        <f>IF(COUNTIFS(Calibration!$A:$A,A1172,Calibration!$B:$B,B1172)&gt;0,"Yes","No")</f>
        <v>No</v>
      </c>
      <c r="S1172" s="6"/>
    </row>
    <row r="1173" spans="1:19" ht="34.5" customHeight="1" x14ac:dyDescent="0.2">
      <c r="A1173" s="2">
        <v>240</v>
      </c>
      <c r="B1173" s="2">
        <v>1</v>
      </c>
      <c r="C1173" s="2" t="s">
        <v>409</v>
      </c>
      <c r="D1173" s="2" t="s">
        <v>29</v>
      </c>
      <c r="E1173" s="2">
        <v>20210101</v>
      </c>
      <c r="F1173" s="2">
        <v>20211231</v>
      </c>
      <c r="G1173" s="2">
        <v>10201.9</v>
      </c>
      <c r="H1173" s="2">
        <v>8431</v>
      </c>
      <c r="I1173" s="2">
        <v>229</v>
      </c>
      <c r="J1173" s="2" t="s">
        <v>22</v>
      </c>
      <c r="K1173" s="2" t="s">
        <v>23</v>
      </c>
      <c r="L1173" s="2" t="s">
        <v>3961</v>
      </c>
      <c r="M1173" s="7" t="s">
        <v>3962</v>
      </c>
      <c r="N1173" s="7" t="s">
        <v>3963</v>
      </c>
      <c r="O1173" s="2"/>
      <c r="P1173" s="2"/>
      <c r="Q1173" s="2" t="str">
        <f>IF(SUMPRODUCT(--ISNUMBER(SEARCH('National Domains'!$A$2:$A$48,L1173)))&gt;0,"Yes","No")</f>
        <v>No</v>
      </c>
      <c r="R1173" s="2" t="str">
        <f>IF(COUNTIFS(Calibration!$A:$A,A1173,Calibration!$B:$B,B1173)&gt;0,"Yes","No")</f>
        <v>No</v>
      </c>
      <c r="S1173" s="6"/>
    </row>
    <row r="1174" spans="1:19" ht="34.5" customHeight="1" x14ac:dyDescent="0.2">
      <c r="A1174" s="2">
        <v>240</v>
      </c>
      <c r="B1174" s="2">
        <v>2</v>
      </c>
      <c r="C1174" s="2" t="s">
        <v>409</v>
      </c>
      <c r="D1174" s="2" t="s">
        <v>29</v>
      </c>
      <c r="E1174" s="2">
        <v>20210101</v>
      </c>
      <c r="F1174" s="2">
        <v>20211231</v>
      </c>
      <c r="G1174" s="2">
        <v>10201.9</v>
      </c>
      <c r="H1174" s="2">
        <v>8431</v>
      </c>
      <c r="I1174" s="2">
        <v>229</v>
      </c>
      <c r="J1174" s="2" t="s">
        <v>22</v>
      </c>
      <c r="K1174" s="2" t="s">
        <v>23</v>
      </c>
      <c r="L1174" s="2" t="s">
        <v>3964</v>
      </c>
      <c r="M1174" s="7" t="s">
        <v>3965</v>
      </c>
      <c r="N1174" s="7" t="s">
        <v>3966</v>
      </c>
      <c r="O1174" s="2"/>
      <c r="P1174" s="2"/>
      <c r="Q1174" s="2" t="str">
        <f>IF(SUMPRODUCT(--ISNUMBER(SEARCH('National Domains'!$A$2:$A$48,L1174)))&gt;0,"Yes","No")</f>
        <v>No</v>
      </c>
      <c r="R1174" s="2" t="str">
        <f>IF(COUNTIFS(Calibration!$A:$A,A1174,Calibration!$B:$B,B1174)&gt;0,"Yes","No")</f>
        <v>No</v>
      </c>
      <c r="S1174" s="6"/>
    </row>
    <row r="1175" spans="1:19" ht="34.5" customHeight="1" x14ac:dyDescent="0.2">
      <c r="A1175" s="2">
        <v>240</v>
      </c>
      <c r="B1175" s="2">
        <v>3</v>
      </c>
      <c r="C1175" s="2" t="s">
        <v>409</v>
      </c>
      <c r="D1175" s="2" t="s">
        <v>29</v>
      </c>
      <c r="E1175" s="2">
        <v>20210101</v>
      </c>
      <c r="F1175" s="2">
        <v>20211231</v>
      </c>
      <c r="G1175" s="2">
        <v>10201.9</v>
      </c>
      <c r="H1175" s="2">
        <v>8431</v>
      </c>
      <c r="I1175" s="2">
        <v>229</v>
      </c>
      <c r="J1175" s="2" t="s">
        <v>22</v>
      </c>
      <c r="K1175" s="2" t="s">
        <v>23</v>
      </c>
      <c r="L1175" s="2" t="s">
        <v>3967</v>
      </c>
      <c r="M1175" s="7" t="s">
        <v>3968</v>
      </c>
      <c r="N1175" s="7" t="s">
        <v>3969</v>
      </c>
      <c r="O1175" s="2"/>
      <c r="P1175" s="2"/>
      <c r="Q1175" s="2" t="str">
        <f>IF(SUMPRODUCT(--ISNUMBER(SEARCH('National Domains'!$A$2:$A$48,L1175)))&gt;0,"Yes","No")</f>
        <v>No</v>
      </c>
      <c r="R1175" s="2" t="str">
        <f>IF(COUNTIFS(Calibration!$A:$A,A1175,Calibration!$B:$B,B1175)&gt;0,"Yes","No")</f>
        <v>No</v>
      </c>
      <c r="S1175" s="6"/>
    </row>
    <row r="1176" spans="1:19" ht="34.5" customHeight="1" x14ac:dyDescent="0.2">
      <c r="A1176" s="2">
        <v>240</v>
      </c>
      <c r="B1176" s="2">
        <v>4</v>
      </c>
      <c r="C1176" s="2" t="s">
        <v>409</v>
      </c>
      <c r="D1176" s="2" t="s">
        <v>29</v>
      </c>
      <c r="E1176" s="2">
        <v>20210101</v>
      </c>
      <c r="F1176" s="2">
        <v>20211231</v>
      </c>
      <c r="G1176" s="2">
        <v>10201.9</v>
      </c>
      <c r="H1176" s="2">
        <v>8431</v>
      </c>
      <c r="I1176" s="2">
        <v>229</v>
      </c>
      <c r="J1176" s="2" t="s">
        <v>22</v>
      </c>
      <c r="K1176" s="2" t="s">
        <v>23</v>
      </c>
      <c r="L1176" s="2" t="s">
        <v>3970</v>
      </c>
      <c r="M1176" s="7" t="s">
        <v>3971</v>
      </c>
      <c r="N1176" s="7" t="s">
        <v>3972</v>
      </c>
      <c r="O1176" s="2"/>
      <c r="P1176" s="2"/>
      <c r="Q1176" s="2" t="str">
        <f>IF(SUMPRODUCT(--ISNUMBER(SEARCH('National Domains'!$A$2:$A$48,L1176)))&gt;0,"Yes","No")</f>
        <v>No</v>
      </c>
      <c r="R1176" s="2" t="str">
        <f>IF(COUNTIFS(Calibration!$A:$A,A1176,Calibration!$B:$B,B1176)&gt;0,"Yes","No")</f>
        <v>No</v>
      </c>
      <c r="S1176" s="6"/>
    </row>
    <row r="1177" spans="1:19" ht="34.5" customHeight="1" x14ac:dyDescent="0.2">
      <c r="A1177" s="2">
        <v>240</v>
      </c>
      <c r="B1177" s="2">
        <v>5</v>
      </c>
      <c r="C1177" s="2" t="s">
        <v>409</v>
      </c>
      <c r="D1177" s="2" t="s">
        <v>29</v>
      </c>
      <c r="E1177" s="2">
        <v>20210101</v>
      </c>
      <c r="F1177" s="2">
        <v>20211231</v>
      </c>
      <c r="G1177" s="2">
        <v>10201.9</v>
      </c>
      <c r="H1177" s="2">
        <v>8431</v>
      </c>
      <c r="I1177" s="2">
        <v>229</v>
      </c>
      <c r="J1177" s="2" t="s">
        <v>22</v>
      </c>
      <c r="K1177" s="2" t="s">
        <v>23</v>
      </c>
      <c r="L1177" s="2" t="s">
        <v>3931</v>
      </c>
      <c r="M1177" s="7" t="s">
        <v>3932</v>
      </c>
      <c r="N1177" s="7" t="s">
        <v>3933</v>
      </c>
      <c r="O1177" s="2"/>
      <c r="P1177" s="2"/>
      <c r="Q1177" s="2" t="str">
        <f>IF(SUMPRODUCT(--ISNUMBER(SEARCH('National Domains'!$A$2:$A$48,L1177)))&gt;0,"Yes","No")</f>
        <v>No</v>
      </c>
      <c r="R1177" s="2" t="str">
        <f>IF(COUNTIFS(Calibration!$A:$A,A1177,Calibration!$B:$B,B1177)&gt;0,"Yes","No")</f>
        <v>No</v>
      </c>
      <c r="S1177" s="6"/>
    </row>
    <row r="1178" spans="1:19" ht="23.25" customHeight="1" x14ac:dyDescent="0.2">
      <c r="A1178" s="2">
        <v>240</v>
      </c>
      <c r="B1178" s="2">
        <v>6</v>
      </c>
      <c r="C1178" s="2" t="s">
        <v>409</v>
      </c>
      <c r="D1178" s="2" t="s">
        <v>29</v>
      </c>
      <c r="E1178" s="2">
        <v>20210101</v>
      </c>
      <c r="F1178" s="2">
        <v>20211231</v>
      </c>
      <c r="G1178" s="2">
        <v>10201.9</v>
      </c>
      <c r="H1178" s="2">
        <v>8431</v>
      </c>
      <c r="I1178" s="2">
        <v>229</v>
      </c>
      <c r="J1178" s="2" t="s">
        <v>22</v>
      </c>
      <c r="K1178" s="2" t="s">
        <v>23</v>
      </c>
      <c r="L1178" s="2" t="s">
        <v>3973</v>
      </c>
      <c r="M1178" s="7" t="s">
        <v>3974</v>
      </c>
      <c r="N1178" s="7" t="s">
        <v>3975</v>
      </c>
      <c r="O1178" s="2"/>
      <c r="P1178" s="2"/>
      <c r="Q1178" s="2" t="str">
        <f>IF(SUMPRODUCT(--ISNUMBER(SEARCH('National Domains'!$A$2:$A$48,L1178)))&gt;0,"Yes","No")</f>
        <v>No</v>
      </c>
      <c r="R1178" s="2" t="str">
        <f>IF(COUNTIFS(Calibration!$A:$A,A1178,Calibration!$B:$B,B1178)&gt;0,"Yes","No")</f>
        <v>No</v>
      </c>
      <c r="S1178" s="6"/>
    </row>
    <row r="1179" spans="1:19" ht="34.5" customHeight="1" x14ac:dyDescent="0.2">
      <c r="A1179" s="2">
        <v>240</v>
      </c>
      <c r="B1179" s="2">
        <v>7</v>
      </c>
      <c r="C1179" s="2" t="s">
        <v>409</v>
      </c>
      <c r="D1179" s="2" t="s">
        <v>29</v>
      </c>
      <c r="E1179" s="2">
        <v>20210101</v>
      </c>
      <c r="F1179" s="2">
        <v>20211231</v>
      </c>
      <c r="G1179" s="2">
        <v>10201.9</v>
      </c>
      <c r="H1179" s="2">
        <v>8431</v>
      </c>
      <c r="I1179" s="2">
        <v>229</v>
      </c>
      <c r="J1179" s="2" t="s">
        <v>22</v>
      </c>
      <c r="K1179" s="2" t="s">
        <v>23</v>
      </c>
      <c r="L1179" s="2" t="s">
        <v>3976</v>
      </c>
      <c r="M1179" s="7" t="s">
        <v>3977</v>
      </c>
      <c r="N1179" s="7" t="s">
        <v>3978</v>
      </c>
      <c r="O1179" s="2"/>
      <c r="P1179" s="2"/>
      <c r="Q1179" s="2" t="str">
        <f>IF(SUMPRODUCT(--ISNUMBER(SEARCH('National Domains'!$A$2:$A$48,L1179)))&gt;0,"Yes","No")</f>
        <v>No</v>
      </c>
      <c r="R1179" s="2" t="str">
        <f>IF(COUNTIFS(Calibration!$A:$A,A1179,Calibration!$B:$B,B1179)&gt;0,"Yes","No")</f>
        <v>No</v>
      </c>
      <c r="S1179" s="6"/>
    </row>
    <row r="1180" spans="1:19" ht="34.5" customHeight="1" x14ac:dyDescent="0.2">
      <c r="A1180" s="2">
        <v>240</v>
      </c>
      <c r="B1180" s="2">
        <v>8</v>
      </c>
      <c r="C1180" s="2" t="s">
        <v>409</v>
      </c>
      <c r="D1180" s="2" t="s">
        <v>29</v>
      </c>
      <c r="E1180" s="2">
        <v>20210101</v>
      </c>
      <c r="F1180" s="2">
        <v>20211231</v>
      </c>
      <c r="G1180" s="2">
        <v>10201.9</v>
      </c>
      <c r="H1180" s="2">
        <v>8431</v>
      </c>
      <c r="I1180" s="2">
        <v>229</v>
      </c>
      <c r="J1180" s="2" t="s">
        <v>22</v>
      </c>
      <c r="K1180" s="2" t="s">
        <v>23</v>
      </c>
      <c r="L1180" s="2" t="s">
        <v>3979</v>
      </c>
      <c r="M1180" s="7" t="s">
        <v>3980</v>
      </c>
      <c r="N1180" s="7" t="s">
        <v>3981</v>
      </c>
      <c r="O1180" s="2"/>
      <c r="P1180" s="2"/>
      <c r="Q1180" s="2" t="str">
        <f>IF(SUMPRODUCT(--ISNUMBER(SEARCH('National Domains'!$A$2:$A$48,L1180)))&gt;0,"Yes","No")</f>
        <v>No</v>
      </c>
      <c r="R1180" s="2" t="str">
        <f>IF(COUNTIFS(Calibration!$A:$A,A1180,Calibration!$B:$B,B1180)&gt;0,"Yes","No")</f>
        <v>No</v>
      </c>
      <c r="S1180" s="6"/>
    </row>
    <row r="1181" spans="1:19" ht="34.5" customHeight="1" x14ac:dyDescent="0.2">
      <c r="A1181" s="2">
        <v>240</v>
      </c>
      <c r="B1181" s="2">
        <v>9</v>
      </c>
      <c r="C1181" s="2" t="s">
        <v>409</v>
      </c>
      <c r="D1181" s="2" t="s">
        <v>29</v>
      </c>
      <c r="E1181" s="2">
        <v>20210101</v>
      </c>
      <c r="F1181" s="2">
        <v>20211231</v>
      </c>
      <c r="G1181" s="2">
        <v>10201.9</v>
      </c>
      <c r="H1181" s="2">
        <v>8431</v>
      </c>
      <c r="I1181" s="2">
        <v>229</v>
      </c>
      <c r="J1181" s="2" t="s">
        <v>22</v>
      </c>
      <c r="K1181" s="2" t="s">
        <v>23</v>
      </c>
      <c r="L1181" s="2" t="s">
        <v>3982</v>
      </c>
      <c r="M1181" s="7" t="s">
        <v>3983</v>
      </c>
      <c r="N1181" s="7" t="s">
        <v>3984</v>
      </c>
      <c r="O1181" s="2"/>
      <c r="P1181" s="2"/>
      <c r="Q1181" s="2" t="str">
        <f>IF(SUMPRODUCT(--ISNUMBER(SEARCH('National Domains'!$A$2:$A$48,L1181)))&gt;0,"Yes","No")</f>
        <v>No</v>
      </c>
      <c r="R1181" s="2" t="str">
        <f>IF(COUNTIFS(Calibration!$A:$A,A1181,Calibration!$B:$B,B1181)&gt;0,"Yes","No")</f>
        <v>No</v>
      </c>
      <c r="S1181" s="6"/>
    </row>
    <row r="1182" spans="1:19" ht="34.5" customHeight="1" x14ac:dyDescent="0.2">
      <c r="A1182" s="2">
        <v>240</v>
      </c>
      <c r="B1182" s="2">
        <v>10</v>
      </c>
      <c r="C1182" s="2" t="s">
        <v>409</v>
      </c>
      <c r="D1182" s="2" t="s">
        <v>29</v>
      </c>
      <c r="E1182" s="2">
        <v>20210101</v>
      </c>
      <c r="F1182" s="2">
        <v>20211231</v>
      </c>
      <c r="G1182" s="2">
        <v>10201.9</v>
      </c>
      <c r="H1182" s="2">
        <v>8431</v>
      </c>
      <c r="I1182" s="2">
        <v>229</v>
      </c>
      <c r="J1182" s="2" t="s">
        <v>22</v>
      </c>
      <c r="K1182" s="2" t="s">
        <v>23</v>
      </c>
      <c r="L1182" s="2" t="s">
        <v>3985</v>
      </c>
      <c r="M1182" s="7" t="s">
        <v>3986</v>
      </c>
      <c r="N1182" s="7" t="s">
        <v>3987</v>
      </c>
      <c r="O1182" s="2"/>
      <c r="P1182" s="2"/>
      <c r="Q1182" s="2" t="str">
        <f>IF(SUMPRODUCT(--ISNUMBER(SEARCH('National Domains'!$A$2:$A$48,L1182)))&gt;0,"Yes","No")</f>
        <v>No</v>
      </c>
      <c r="R1182" s="2" t="str">
        <f>IF(COUNTIFS(Calibration!$A:$A,A1182,Calibration!$B:$B,B1182)&gt;0,"Yes","No")</f>
        <v>No</v>
      </c>
      <c r="S1182" s="6"/>
    </row>
    <row r="1183" spans="1:19" ht="34.5" customHeight="1" x14ac:dyDescent="0.2">
      <c r="A1183" s="2">
        <v>240</v>
      </c>
      <c r="B1183" s="2">
        <v>11</v>
      </c>
      <c r="C1183" s="2" t="s">
        <v>409</v>
      </c>
      <c r="D1183" s="2" t="s">
        <v>29</v>
      </c>
      <c r="E1183" s="2">
        <v>20210101</v>
      </c>
      <c r="F1183" s="2">
        <v>20211231</v>
      </c>
      <c r="G1183" s="2">
        <v>10201.9</v>
      </c>
      <c r="H1183" s="2">
        <v>8431</v>
      </c>
      <c r="I1183" s="2">
        <v>229</v>
      </c>
      <c r="J1183" s="2" t="s">
        <v>22</v>
      </c>
      <c r="K1183" s="2" t="s">
        <v>23</v>
      </c>
      <c r="L1183" s="2" t="s">
        <v>3988</v>
      </c>
      <c r="M1183" s="7" t="s">
        <v>3989</v>
      </c>
      <c r="N1183" s="7" t="s">
        <v>3990</v>
      </c>
      <c r="O1183" s="2"/>
      <c r="P1183" s="2"/>
      <c r="Q1183" s="2" t="str">
        <f>IF(SUMPRODUCT(--ISNUMBER(SEARCH('National Domains'!$A$2:$A$48,L1183)))&gt;0,"Yes","No")</f>
        <v>No</v>
      </c>
      <c r="R1183" s="2" t="str">
        <f>IF(COUNTIFS(Calibration!$A:$A,A1183,Calibration!$B:$B,B1183)&gt;0,"Yes","No")</f>
        <v>No</v>
      </c>
      <c r="S1183" s="6"/>
    </row>
    <row r="1184" spans="1:19" ht="34.5" customHeight="1" x14ac:dyDescent="0.2">
      <c r="A1184" s="2">
        <v>240</v>
      </c>
      <c r="B1184" s="2">
        <v>12</v>
      </c>
      <c r="C1184" s="2" t="s">
        <v>409</v>
      </c>
      <c r="D1184" s="2" t="s">
        <v>29</v>
      </c>
      <c r="E1184" s="2">
        <v>20210101</v>
      </c>
      <c r="F1184" s="2">
        <v>20211231</v>
      </c>
      <c r="G1184" s="2">
        <v>10201.9</v>
      </c>
      <c r="H1184" s="2">
        <v>8431</v>
      </c>
      <c r="I1184" s="2">
        <v>229</v>
      </c>
      <c r="J1184" s="2" t="s">
        <v>22</v>
      </c>
      <c r="K1184" s="2" t="s">
        <v>23</v>
      </c>
      <c r="L1184" s="2" t="s">
        <v>3991</v>
      </c>
      <c r="M1184" s="7" t="s">
        <v>3992</v>
      </c>
      <c r="N1184" s="7" t="s">
        <v>3993</v>
      </c>
      <c r="O1184" s="2"/>
      <c r="P1184" s="2"/>
      <c r="Q1184" s="2" t="str">
        <f>IF(SUMPRODUCT(--ISNUMBER(SEARCH('National Domains'!$A$2:$A$48,L1184)))&gt;0,"Yes","No")</f>
        <v>Yes</v>
      </c>
      <c r="R1184" s="2" t="str">
        <f>IF(COUNTIFS(Calibration!$A:$A,A1184,Calibration!$B:$B,B1184)&gt;0,"Yes","No")</f>
        <v>No</v>
      </c>
      <c r="S1184" s="6"/>
    </row>
    <row r="1185" spans="1:19" ht="34.5" customHeight="1" x14ac:dyDescent="0.2">
      <c r="A1185" s="2">
        <v>240</v>
      </c>
      <c r="B1185" s="2">
        <v>13</v>
      </c>
      <c r="C1185" s="2" t="s">
        <v>409</v>
      </c>
      <c r="D1185" s="2" t="s">
        <v>29</v>
      </c>
      <c r="E1185" s="2">
        <v>20210101</v>
      </c>
      <c r="F1185" s="2">
        <v>20211231</v>
      </c>
      <c r="G1185" s="2">
        <v>10201.9</v>
      </c>
      <c r="H1185" s="2">
        <v>8431</v>
      </c>
      <c r="I1185" s="2">
        <v>229</v>
      </c>
      <c r="J1185" s="2" t="s">
        <v>22</v>
      </c>
      <c r="K1185" s="2" t="s">
        <v>23</v>
      </c>
      <c r="L1185" s="2" t="s">
        <v>3994</v>
      </c>
      <c r="M1185" s="7" t="s">
        <v>3995</v>
      </c>
      <c r="N1185" s="7" t="s">
        <v>3996</v>
      </c>
      <c r="O1185" s="2"/>
      <c r="P1185" s="2"/>
      <c r="Q1185" s="2" t="str">
        <f>IF(SUMPRODUCT(--ISNUMBER(SEARCH('National Domains'!$A$2:$A$48,L1185)))&gt;0,"Yes","No")</f>
        <v>Yes</v>
      </c>
      <c r="R1185" s="2" t="str">
        <f>IF(COUNTIFS(Calibration!$A:$A,A1185,Calibration!$B:$B,B1185)&gt;0,"Yes","No")</f>
        <v>No</v>
      </c>
      <c r="S1185" s="6"/>
    </row>
    <row r="1186" spans="1:19" ht="34.5" customHeight="1" x14ac:dyDescent="0.2">
      <c r="A1186" s="2">
        <v>240</v>
      </c>
      <c r="B1186" s="2">
        <v>14</v>
      </c>
      <c r="C1186" s="2" t="s">
        <v>409</v>
      </c>
      <c r="D1186" s="2" t="s">
        <v>29</v>
      </c>
      <c r="E1186" s="2">
        <v>20210101</v>
      </c>
      <c r="F1186" s="2">
        <v>20211231</v>
      </c>
      <c r="G1186" s="2">
        <v>10201.9</v>
      </c>
      <c r="H1186" s="2">
        <v>8431</v>
      </c>
      <c r="I1186" s="2">
        <v>229</v>
      </c>
      <c r="J1186" s="2" t="s">
        <v>22</v>
      </c>
      <c r="K1186" s="2" t="s">
        <v>23</v>
      </c>
      <c r="L1186" s="2" t="s">
        <v>3997</v>
      </c>
      <c r="M1186" s="7" t="s">
        <v>3998</v>
      </c>
      <c r="N1186" s="7" t="s">
        <v>3999</v>
      </c>
      <c r="O1186" s="2"/>
      <c r="P1186" s="2"/>
      <c r="Q1186" s="2" t="str">
        <f>IF(SUMPRODUCT(--ISNUMBER(SEARCH('National Domains'!$A$2:$A$48,L1186)))&gt;0,"Yes","No")</f>
        <v>Yes</v>
      </c>
      <c r="R1186" s="2" t="str">
        <f>IF(COUNTIFS(Calibration!$A:$A,A1186,Calibration!$B:$B,B1186)&gt;0,"Yes","No")</f>
        <v>No</v>
      </c>
      <c r="S1186" s="6"/>
    </row>
    <row r="1187" spans="1:19" ht="34.5" customHeight="1" x14ac:dyDescent="0.2">
      <c r="A1187" s="2">
        <v>240</v>
      </c>
      <c r="B1187" s="2">
        <v>15</v>
      </c>
      <c r="C1187" s="2" t="s">
        <v>409</v>
      </c>
      <c r="D1187" s="2" t="s">
        <v>29</v>
      </c>
      <c r="E1187" s="2">
        <v>20210101</v>
      </c>
      <c r="F1187" s="2">
        <v>20211231</v>
      </c>
      <c r="G1187" s="2">
        <v>10201.9</v>
      </c>
      <c r="H1187" s="2">
        <v>8431</v>
      </c>
      <c r="I1187" s="2">
        <v>229</v>
      </c>
      <c r="J1187" s="2" t="s">
        <v>22</v>
      </c>
      <c r="K1187" s="2" t="s">
        <v>23</v>
      </c>
      <c r="L1187" s="2" t="s">
        <v>4000</v>
      </c>
      <c r="M1187" s="7" t="s">
        <v>4001</v>
      </c>
      <c r="N1187" s="7" t="s">
        <v>4002</v>
      </c>
      <c r="O1187" s="2"/>
      <c r="P1187" s="2"/>
      <c r="Q1187" s="2" t="str">
        <f>IF(SUMPRODUCT(--ISNUMBER(SEARCH('National Domains'!$A$2:$A$48,L1187)))&gt;0,"Yes","No")</f>
        <v>Yes</v>
      </c>
      <c r="R1187" s="2" t="str">
        <f>IF(COUNTIFS(Calibration!$A:$A,A1187,Calibration!$B:$B,B1187)&gt;0,"Yes","No")</f>
        <v>No</v>
      </c>
      <c r="S1187" s="6"/>
    </row>
    <row r="1188" spans="1:19" ht="34.5" customHeight="1" x14ac:dyDescent="0.2">
      <c r="A1188" s="2">
        <v>240</v>
      </c>
      <c r="B1188" s="2">
        <v>16</v>
      </c>
      <c r="C1188" s="2" t="s">
        <v>409</v>
      </c>
      <c r="D1188" s="2" t="s">
        <v>29</v>
      </c>
      <c r="E1188" s="2">
        <v>20210101</v>
      </c>
      <c r="F1188" s="2">
        <v>20211231</v>
      </c>
      <c r="G1188" s="2">
        <v>10201.9</v>
      </c>
      <c r="H1188" s="2">
        <v>8431</v>
      </c>
      <c r="I1188" s="2">
        <v>229</v>
      </c>
      <c r="J1188" s="2" t="s">
        <v>22</v>
      </c>
      <c r="K1188" s="2" t="s">
        <v>23</v>
      </c>
      <c r="L1188" s="2" t="s">
        <v>4003</v>
      </c>
      <c r="M1188" s="7" t="s">
        <v>4004</v>
      </c>
      <c r="N1188" s="7" t="s">
        <v>4005</v>
      </c>
      <c r="O1188" s="2"/>
      <c r="P1188" s="2"/>
      <c r="Q1188" s="2" t="str">
        <f>IF(SUMPRODUCT(--ISNUMBER(SEARCH('National Domains'!$A$2:$A$48,L1188)))&gt;0,"Yes","No")</f>
        <v>Yes</v>
      </c>
      <c r="R1188" s="2" t="str">
        <f>IF(COUNTIFS(Calibration!$A:$A,A1188,Calibration!$B:$B,B1188)&gt;0,"Yes","No")</f>
        <v>No</v>
      </c>
      <c r="S1188" s="6"/>
    </row>
    <row r="1189" spans="1:19" ht="34.5" customHeight="1" x14ac:dyDescent="0.2">
      <c r="A1189" s="2">
        <v>240</v>
      </c>
      <c r="B1189" s="2">
        <v>17</v>
      </c>
      <c r="C1189" s="2" t="s">
        <v>409</v>
      </c>
      <c r="D1189" s="2" t="s">
        <v>29</v>
      </c>
      <c r="E1189" s="2">
        <v>20210101</v>
      </c>
      <c r="F1189" s="2">
        <v>20211231</v>
      </c>
      <c r="G1189" s="2">
        <v>10201.9</v>
      </c>
      <c r="H1189" s="2">
        <v>8431</v>
      </c>
      <c r="I1189" s="2">
        <v>229</v>
      </c>
      <c r="J1189" s="2" t="s">
        <v>22</v>
      </c>
      <c r="K1189" s="2" t="s">
        <v>23</v>
      </c>
      <c r="L1189" s="2" t="s">
        <v>4006</v>
      </c>
      <c r="M1189" s="7" t="s">
        <v>4007</v>
      </c>
      <c r="N1189" s="7" t="s">
        <v>4008</v>
      </c>
      <c r="O1189" s="2"/>
      <c r="P1189" s="2"/>
      <c r="Q1189" s="2" t="str">
        <f>IF(SUMPRODUCT(--ISNUMBER(SEARCH('National Domains'!$A$2:$A$48,L1189)))&gt;0,"Yes","No")</f>
        <v>No</v>
      </c>
      <c r="R1189" s="2" t="str">
        <f>IF(COUNTIFS(Calibration!$A:$A,A1189,Calibration!$B:$B,B1189)&gt;0,"Yes","No")</f>
        <v>No</v>
      </c>
      <c r="S1189" s="6"/>
    </row>
    <row r="1190" spans="1:19" ht="34.5" customHeight="1" x14ac:dyDescent="0.2">
      <c r="A1190" s="2">
        <v>240</v>
      </c>
      <c r="B1190" s="2">
        <v>18</v>
      </c>
      <c r="C1190" s="2" t="s">
        <v>409</v>
      </c>
      <c r="D1190" s="2" t="s">
        <v>29</v>
      </c>
      <c r="E1190" s="2">
        <v>20210101</v>
      </c>
      <c r="F1190" s="2">
        <v>20211231</v>
      </c>
      <c r="G1190" s="2">
        <v>10201.9</v>
      </c>
      <c r="H1190" s="2">
        <v>8431</v>
      </c>
      <c r="I1190" s="2">
        <v>229</v>
      </c>
      <c r="J1190" s="2" t="s">
        <v>22</v>
      </c>
      <c r="K1190" s="2" t="s">
        <v>23</v>
      </c>
      <c r="L1190" s="2" t="s">
        <v>4009</v>
      </c>
      <c r="M1190" s="7" t="s">
        <v>4010</v>
      </c>
      <c r="N1190" s="7" t="s">
        <v>4011</v>
      </c>
      <c r="O1190" s="2"/>
      <c r="P1190" s="2"/>
      <c r="Q1190" s="2" t="str">
        <f>IF(SUMPRODUCT(--ISNUMBER(SEARCH('National Domains'!$A$2:$A$48,L1190)))&gt;0,"Yes","No")</f>
        <v>No</v>
      </c>
      <c r="R1190" s="2" t="str">
        <f>IF(COUNTIFS(Calibration!$A:$A,A1190,Calibration!$B:$B,B1190)&gt;0,"Yes","No")</f>
        <v>No</v>
      </c>
      <c r="S1190" s="6"/>
    </row>
    <row r="1191" spans="1:19" ht="34.5" customHeight="1" x14ac:dyDescent="0.2">
      <c r="A1191" s="2">
        <v>240</v>
      </c>
      <c r="B1191" s="2">
        <v>19</v>
      </c>
      <c r="C1191" s="2" t="s">
        <v>409</v>
      </c>
      <c r="D1191" s="2" t="s">
        <v>29</v>
      </c>
      <c r="E1191" s="2">
        <v>20210101</v>
      </c>
      <c r="F1191" s="2">
        <v>20211231</v>
      </c>
      <c r="G1191" s="2">
        <v>10201.9</v>
      </c>
      <c r="H1191" s="2">
        <v>8431</v>
      </c>
      <c r="I1191" s="2">
        <v>229</v>
      </c>
      <c r="J1191" s="2" t="s">
        <v>22</v>
      </c>
      <c r="K1191" s="2" t="s">
        <v>23</v>
      </c>
      <c r="L1191" s="2" t="s">
        <v>4012</v>
      </c>
      <c r="M1191" s="7" t="s">
        <v>4013</v>
      </c>
      <c r="N1191" s="7" t="s">
        <v>4014</v>
      </c>
      <c r="O1191" s="2"/>
      <c r="P1191" s="2"/>
      <c r="Q1191" s="2" t="str">
        <f>IF(SUMPRODUCT(--ISNUMBER(SEARCH('National Domains'!$A$2:$A$48,L1191)))&gt;0,"Yes","No")</f>
        <v>No</v>
      </c>
      <c r="R1191" s="2" t="str">
        <f>IF(COUNTIFS(Calibration!$A:$A,A1191,Calibration!$B:$B,B1191)&gt;0,"Yes","No")</f>
        <v>No</v>
      </c>
      <c r="S1191" s="6"/>
    </row>
    <row r="1192" spans="1:19" ht="34.5" customHeight="1" x14ac:dyDescent="0.2">
      <c r="A1192" s="2">
        <v>240</v>
      </c>
      <c r="B1192" s="2">
        <v>20</v>
      </c>
      <c r="C1192" s="2" t="s">
        <v>409</v>
      </c>
      <c r="D1192" s="2" t="s">
        <v>29</v>
      </c>
      <c r="E1192" s="2">
        <v>20210101</v>
      </c>
      <c r="F1192" s="2">
        <v>20211231</v>
      </c>
      <c r="G1192" s="2">
        <v>10201.9</v>
      </c>
      <c r="H1192" s="2">
        <v>8431</v>
      </c>
      <c r="I1192" s="2">
        <v>229</v>
      </c>
      <c r="J1192" s="2" t="s">
        <v>22</v>
      </c>
      <c r="K1192" s="2" t="s">
        <v>23</v>
      </c>
      <c r="L1192" s="2" t="s">
        <v>4015</v>
      </c>
      <c r="M1192" s="7" t="s">
        <v>4016</v>
      </c>
      <c r="N1192" s="7" t="s">
        <v>4017</v>
      </c>
      <c r="O1192" s="2"/>
      <c r="P1192" s="2"/>
      <c r="Q1192" s="2" t="str">
        <f>IF(SUMPRODUCT(--ISNUMBER(SEARCH('National Domains'!$A$2:$A$48,L1192)))&gt;0,"Yes","No")</f>
        <v>Yes</v>
      </c>
      <c r="R1192" s="2" t="str">
        <f>IF(COUNTIFS(Calibration!$A:$A,A1192,Calibration!$B:$B,B1192)&gt;0,"Yes","No")</f>
        <v>No</v>
      </c>
      <c r="S1192" s="6"/>
    </row>
    <row r="1193" spans="1:19" ht="34.5" customHeight="1" x14ac:dyDescent="0.2">
      <c r="A1193" s="2">
        <v>240</v>
      </c>
      <c r="B1193" s="2">
        <v>21</v>
      </c>
      <c r="C1193" s="2" t="s">
        <v>409</v>
      </c>
      <c r="D1193" s="2" t="s">
        <v>29</v>
      </c>
      <c r="E1193" s="2">
        <v>20210101</v>
      </c>
      <c r="F1193" s="2">
        <v>20211231</v>
      </c>
      <c r="G1193" s="2">
        <v>10201.9</v>
      </c>
      <c r="H1193" s="2">
        <v>8431</v>
      </c>
      <c r="I1193" s="2">
        <v>229</v>
      </c>
      <c r="J1193" s="2" t="s">
        <v>22</v>
      </c>
      <c r="K1193" s="2" t="s">
        <v>23</v>
      </c>
      <c r="L1193" s="2" t="s">
        <v>4018</v>
      </c>
      <c r="M1193" s="7" t="s">
        <v>4019</v>
      </c>
      <c r="N1193" s="7" t="s">
        <v>4020</v>
      </c>
      <c r="O1193" s="2"/>
      <c r="P1193" s="2"/>
      <c r="Q1193" s="2" t="str">
        <f>IF(SUMPRODUCT(--ISNUMBER(SEARCH('National Domains'!$A$2:$A$48,L1193)))&gt;0,"Yes","No")</f>
        <v>Yes</v>
      </c>
      <c r="R1193" s="2" t="str">
        <f>IF(COUNTIFS(Calibration!$A:$A,A1193,Calibration!$B:$B,B1193)&gt;0,"Yes","No")</f>
        <v>No</v>
      </c>
      <c r="S1193" s="6"/>
    </row>
    <row r="1194" spans="1:19" ht="34.5" customHeight="1" x14ac:dyDescent="0.2">
      <c r="A1194" s="2">
        <v>240</v>
      </c>
      <c r="B1194" s="2">
        <v>22</v>
      </c>
      <c r="C1194" s="2" t="s">
        <v>409</v>
      </c>
      <c r="D1194" s="2" t="s">
        <v>29</v>
      </c>
      <c r="E1194" s="2">
        <v>20210101</v>
      </c>
      <c r="F1194" s="2">
        <v>20211231</v>
      </c>
      <c r="G1194" s="2">
        <v>10201.9</v>
      </c>
      <c r="H1194" s="2">
        <v>8431</v>
      </c>
      <c r="I1194" s="2">
        <v>229</v>
      </c>
      <c r="J1194" s="2" t="s">
        <v>22</v>
      </c>
      <c r="K1194" s="2" t="s">
        <v>23</v>
      </c>
      <c r="L1194" s="2" t="s">
        <v>4021</v>
      </c>
      <c r="M1194" s="7" t="s">
        <v>4022</v>
      </c>
      <c r="N1194" s="7" t="s">
        <v>4023</v>
      </c>
      <c r="O1194" s="2"/>
      <c r="P1194" s="2"/>
      <c r="Q1194" s="2" t="str">
        <f>IF(SUMPRODUCT(--ISNUMBER(SEARCH('National Domains'!$A$2:$A$48,L1194)))&gt;0,"Yes","No")</f>
        <v>Yes</v>
      </c>
      <c r="R1194" s="2" t="str">
        <f>IF(COUNTIFS(Calibration!$A:$A,A1194,Calibration!$B:$B,B1194)&gt;0,"Yes","No")</f>
        <v>No</v>
      </c>
      <c r="S1194" s="6"/>
    </row>
    <row r="1195" spans="1:19" ht="34.5" customHeight="1" x14ac:dyDescent="0.2">
      <c r="A1195" s="2">
        <v>240</v>
      </c>
      <c r="B1195" s="2">
        <v>23</v>
      </c>
      <c r="C1195" s="2" t="s">
        <v>409</v>
      </c>
      <c r="D1195" s="2" t="s">
        <v>29</v>
      </c>
      <c r="E1195" s="2">
        <v>20210101</v>
      </c>
      <c r="F1195" s="2">
        <v>20211231</v>
      </c>
      <c r="G1195" s="2">
        <v>10201.9</v>
      </c>
      <c r="H1195" s="2">
        <v>8431</v>
      </c>
      <c r="I1195" s="2">
        <v>229</v>
      </c>
      <c r="J1195" s="2" t="s">
        <v>22</v>
      </c>
      <c r="K1195" s="2" t="s">
        <v>23</v>
      </c>
      <c r="L1195" s="2" t="s">
        <v>4024</v>
      </c>
      <c r="M1195" s="7" t="s">
        <v>4025</v>
      </c>
      <c r="N1195" s="7" t="s">
        <v>4026</v>
      </c>
      <c r="O1195" s="2"/>
      <c r="P1195" s="2"/>
      <c r="Q1195" s="2" t="str">
        <f>IF(SUMPRODUCT(--ISNUMBER(SEARCH('National Domains'!$A$2:$A$48,L1195)))&gt;0,"Yes","No")</f>
        <v>Yes</v>
      </c>
      <c r="R1195" s="2" t="str">
        <f>IF(COUNTIFS(Calibration!$A:$A,A1195,Calibration!$B:$B,B1195)&gt;0,"Yes","No")</f>
        <v>No</v>
      </c>
      <c r="S1195" s="6"/>
    </row>
    <row r="1196" spans="1:19" ht="34.5" customHeight="1" x14ac:dyDescent="0.2">
      <c r="A1196" s="2">
        <v>240</v>
      </c>
      <c r="B1196" s="2">
        <v>24</v>
      </c>
      <c r="C1196" s="2" t="s">
        <v>409</v>
      </c>
      <c r="D1196" s="2" t="s">
        <v>29</v>
      </c>
      <c r="E1196" s="2">
        <v>20210101</v>
      </c>
      <c r="F1196" s="2">
        <v>20211231</v>
      </c>
      <c r="G1196" s="2">
        <v>10201.9</v>
      </c>
      <c r="H1196" s="2">
        <v>8431</v>
      </c>
      <c r="I1196" s="2">
        <v>229</v>
      </c>
      <c r="J1196" s="2" t="s">
        <v>22</v>
      </c>
      <c r="K1196" s="2" t="s">
        <v>23</v>
      </c>
      <c r="L1196" s="2" t="s">
        <v>4027</v>
      </c>
      <c r="M1196" s="7" t="s">
        <v>4028</v>
      </c>
      <c r="N1196" s="7" t="s">
        <v>4029</v>
      </c>
      <c r="O1196" s="2"/>
      <c r="P1196" s="2"/>
      <c r="Q1196" s="2" t="str">
        <f>IF(SUMPRODUCT(--ISNUMBER(SEARCH('National Domains'!$A$2:$A$48,L1196)))&gt;0,"Yes","No")</f>
        <v>Yes</v>
      </c>
      <c r="R1196" s="2" t="str">
        <f>IF(COUNTIFS(Calibration!$A:$A,A1196,Calibration!$B:$B,B1196)&gt;0,"Yes","No")</f>
        <v>No</v>
      </c>
      <c r="S1196" s="6"/>
    </row>
    <row r="1197" spans="1:19" ht="34.5" customHeight="1" x14ac:dyDescent="0.2">
      <c r="A1197" s="2">
        <v>240</v>
      </c>
      <c r="B1197" s="2">
        <v>25</v>
      </c>
      <c r="C1197" s="2" t="s">
        <v>409</v>
      </c>
      <c r="D1197" s="2" t="s">
        <v>29</v>
      </c>
      <c r="E1197" s="2">
        <v>20210101</v>
      </c>
      <c r="F1197" s="2">
        <v>20211231</v>
      </c>
      <c r="G1197" s="2">
        <v>10201.9</v>
      </c>
      <c r="H1197" s="2">
        <v>8431</v>
      </c>
      <c r="I1197" s="2">
        <v>229</v>
      </c>
      <c r="J1197" s="2" t="s">
        <v>22</v>
      </c>
      <c r="K1197" s="2" t="s">
        <v>23</v>
      </c>
      <c r="L1197" s="2" t="s">
        <v>4030</v>
      </c>
      <c r="M1197" s="7" t="s">
        <v>4031</v>
      </c>
      <c r="N1197" s="7" t="s">
        <v>4032</v>
      </c>
      <c r="O1197" s="2"/>
      <c r="P1197" s="2"/>
      <c r="Q1197" s="2" t="str">
        <f>IF(SUMPRODUCT(--ISNUMBER(SEARCH('National Domains'!$A$2:$A$48,L1197)))&gt;0,"Yes","No")</f>
        <v>No</v>
      </c>
      <c r="R1197" s="2" t="str">
        <f>IF(COUNTIFS(Calibration!$A:$A,A1197,Calibration!$B:$B,B1197)&gt;0,"Yes","No")</f>
        <v>No</v>
      </c>
      <c r="S1197" s="6"/>
    </row>
    <row r="1198" spans="1:19" ht="34.5" customHeight="1" x14ac:dyDescent="0.2">
      <c r="A1198" s="2">
        <v>240</v>
      </c>
      <c r="B1198" s="2">
        <v>26</v>
      </c>
      <c r="C1198" s="2" t="s">
        <v>409</v>
      </c>
      <c r="D1198" s="2" t="s">
        <v>29</v>
      </c>
      <c r="E1198" s="2">
        <v>20210101</v>
      </c>
      <c r="F1198" s="2">
        <v>20211231</v>
      </c>
      <c r="G1198" s="2">
        <v>10201.9</v>
      </c>
      <c r="H1198" s="2">
        <v>8431</v>
      </c>
      <c r="I1198" s="2">
        <v>229</v>
      </c>
      <c r="J1198" s="2" t="s">
        <v>22</v>
      </c>
      <c r="K1198" s="2" t="s">
        <v>23</v>
      </c>
      <c r="L1198" s="2" t="s">
        <v>4033</v>
      </c>
      <c r="M1198" s="7" t="s">
        <v>4034</v>
      </c>
      <c r="N1198" s="7" t="s">
        <v>4035</v>
      </c>
      <c r="O1198" s="2"/>
      <c r="P1198" s="2"/>
      <c r="Q1198" s="2" t="str">
        <f>IF(SUMPRODUCT(--ISNUMBER(SEARCH('National Domains'!$A$2:$A$48,L1198)))&gt;0,"Yes","No")</f>
        <v>No</v>
      </c>
      <c r="R1198" s="2" t="str">
        <f>IF(COUNTIFS(Calibration!$A:$A,A1198,Calibration!$B:$B,B1198)&gt;0,"Yes","No")</f>
        <v>No</v>
      </c>
      <c r="S1198" s="6"/>
    </row>
    <row r="1199" spans="1:19" ht="34.5" customHeight="1" x14ac:dyDescent="0.2">
      <c r="A1199" s="2">
        <v>240</v>
      </c>
      <c r="B1199" s="2">
        <v>27</v>
      </c>
      <c r="C1199" s="2" t="s">
        <v>409</v>
      </c>
      <c r="D1199" s="2" t="s">
        <v>29</v>
      </c>
      <c r="E1199" s="2">
        <v>20210101</v>
      </c>
      <c r="F1199" s="2">
        <v>20211231</v>
      </c>
      <c r="G1199" s="2">
        <v>10201.9</v>
      </c>
      <c r="H1199" s="2">
        <v>8431</v>
      </c>
      <c r="I1199" s="2">
        <v>229</v>
      </c>
      <c r="J1199" s="2" t="s">
        <v>22</v>
      </c>
      <c r="K1199" s="2" t="s">
        <v>23</v>
      </c>
      <c r="L1199" s="2" t="s">
        <v>4036</v>
      </c>
      <c r="M1199" s="7" t="s">
        <v>4037</v>
      </c>
      <c r="N1199" s="7" t="s">
        <v>4038</v>
      </c>
      <c r="O1199" s="2"/>
      <c r="P1199" s="2"/>
      <c r="Q1199" s="2" t="str">
        <f>IF(SUMPRODUCT(--ISNUMBER(SEARCH('National Domains'!$A$2:$A$48,L1199)))&gt;0,"Yes","No")</f>
        <v>No</v>
      </c>
      <c r="R1199" s="2" t="str">
        <f>IF(COUNTIFS(Calibration!$A:$A,A1199,Calibration!$B:$B,B1199)&gt;0,"Yes","No")</f>
        <v>No</v>
      </c>
      <c r="S1199" s="6"/>
    </row>
    <row r="1200" spans="1:19" ht="34.5" customHeight="1" x14ac:dyDescent="0.2">
      <c r="A1200" s="2">
        <v>240</v>
      </c>
      <c r="B1200" s="2">
        <v>28</v>
      </c>
      <c r="C1200" s="2" t="s">
        <v>409</v>
      </c>
      <c r="D1200" s="2" t="s">
        <v>29</v>
      </c>
      <c r="E1200" s="2">
        <v>20210101</v>
      </c>
      <c r="F1200" s="2">
        <v>20211231</v>
      </c>
      <c r="G1200" s="2">
        <v>10201.9</v>
      </c>
      <c r="H1200" s="2">
        <v>8431</v>
      </c>
      <c r="I1200" s="2">
        <v>229</v>
      </c>
      <c r="J1200" s="2" t="s">
        <v>22</v>
      </c>
      <c r="K1200" s="2" t="s">
        <v>23</v>
      </c>
      <c r="L1200" s="2" t="s">
        <v>4039</v>
      </c>
      <c r="M1200" s="7" t="s">
        <v>4040</v>
      </c>
      <c r="N1200" s="7" t="s">
        <v>4041</v>
      </c>
      <c r="O1200" s="2"/>
      <c r="P1200" s="2"/>
      <c r="Q1200" s="2" t="str">
        <f>IF(SUMPRODUCT(--ISNUMBER(SEARCH('National Domains'!$A$2:$A$48,L1200)))&gt;0,"Yes","No")</f>
        <v>No</v>
      </c>
      <c r="R1200" s="2" t="str">
        <f>IF(COUNTIFS(Calibration!$A:$A,A1200,Calibration!$B:$B,B1200)&gt;0,"Yes","No")</f>
        <v>No</v>
      </c>
      <c r="S1200" s="6"/>
    </row>
    <row r="1201" spans="1:19" ht="34.5" customHeight="1" x14ac:dyDescent="0.2">
      <c r="A1201" s="2">
        <v>240</v>
      </c>
      <c r="B1201" s="2">
        <v>29</v>
      </c>
      <c r="C1201" s="2" t="s">
        <v>409</v>
      </c>
      <c r="D1201" s="2" t="s">
        <v>29</v>
      </c>
      <c r="E1201" s="2">
        <v>20210101</v>
      </c>
      <c r="F1201" s="2">
        <v>20211231</v>
      </c>
      <c r="G1201" s="2">
        <v>10201.9</v>
      </c>
      <c r="H1201" s="2">
        <v>8431</v>
      </c>
      <c r="I1201" s="2">
        <v>229</v>
      </c>
      <c r="J1201" s="2" t="s">
        <v>22</v>
      </c>
      <c r="K1201" s="2" t="s">
        <v>23</v>
      </c>
      <c r="L1201" s="2" t="s">
        <v>4042</v>
      </c>
      <c r="M1201" s="7" t="s">
        <v>4043</v>
      </c>
      <c r="N1201" s="7" t="s">
        <v>4044</v>
      </c>
      <c r="O1201" s="2"/>
      <c r="P1201" s="2"/>
      <c r="Q1201" s="2" t="str">
        <f>IF(SUMPRODUCT(--ISNUMBER(SEARCH('National Domains'!$A$2:$A$48,L1201)))&gt;0,"Yes","No")</f>
        <v>No</v>
      </c>
      <c r="R1201" s="2" t="str">
        <f>IF(COUNTIFS(Calibration!$A:$A,A1201,Calibration!$B:$B,B1201)&gt;0,"Yes","No")</f>
        <v>No</v>
      </c>
      <c r="S1201" s="6"/>
    </row>
    <row r="1202" spans="1:19" ht="34.5" customHeight="1" x14ac:dyDescent="0.2">
      <c r="A1202" s="2">
        <v>240</v>
      </c>
      <c r="B1202" s="2">
        <v>30</v>
      </c>
      <c r="C1202" s="2" t="s">
        <v>409</v>
      </c>
      <c r="D1202" s="2" t="s">
        <v>29</v>
      </c>
      <c r="E1202" s="2">
        <v>20210101</v>
      </c>
      <c r="F1202" s="2">
        <v>20211231</v>
      </c>
      <c r="G1202" s="2">
        <v>10201.9</v>
      </c>
      <c r="H1202" s="2">
        <v>8431</v>
      </c>
      <c r="I1202" s="2">
        <v>229</v>
      </c>
      <c r="J1202" s="2" t="s">
        <v>22</v>
      </c>
      <c r="K1202" s="2" t="s">
        <v>23</v>
      </c>
      <c r="L1202" s="2" t="s">
        <v>4045</v>
      </c>
      <c r="M1202" s="7" t="s">
        <v>4046</v>
      </c>
      <c r="N1202" s="7" t="s">
        <v>4047</v>
      </c>
      <c r="O1202" s="2"/>
      <c r="P1202" s="2"/>
      <c r="Q1202" s="2" t="str">
        <f>IF(SUMPRODUCT(--ISNUMBER(SEARCH('National Domains'!$A$2:$A$48,L1202)))&gt;0,"Yes","No")</f>
        <v>No</v>
      </c>
      <c r="R1202" s="2" t="str">
        <f>IF(COUNTIFS(Calibration!$A:$A,A1202,Calibration!$B:$B,B1202)&gt;0,"Yes","No")</f>
        <v>No</v>
      </c>
      <c r="S1202" s="6"/>
    </row>
    <row r="1203" spans="1:19" ht="34.5" customHeight="1" x14ac:dyDescent="0.2">
      <c r="A1203" s="2">
        <v>242</v>
      </c>
      <c r="B1203" s="2">
        <v>1</v>
      </c>
      <c r="C1203" s="2" t="s">
        <v>411</v>
      </c>
      <c r="D1203" s="2" t="s">
        <v>17</v>
      </c>
      <c r="E1203" s="2">
        <v>20220330</v>
      </c>
      <c r="F1203" s="2">
        <v>20220330</v>
      </c>
      <c r="G1203" s="2">
        <v>1381.6</v>
      </c>
      <c r="H1203" s="2">
        <v>1256</v>
      </c>
      <c r="I1203" s="2">
        <v>2</v>
      </c>
      <c r="J1203" s="2" t="s">
        <v>18</v>
      </c>
      <c r="K1203" s="2" t="s">
        <v>19</v>
      </c>
      <c r="L1203" s="2" t="s">
        <v>4048</v>
      </c>
      <c r="M1203" s="7" t="s">
        <v>4049</v>
      </c>
      <c r="N1203" s="7" t="s">
        <v>4050</v>
      </c>
      <c r="O1203" s="2"/>
      <c r="P1203" s="2"/>
      <c r="Q1203" s="2" t="str">
        <f>IF(SUMPRODUCT(--ISNUMBER(SEARCH('National Domains'!$A$2:$A$48,L1203)))&gt;0,"Yes","No")</f>
        <v>Yes</v>
      </c>
      <c r="R1203" s="2" t="str">
        <f>IF(COUNTIFS(Calibration!$A:$A,A1203,Calibration!$B:$B,B1203)&gt;0,"Yes","No")</f>
        <v>No</v>
      </c>
      <c r="S1203" s="6"/>
    </row>
    <row r="1204" spans="1:19" ht="34.5" customHeight="1" x14ac:dyDescent="0.2">
      <c r="A1204" s="2">
        <v>242</v>
      </c>
      <c r="B1204" s="2">
        <v>2</v>
      </c>
      <c r="C1204" s="2" t="s">
        <v>411</v>
      </c>
      <c r="D1204" s="2" t="s">
        <v>17</v>
      </c>
      <c r="E1204" s="2">
        <v>20220330</v>
      </c>
      <c r="F1204" s="2">
        <v>20220330</v>
      </c>
      <c r="G1204" s="2">
        <v>1381.6</v>
      </c>
      <c r="H1204" s="2">
        <v>1256</v>
      </c>
      <c r="I1204" s="2">
        <v>2</v>
      </c>
      <c r="J1204" s="2" t="s">
        <v>18</v>
      </c>
      <c r="K1204" s="2" t="s">
        <v>19</v>
      </c>
      <c r="L1204" s="2" t="s">
        <v>4051</v>
      </c>
      <c r="M1204" s="7" t="s">
        <v>741</v>
      </c>
      <c r="N1204" s="7" t="s">
        <v>4052</v>
      </c>
      <c r="O1204" s="2"/>
      <c r="P1204" s="2"/>
      <c r="Q1204" s="2" t="str">
        <f>IF(SUMPRODUCT(--ISNUMBER(SEARCH('National Domains'!$A$2:$A$48,L1204)))&gt;0,"Yes","No")</f>
        <v>Yes</v>
      </c>
      <c r="R1204" s="2" t="str">
        <f>IF(COUNTIFS(Calibration!$A:$A,A1204,Calibration!$B:$B,B1204)&gt;0,"Yes","No")</f>
        <v>No</v>
      </c>
      <c r="S1204" s="6"/>
    </row>
    <row r="1205" spans="1:19" ht="34.5" customHeight="1" x14ac:dyDescent="0.2">
      <c r="A1205" s="2">
        <v>242</v>
      </c>
      <c r="B1205" s="2">
        <v>3</v>
      </c>
      <c r="C1205" s="2" t="s">
        <v>411</v>
      </c>
      <c r="D1205" s="2" t="s">
        <v>17</v>
      </c>
      <c r="E1205" s="2">
        <v>20220330</v>
      </c>
      <c r="F1205" s="2">
        <v>20220330</v>
      </c>
      <c r="G1205" s="2">
        <v>1381.6</v>
      </c>
      <c r="H1205" s="2">
        <v>1256</v>
      </c>
      <c r="I1205" s="2">
        <v>2</v>
      </c>
      <c r="J1205" s="2" t="s">
        <v>18</v>
      </c>
      <c r="K1205" s="2" t="s">
        <v>19</v>
      </c>
      <c r="L1205" s="2" t="s">
        <v>4053</v>
      </c>
      <c r="M1205" s="7" t="s">
        <v>4054</v>
      </c>
      <c r="N1205" s="7" t="s">
        <v>4055</v>
      </c>
      <c r="O1205" s="2"/>
      <c r="P1205" s="2"/>
      <c r="Q1205" s="2" t="str">
        <f>IF(SUMPRODUCT(--ISNUMBER(SEARCH('National Domains'!$A$2:$A$48,L1205)))&gt;0,"Yes","No")</f>
        <v>Yes</v>
      </c>
      <c r="R1205" s="2" t="str">
        <f>IF(COUNTIFS(Calibration!$A:$A,A1205,Calibration!$B:$B,B1205)&gt;0,"Yes","No")</f>
        <v>No</v>
      </c>
      <c r="S1205" s="6"/>
    </row>
    <row r="1206" spans="1:19" ht="34.5" customHeight="1" x14ac:dyDescent="0.2">
      <c r="A1206" s="4">
        <v>242</v>
      </c>
      <c r="B1206" s="4">
        <v>4</v>
      </c>
      <c r="C1206" s="4" t="s">
        <v>411</v>
      </c>
      <c r="D1206" s="4" t="s">
        <v>17</v>
      </c>
      <c r="E1206" s="4">
        <v>20220330</v>
      </c>
      <c r="F1206" s="4">
        <v>20220330</v>
      </c>
      <c r="G1206" s="4">
        <v>1381.6</v>
      </c>
      <c r="H1206" s="4">
        <v>1256</v>
      </c>
      <c r="I1206" s="4">
        <v>2</v>
      </c>
      <c r="J1206" s="4" t="s">
        <v>18</v>
      </c>
      <c r="K1206" s="4" t="s">
        <v>19</v>
      </c>
      <c r="L1206" s="4" t="s">
        <v>4056</v>
      </c>
      <c r="M1206" s="5" t="s">
        <v>4057</v>
      </c>
      <c r="N1206" s="5" t="s">
        <v>4058</v>
      </c>
      <c r="O1206" s="4"/>
      <c r="P1206" s="4"/>
      <c r="Q1206" s="4" t="str">
        <f>IF(SUMPRODUCT(--ISNUMBER(SEARCH('National Domains'!$A$2:$A$48,L1206)))&gt;0,"Yes","No")</f>
        <v>No</v>
      </c>
      <c r="R1206" s="4" t="str">
        <f>IF(COUNTIFS(Calibration!$A:$A,A1206,Calibration!$B:$B,B1206)&gt;0,"Yes","No")</f>
        <v>Yes</v>
      </c>
      <c r="S1206" s="6"/>
    </row>
    <row r="1207" spans="1:19" ht="34.5" customHeight="1" x14ac:dyDescent="0.2">
      <c r="A1207" s="2">
        <v>243</v>
      </c>
      <c r="B1207" s="2">
        <v>1</v>
      </c>
      <c r="C1207" s="2" t="s">
        <v>412</v>
      </c>
      <c r="D1207" s="2" t="s">
        <v>17</v>
      </c>
      <c r="E1207" s="2">
        <v>20220404</v>
      </c>
      <c r="F1207" s="2">
        <v>20220406</v>
      </c>
      <c r="G1207" s="2">
        <v>1544.8</v>
      </c>
      <c r="H1207" s="2">
        <v>1417</v>
      </c>
      <c r="I1207" s="2">
        <v>3</v>
      </c>
      <c r="J1207" s="2" t="s">
        <v>14</v>
      </c>
      <c r="K1207" s="2" t="s">
        <v>15</v>
      </c>
      <c r="L1207" s="2" t="s">
        <v>4059</v>
      </c>
      <c r="M1207" s="7" t="s">
        <v>4060</v>
      </c>
      <c r="N1207" s="7" t="s">
        <v>4061</v>
      </c>
      <c r="O1207" s="2"/>
      <c r="P1207" s="2"/>
      <c r="Q1207" s="2" t="str">
        <f>IF(SUMPRODUCT(--ISNUMBER(SEARCH('National Domains'!$A$2:$A$48,L1207)))&gt;0,"Yes","No")</f>
        <v>Yes</v>
      </c>
      <c r="R1207" s="2" t="str">
        <f>IF(COUNTIFS(Calibration!$A:$A,A1207,Calibration!$B:$B,B1207)&gt;0,"Yes","No")</f>
        <v>No</v>
      </c>
      <c r="S1207" s="6"/>
    </row>
    <row r="1208" spans="1:19" ht="34.5" customHeight="1" x14ac:dyDescent="0.2">
      <c r="A1208" s="2">
        <v>243</v>
      </c>
      <c r="B1208" s="2">
        <v>2</v>
      </c>
      <c r="C1208" s="2" t="s">
        <v>412</v>
      </c>
      <c r="D1208" s="2" t="s">
        <v>17</v>
      </c>
      <c r="E1208" s="2">
        <v>20220404</v>
      </c>
      <c r="F1208" s="2">
        <v>20220406</v>
      </c>
      <c r="G1208" s="2">
        <v>1544.8</v>
      </c>
      <c r="H1208" s="2">
        <v>1417</v>
      </c>
      <c r="I1208" s="2">
        <v>3</v>
      </c>
      <c r="J1208" s="2" t="s">
        <v>14</v>
      </c>
      <c r="K1208" s="2" t="s">
        <v>15</v>
      </c>
      <c r="L1208" s="2" t="s">
        <v>4062</v>
      </c>
      <c r="M1208" s="7" t="s">
        <v>4063</v>
      </c>
      <c r="N1208" s="7" t="s">
        <v>4064</v>
      </c>
      <c r="O1208" s="2"/>
      <c r="P1208" s="2"/>
      <c r="Q1208" s="2" t="str">
        <f>IF(SUMPRODUCT(--ISNUMBER(SEARCH('National Domains'!$A$2:$A$48,L1208)))&gt;0,"Yes","No")</f>
        <v>Yes</v>
      </c>
      <c r="R1208" s="2" t="str">
        <f>IF(COUNTIFS(Calibration!$A:$A,A1208,Calibration!$B:$B,B1208)&gt;0,"Yes","No")</f>
        <v>No</v>
      </c>
      <c r="S1208" s="6"/>
    </row>
    <row r="1209" spans="1:19" ht="34.5" customHeight="1" x14ac:dyDescent="0.2">
      <c r="A1209" s="2">
        <v>243</v>
      </c>
      <c r="B1209" s="2">
        <v>3</v>
      </c>
      <c r="C1209" s="2" t="s">
        <v>412</v>
      </c>
      <c r="D1209" s="2" t="s">
        <v>17</v>
      </c>
      <c r="E1209" s="2">
        <v>20220404</v>
      </c>
      <c r="F1209" s="2">
        <v>20220406</v>
      </c>
      <c r="G1209" s="2">
        <v>1544.8</v>
      </c>
      <c r="H1209" s="2">
        <v>1417</v>
      </c>
      <c r="I1209" s="2">
        <v>3</v>
      </c>
      <c r="J1209" s="2" t="s">
        <v>14</v>
      </c>
      <c r="K1209" s="2" t="s">
        <v>15</v>
      </c>
      <c r="L1209" s="2" t="s">
        <v>4065</v>
      </c>
      <c r="M1209" s="7" t="s">
        <v>4066</v>
      </c>
      <c r="N1209" s="7" t="s">
        <v>4067</v>
      </c>
      <c r="O1209" s="2"/>
      <c r="P1209" s="2"/>
      <c r="Q1209" s="2" t="str">
        <f>IF(SUMPRODUCT(--ISNUMBER(SEARCH('National Domains'!$A$2:$A$48,L1209)))&gt;0,"Yes","No")</f>
        <v>Yes</v>
      </c>
      <c r="R1209" s="2" t="str">
        <f>IF(COUNTIFS(Calibration!$A:$A,A1209,Calibration!$B:$B,B1209)&gt;0,"Yes","No")</f>
        <v>No</v>
      </c>
      <c r="S1209" s="6"/>
    </row>
    <row r="1210" spans="1:19" ht="34.5" customHeight="1" x14ac:dyDescent="0.2">
      <c r="A1210" s="2">
        <v>243</v>
      </c>
      <c r="B1210" s="2">
        <v>4</v>
      </c>
      <c r="C1210" s="2" t="s">
        <v>412</v>
      </c>
      <c r="D1210" s="2" t="s">
        <v>17</v>
      </c>
      <c r="E1210" s="2">
        <v>20220404</v>
      </c>
      <c r="F1210" s="2">
        <v>20220406</v>
      </c>
      <c r="G1210" s="2">
        <v>1544.8</v>
      </c>
      <c r="H1210" s="2">
        <v>1417</v>
      </c>
      <c r="I1210" s="2">
        <v>3</v>
      </c>
      <c r="J1210" s="2" t="s">
        <v>14</v>
      </c>
      <c r="K1210" s="2" t="s">
        <v>15</v>
      </c>
      <c r="L1210" s="2" t="s">
        <v>4068</v>
      </c>
      <c r="M1210" s="7" t="s">
        <v>4069</v>
      </c>
      <c r="N1210" s="7" t="s">
        <v>4070</v>
      </c>
      <c r="O1210" s="2"/>
      <c r="P1210" s="2"/>
      <c r="Q1210" s="2" t="str">
        <f>IF(SUMPRODUCT(--ISNUMBER(SEARCH('National Domains'!$A$2:$A$48,L1210)))&gt;0,"Yes","No")</f>
        <v>Yes</v>
      </c>
      <c r="R1210" s="2" t="str">
        <f>IF(COUNTIFS(Calibration!$A:$A,A1210,Calibration!$B:$B,B1210)&gt;0,"Yes","No")</f>
        <v>No</v>
      </c>
      <c r="S1210" s="6"/>
    </row>
    <row r="1211" spans="1:19" ht="34.5" customHeight="1" x14ac:dyDescent="0.2">
      <c r="A1211" s="2">
        <v>243</v>
      </c>
      <c r="B1211" s="2">
        <v>5</v>
      </c>
      <c r="C1211" s="2" t="s">
        <v>412</v>
      </c>
      <c r="D1211" s="2" t="s">
        <v>17</v>
      </c>
      <c r="E1211" s="2">
        <v>20220404</v>
      </c>
      <c r="F1211" s="2">
        <v>20220406</v>
      </c>
      <c r="G1211" s="2">
        <v>1544.8</v>
      </c>
      <c r="H1211" s="2">
        <v>1417</v>
      </c>
      <c r="I1211" s="2">
        <v>3</v>
      </c>
      <c r="J1211" s="2" t="s">
        <v>14</v>
      </c>
      <c r="K1211" s="2" t="s">
        <v>15</v>
      </c>
      <c r="L1211" s="2" t="s">
        <v>4071</v>
      </c>
      <c r="M1211" s="7" t="s">
        <v>4072</v>
      </c>
      <c r="N1211" s="7" t="s">
        <v>4073</v>
      </c>
      <c r="O1211" s="2"/>
      <c r="P1211" s="2"/>
      <c r="Q1211" s="2" t="str">
        <f>IF(SUMPRODUCT(--ISNUMBER(SEARCH('National Domains'!$A$2:$A$48,L1211)))&gt;0,"Yes","No")</f>
        <v>Yes</v>
      </c>
      <c r="R1211" s="2" t="str">
        <f>IF(COUNTIFS(Calibration!$A:$A,A1211,Calibration!$B:$B,B1211)&gt;0,"Yes","No")</f>
        <v>No</v>
      </c>
      <c r="S1211" s="6"/>
    </row>
    <row r="1212" spans="1:19" ht="34.5" customHeight="1" x14ac:dyDescent="0.2">
      <c r="A1212" s="2">
        <v>243</v>
      </c>
      <c r="B1212" s="2">
        <v>6</v>
      </c>
      <c r="C1212" s="2" t="s">
        <v>412</v>
      </c>
      <c r="D1212" s="2" t="s">
        <v>17</v>
      </c>
      <c r="E1212" s="2">
        <v>20220404</v>
      </c>
      <c r="F1212" s="2">
        <v>20220406</v>
      </c>
      <c r="G1212" s="2">
        <v>1544.8</v>
      </c>
      <c r="H1212" s="2">
        <v>1417</v>
      </c>
      <c r="I1212" s="2">
        <v>3</v>
      </c>
      <c r="J1212" s="2" t="s">
        <v>14</v>
      </c>
      <c r="K1212" s="2" t="s">
        <v>15</v>
      </c>
      <c r="L1212" s="2" t="s">
        <v>4074</v>
      </c>
      <c r="M1212" s="7" t="s">
        <v>4075</v>
      </c>
      <c r="N1212" s="7" t="s">
        <v>4076</v>
      </c>
      <c r="O1212" s="2"/>
      <c r="P1212" s="2"/>
      <c r="Q1212" s="2" t="str">
        <f>IF(SUMPRODUCT(--ISNUMBER(SEARCH('National Domains'!$A$2:$A$48,L1212)))&gt;0,"Yes","No")</f>
        <v>Yes</v>
      </c>
      <c r="R1212" s="2" t="str">
        <f>IF(COUNTIFS(Calibration!$A:$A,A1212,Calibration!$B:$B,B1212)&gt;0,"Yes","No")</f>
        <v>No</v>
      </c>
      <c r="S1212" s="6"/>
    </row>
    <row r="1213" spans="1:19" ht="34.5" customHeight="1" x14ac:dyDescent="0.2">
      <c r="A1213" s="2">
        <v>243</v>
      </c>
      <c r="B1213" s="2">
        <v>7</v>
      </c>
      <c r="C1213" s="2" t="s">
        <v>412</v>
      </c>
      <c r="D1213" s="2" t="s">
        <v>17</v>
      </c>
      <c r="E1213" s="2">
        <v>20220404</v>
      </c>
      <c r="F1213" s="2">
        <v>20220406</v>
      </c>
      <c r="G1213" s="2">
        <v>1544.8</v>
      </c>
      <c r="H1213" s="2">
        <v>1417</v>
      </c>
      <c r="I1213" s="2">
        <v>3</v>
      </c>
      <c r="J1213" s="2" t="s">
        <v>14</v>
      </c>
      <c r="K1213" s="2" t="s">
        <v>15</v>
      </c>
      <c r="L1213" s="2" t="s">
        <v>4077</v>
      </c>
      <c r="M1213" s="7" t="s">
        <v>4078</v>
      </c>
      <c r="N1213" s="7" t="s">
        <v>4079</v>
      </c>
      <c r="O1213" s="2"/>
      <c r="P1213" s="2"/>
      <c r="Q1213" s="2" t="str">
        <f>IF(SUMPRODUCT(--ISNUMBER(SEARCH('National Domains'!$A$2:$A$48,L1213)))&gt;0,"Yes","No")</f>
        <v>Yes</v>
      </c>
      <c r="R1213" s="2" t="str">
        <f>IF(COUNTIFS(Calibration!$A:$A,A1213,Calibration!$B:$B,B1213)&gt;0,"Yes","No")</f>
        <v>No</v>
      </c>
      <c r="S1213" s="6"/>
    </row>
    <row r="1214" spans="1:19" ht="34.5" customHeight="1" x14ac:dyDescent="0.2">
      <c r="A1214" s="2">
        <v>244</v>
      </c>
      <c r="B1214" s="2">
        <v>1</v>
      </c>
      <c r="C1214" s="2" t="s">
        <v>413</v>
      </c>
      <c r="D1214" s="2" t="s">
        <v>17</v>
      </c>
      <c r="E1214" s="2">
        <v>20220411</v>
      </c>
      <c r="F1214" s="2">
        <v>20220413</v>
      </c>
      <c r="G1214" s="2">
        <v>2915.7</v>
      </c>
      <c r="H1214" s="2">
        <v>2675</v>
      </c>
      <c r="I1214" s="2">
        <v>1</v>
      </c>
      <c r="J1214" s="2" t="s">
        <v>18</v>
      </c>
      <c r="K1214" s="2" t="s">
        <v>19</v>
      </c>
      <c r="L1214" s="2" t="s">
        <v>4080</v>
      </c>
      <c r="M1214" s="7" t="s">
        <v>4081</v>
      </c>
      <c r="N1214" s="7" t="s">
        <v>4082</v>
      </c>
      <c r="O1214" s="2"/>
      <c r="P1214" s="2"/>
      <c r="Q1214" s="2" t="str">
        <f>IF(SUMPRODUCT(--ISNUMBER(SEARCH('National Domains'!$A$2:$A$48,L1214)))&gt;0,"Yes","No")</f>
        <v>Yes</v>
      </c>
      <c r="R1214" s="2" t="str">
        <f>IF(COUNTIFS(Calibration!$A:$A,A1214,Calibration!$B:$B,B1214)&gt;0,"Yes","No")</f>
        <v>No</v>
      </c>
      <c r="S1214" s="6"/>
    </row>
    <row r="1215" spans="1:19" ht="34.5" customHeight="1" x14ac:dyDescent="0.2">
      <c r="A1215" s="2">
        <v>244</v>
      </c>
      <c r="B1215" s="2">
        <v>2</v>
      </c>
      <c r="C1215" s="2" t="s">
        <v>413</v>
      </c>
      <c r="D1215" s="2" t="s">
        <v>17</v>
      </c>
      <c r="E1215" s="2">
        <v>20220411</v>
      </c>
      <c r="F1215" s="2">
        <v>20220413</v>
      </c>
      <c r="G1215" s="2">
        <v>2915.7</v>
      </c>
      <c r="H1215" s="2">
        <v>2675</v>
      </c>
      <c r="I1215" s="2">
        <v>1</v>
      </c>
      <c r="J1215" s="2" t="s">
        <v>18</v>
      </c>
      <c r="K1215" s="2" t="s">
        <v>19</v>
      </c>
      <c r="L1215" s="2" t="s">
        <v>4083</v>
      </c>
      <c r="M1215" s="7" t="s">
        <v>4084</v>
      </c>
      <c r="N1215" s="7" t="s">
        <v>4085</v>
      </c>
      <c r="O1215" s="2"/>
      <c r="P1215" s="2"/>
      <c r="Q1215" s="2" t="str">
        <f>IF(SUMPRODUCT(--ISNUMBER(SEARCH('National Domains'!$A$2:$A$48,L1215)))&gt;0,"Yes","No")</f>
        <v>Yes</v>
      </c>
      <c r="R1215" s="2" t="str">
        <f>IF(COUNTIFS(Calibration!$A:$A,A1215,Calibration!$B:$B,B1215)&gt;0,"Yes","No")</f>
        <v>No</v>
      </c>
      <c r="S1215" s="6"/>
    </row>
    <row r="1216" spans="1:19" ht="34.5" customHeight="1" x14ac:dyDescent="0.2">
      <c r="A1216" s="2">
        <v>244</v>
      </c>
      <c r="B1216" s="2">
        <v>3</v>
      </c>
      <c r="C1216" s="2" t="s">
        <v>413</v>
      </c>
      <c r="D1216" s="2" t="s">
        <v>17</v>
      </c>
      <c r="E1216" s="2">
        <v>20220411</v>
      </c>
      <c r="F1216" s="2">
        <v>20220413</v>
      </c>
      <c r="G1216" s="2">
        <v>2915.7</v>
      </c>
      <c r="H1216" s="2">
        <v>2675</v>
      </c>
      <c r="I1216" s="2">
        <v>1</v>
      </c>
      <c r="J1216" s="2" t="s">
        <v>18</v>
      </c>
      <c r="K1216" s="2" t="s">
        <v>19</v>
      </c>
      <c r="L1216" s="2" t="s">
        <v>4086</v>
      </c>
      <c r="M1216" s="7" t="s">
        <v>4087</v>
      </c>
      <c r="N1216" s="7" t="s">
        <v>4088</v>
      </c>
      <c r="O1216" s="2"/>
      <c r="P1216" s="2"/>
      <c r="Q1216" s="2" t="str">
        <f>IF(SUMPRODUCT(--ISNUMBER(SEARCH('National Domains'!$A$2:$A$48,L1216)))&gt;0,"Yes","No")</f>
        <v>Yes</v>
      </c>
      <c r="R1216" s="2" t="str">
        <f>IF(COUNTIFS(Calibration!$A:$A,A1216,Calibration!$B:$B,B1216)&gt;0,"Yes","No")</f>
        <v>No</v>
      </c>
      <c r="S1216" s="6"/>
    </row>
    <row r="1217" spans="1:19" ht="34.5" customHeight="1" x14ac:dyDescent="0.2">
      <c r="A1217" s="2">
        <v>244</v>
      </c>
      <c r="B1217" s="2">
        <v>4</v>
      </c>
      <c r="C1217" s="2" t="s">
        <v>413</v>
      </c>
      <c r="D1217" s="2" t="s">
        <v>17</v>
      </c>
      <c r="E1217" s="2">
        <v>20220411</v>
      </c>
      <c r="F1217" s="2">
        <v>20220413</v>
      </c>
      <c r="G1217" s="2">
        <v>2915.7</v>
      </c>
      <c r="H1217" s="2">
        <v>2675</v>
      </c>
      <c r="I1217" s="2">
        <v>1</v>
      </c>
      <c r="J1217" s="2" t="s">
        <v>18</v>
      </c>
      <c r="K1217" s="2" t="s">
        <v>19</v>
      </c>
      <c r="L1217" s="2" t="s">
        <v>4089</v>
      </c>
      <c r="M1217" s="7" t="s">
        <v>4090</v>
      </c>
      <c r="N1217" s="7" t="s">
        <v>4091</v>
      </c>
      <c r="O1217" s="2"/>
      <c r="P1217" s="2"/>
      <c r="Q1217" s="2" t="str">
        <f>IF(SUMPRODUCT(--ISNUMBER(SEARCH('National Domains'!$A$2:$A$48,L1217)))&gt;0,"Yes","No")</f>
        <v>Yes</v>
      </c>
      <c r="R1217" s="2" t="str">
        <f>IF(COUNTIFS(Calibration!$A:$A,A1217,Calibration!$B:$B,B1217)&gt;0,"Yes","No")</f>
        <v>No</v>
      </c>
      <c r="S1217" s="6"/>
    </row>
    <row r="1218" spans="1:19" ht="34.5" customHeight="1" x14ac:dyDescent="0.2">
      <c r="A1218" s="2">
        <v>244</v>
      </c>
      <c r="B1218" s="2">
        <v>5</v>
      </c>
      <c r="C1218" s="2" t="s">
        <v>413</v>
      </c>
      <c r="D1218" s="2" t="s">
        <v>17</v>
      </c>
      <c r="E1218" s="2">
        <v>20220411</v>
      </c>
      <c r="F1218" s="2">
        <v>20220413</v>
      </c>
      <c r="G1218" s="2">
        <v>2915.7</v>
      </c>
      <c r="H1218" s="2">
        <v>2675</v>
      </c>
      <c r="I1218" s="2">
        <v>1</v>
      </c>
      <c r="J1218" s="2" t="s">
        <v>18</v>
      </c>
      <c r="K1218" s="2" t="s">
        <v>19</v>
      </c>
      <c r="L1218" s="2" t="s">
        <v>4092</v>
      </c>
      <c r="M1218" s="7" t="s">
        <v>4093</v>
      </c>
      <c r="N1218" s="7" t="s">
        <v>4094</v>
      </c>
      <c r="O1218" s="2"/>
      <c r="P1218" s="2"/>
      <c r="Q1218" s="2" t="str">
        <f>IF(SUMPRODUCT(--ISNUMBER(SEARCH('National Domains'!$A$2:$A$48,L1218)))&gt;0,"Yes","No")</f>
        <v>Yes</v>
      </c>
      <c r="R1218" s="2" t="str">
        <f>IF(COUNTIFS(Calibration!$A:$A,A1218,Calibration!$B:$B,B1218)&gt;0,"Yes","No")</f>
        <v>No</v>
      </c>
      <c r="S1218" s="6"/>
    </row>
    <row r="1219" spans="1:19" ht="34.5" customHeight="1" x14ac:dyDescent="0.2">
      <c r="A1219" s="2">
        <v>245</v>
      </c>
      <c r="B1219" s="2">
        <v>1</v>
      </c>
      <c r="C1219" s="2" t="s">
        <v>414</v>
      </c>
      <c r="D1219" s="2" t="s">
        <v>17</v>
      </c>
      <c r="E1219" s="2">
        <v>20220501</v>
      </c>
      <c r="F1219" s="2">
        <v>20220503</v>
      </c>
      <c r="G1219" s="2">
        <v>1230.0999999999999</v>
      </c>
      <c r="H1219" s="2">
        <v>1139</v>
      </c>
      <c r="I1219" s="2">
        <v>1</v>
      </c>
      <c r="J1219" s="2" t="s">
        <v>351</v>
      </c>
      <c r="K1219" s="2" t="s">
        <v>109</v>
      </c>
      <c r="L1219" s="2" t="s">
        <v>4095</v>
      </c>
      <c r="M1219" s="7" t="s">
        <v>4096</v>
      </c>
      <c r="N1219" s="7" t="s">
        <v>4097</v>
      </c>
      <c r="O1219" s="2"/>
      <c r="P1219" s="2"/>
      <c r="Q1219" s="2" t="str">
        <f>IF(SUMPRODUCT(--ISNUMBER(SEARCH('National Domains'!$A$2:$A$48,L1219)))&gt;0,"Yes","No")</f>
        <v>Yes</v>
      </c>
      <c r="R1219" s="2" t="str">
        <f>IF(COUNTIFS(Calibration!$A:$A,A1219,Calibration!$B:$B,B1219)&gt;0,"Yes","No")</f>
        <v>No</v>
      </c>
      <c r="S1219" s="6"/>
    </row>
    <row r="1220" spans="1:19" ht="34.5" customHeight="1" x14ac:dyDescent="0.2">
      <c r="A1220" s="2">
        <v>245</v>
      </c>
      <c r="B1220" s="2">
        <v>2</v>
      </c>
      <c r="C1220" s="2" t="s">
        <v>414</v>
      </c>
      <c r="D1220" s="2" t="s">
        <v>17</v>
      </c>
      <c r="E1220" s="2">
        <v>20220501</v>
      </c>
      <c r="F1220" s="2">
        <v>20220503</v>
      </c>
      <c r="G1220" s="2">
        <v>1230.0999999999999</v>
      </c>
      <c r="H1220" s="2">
        <v>1139</v>
      </c>
      <c r="I1220" s="2">
        <v>1</v>
      </c>
      <c r="J1220" s="2" t="s">
        <v>351</v>
      </c>
      <c r="K1220" s="2" t="s">
        <v>109</v>
      </c>
      <c r="L1220" s="2" t="s">
        <v>4098</v>
      </c>
      <c r="M1220" s="7" t="s">
        <v>4099</v>
      </c>
      <c r="N1220" s="7" t="s">
        <v>4100</v>
      </c>
      <c r="O1220" s="2"/>
      <c r="P1220" s="2"/>
      <c r="Q1220" s="2" t="str">
        <f>IF(SUMPRODUCT(--ISNUMBER(SEARCH('National Domains'!$A$2:$A$48,L1220)))&gt;0,"Yes","No")</f>
        <v>Yes</v>
      </c>
      <c r="R1220" s="2" t="str">
        <f>IF(COUNTIFS(Calibration!$A:$A,A1220,Calibration!$B:$B,B1220)&gt;0,"Yes","No")</f>
        <v>No</v>
      </c>
      <c r="S1220" s="6"/>
    </row>
    <row r="1221" spans="1:19" ht="34.5" customHeight="1" x14ac:dyDescent="0.2">
      <c r="A1221" s="2">
        <v>245</v>
      </c>
      <c r="B1221" s="2">
        <v>3</v>
      </c>
      <c r="C1221" s="2" t="s">
        <v>414</v>
      </c>
      <c r="D1221" s="2" t="s">
        <v>17</v>
      </c>
      <c r="E1221" s="2">
        <v>20220501</v>
      </c>
      <c r="F1221" s="2">
        <v>20220503</v>
      </c>
      <c r="G1221" s="2">
        <v>1230.0999999999999</v>
      </c>
      <c r="H1221" s="2">
        <v>1139</v>
      </c>
      <c r="I1221" s="2">
        <v>1</v>
      </c>
      <c r="J1221" s="2" t="s">
        <v>351</v>
      </c>
      <c r="K1221" s="2" t="s">
        <v>109</v>
      </c>
      <c r="L1221" s="2" t="s">
        <v>4101</v>
      </c>
      <c r="M1221" s="7" t="s">
        <v>4102</v>
      </c>
      <c r="N1221" s="7" t="s">
        <v>4103</v>
      </c>
      <c r="O1221" s="2"/>
      <c r="P1221" s="2"/>
      <c r="Q1221" s="2" t="str">
        <f>IF(SUMPRODUCT(--ISNUMBER(SEARCH('National Domains'!$A$2:$A$48,L1221)))&gt;0,"Yes","No")</f>
        <v>Yes</v>
      </c>
      <c r="R1221" s="2" t="str">
        <f>IF(COUNTIFS(Calibration!$A:$A,A1221,Calibration!$B:$B,B1221)&gt;0,"Yes","No")</f>
        <v>No</v>
      </c>
      <c r="S1221" s="6"/>
    </row>
    <row r="1222" spans="1:19" ht="34.5" customHeight="1" x14ac:dyDescent="0.2">
      <c r="A1222" s="2">
        <v>245</v>
      </c>
      <c r="B1222" s="2">
        <v>4</v>
      </c>
      <c r="C1222" s="2" t="s">
        <v>414</v>
      </c>
      <c r="D1222" s="2" t="s">
        <v>17</v>
      </c>
      <c r="E1222" s="2">
        <v>20220501</v>
      </c>
      <c r="F1222" s="2">
        <v>20220503</v>
      </c>
      <c r="G1222" s="2">
        <v>1230.0999999999999</v>
      </c>
      <c r="H1222" s="2">
        <v>1139</v>
      </c>
      <c r="I1222" s="2">
        <v>1</v>
      </c>
      <c r="J1222" s="2" t="s">
        <v>351</v>
      </c>
      <c r="K1222" s="2" t="s">
        <v>109</v>
      </c>
      <c r="L1222" s="2" t="s">
        <v>4104</v>
      </c>
      <c r="M1222" s="7" t="s">
        <v>4105</v>
      </c>
      <c r="N1222" s="7" t="s">
        <v>4106</v>
      </c>
      <c r="O1222" s="2"/>
      <c r="P1222" s="2"/>
      <c r="Q1222" s="2" t="str">
        <f>IF(SUMPRODUCT(--ISNUMBER(SEARCH('National Domains'!$A$2:$A$48,L1222)))&gt;0,"Yes","No")</f>
        <v>Yes</v>
      </c>
      <c r="R1222" s="2" t="str">
        <f>IF(COUNTIFS(Calibration!$A:$A,A1222,Calibration!$B:$B,B1222)&gt;0,"Yes","No")</f>
        <v>No</v>
      </c>
      <c r="S1222" s="6"/>
    </row>
    <row r="1223" spans="1:19" ht="34.5" customHeight="1" x14ac:dyDescent="0.2">
      <c r="A1223" s="2">
        <v>245</v>
      </c>
      <c r="B1223" s="2">
        <v>5</v>
      </c>
      <c r="C1223" s="2" t="s">
        <v>414</v>
      </c>
      <c r="D1223" s="2" t="s">
        <v>17</v>
      </c>
      <c r="E1223" s="2">
        <v>20220501</v>
      </c>
      <c r="F1223" s="2">
        <v>20220503</v>
      </c>
      <c r="G1223" s="2">
        <v>1230.0999999999999</v>
      </c>
      <c r="H1223" s="2">
        <v>1139</v>
      </c>
      <c r="I1223" s="2">
        <v>1</v>
      </c>
      <c r="J1223" s="2" t="s">
        <v>351</v>
      </c>
      <c r="K1223" s="2" t="s">
        <v>109</v>
      </c>
      <c r="L1223" s="2" t="s">
        <v>4107</v>
      </c>
      <c r="M1223" s="7" t="s">
        <v>4108</v>
      </c>
      <c r="N1223" s="7" t="s">
        <v>4109</v>
      </c>
      <c r="O1223" s="2"/>
      <c r="P1223" s="2"/>
      <c r="Q1223" s="2" t="str">
        <f>IF(SUMPRODUCT(--ISNUMBER(SEARCH('National Domains'!$A$2:$A$48,L1223)))&gt;0,"Yes","No")</f>
        <v>Yes</v>
      </c>
      <c r="R1223" s="2" t="str">
        <f>IF(COUNTIFS(Calibration!$A:$A,A1223,Calibration!$B:$B,B1223)&gt;0,"Yes","No")</f>
        <v>No</v>
      </c>
      <c r="S1223" s="6"/>
    </row>
    <row r="1224" spans="1:19" ht="34.5" customHeight="1" x14ac:dyDescent="0.2">
      <c r="A1224" s="2">
        <v>245</v>
      </c>
      <c r="B1224" s="2">
        <v>6</v>
      </c>
      <c r="C1224" s="2" t="s">
        <v>414</v>
      </c>
      <c r="D1224" s="2" t="s">
        <v>17</v>
      </c>
      <c r="E1224" s="2">
        <v>20220501</v>
      </c>
      <c r="F1224" s="2">
        <v>20220503</v>
      </c>
      <c r="G1224" s="2">
        <v>1230.0999999999999</v>
      </c>
      <c r="H1224" s="2">
        <v>1139</v>
      </c>
      <c r="I1224" s="2">
        <v>1</v>
      </c>
      <c r="J1224" s="2" t="s">
        <v>351</v>
      </c>
      <c r="K1224" s="2" t="s">
        <v>109</v>
      </c>
      <c r="L1224" s="2" t="s">
        <v>4110</v>
      </c>
      <c r="M1224" s="7" t="s">
        <v>4111</v>
      </c>
      <c r="N1224" s="7" t="s">
        <v>4112</v>
      </c>
      <c r="O1224" s="2"/>
      <c r="P1224" s="2"/>
      <c r="Q1224" s="2" t="str">
        <f>IF(SUMPRODUCT(--ISNUMBER(SEARCH('National Domains'!$A$2:$A$48,L1224)))&gt;0,"Yes","No")</f>
        <v>Yes</v>
      </c>
      <c r="R1224" s="2" t="str">
        <f>IF(COUNTIFS(Calibration!$A:$A,A1224,Calibration!$B:$B,B1224)&gt;0,"Yes","No")</f>
        <v>No</v>
      </c>
      <c r="S1224" s="6"/>
    </row>
    <row r="1225" spans="1:19" ht="34.5" customHeight="1" x14ac:dyDescent="0.2">
      <c r="A1225" s="2">
        <v>246</v>
      </c>
      <c r="B1225" s="2">
        <v>1</v>
      </c>
      <c r="C1225" s="2" t="s">
        <v>415</v>
      </c>
      <c r="D1225" s="2" t="s">
        <v>17</v>
      </c>
      <c r="E1225" s="2">
        <v>20220509</v>
      </c>
      <c r="F1225" s="2">
        <v>20220509</v>
      </c>
      <c r="G1225" s="2">
        <v>2354.4</v>
      </c>
      <c r="H1225" s="2">
        <v>2160</v>
      </c>
      <c r="I1225" s="2">
        <v>0</v>
      </c>
      <c r="J1225" s="2" t="s">
        <v>36</v>
      </c>
      <c r="K1225" s="2" t="s">
        <v>37</v>
      </c>
      <c r="L1225" s="2" t="s">
        <v>4113</v>
      </c>
      <c r="M1225" s="7" t="s">
        <v>4114</v>
      </c>
      <c r="N1225" s="7" t="s">
        <v>4115</v>
      </c>
      <c r="O1225" s="2"/>
      <c r="P1225" s="2"/>
      <c r="Q1225" s="2" t="str">
        <f>IF(SUMPRODUCT(--ISNUMBER(SEARCH('National Domains'!$A$2:$A$48,L1225)))&gt;0,"Yes","No")</f>
        <v>No</v>
      </c>
      <c r="R1225" s="2" t="str">
        <f>IF(COUNTIFS(Calibration!$A:$A,A1225,Calibration!$B:$B,B1225)&gt;0,"Yes","No")</f>
        <v>No</v>
      </c>
      <c r="S1225" s="6"/>
    </row>
    <row r="1226" spans="1:19" ht="34.5" customHeight="1" x14ac:dyDescent="0.2">
      <c r="A1226" s="2">
        <v>247</v>
      </c>
      <c r="B1226" s="2">
        <v>1</v>
      </c>
      <c r="C1226" s="2" t="s">
        <v>416</v>
      </c>
      <c r="D1226" s="2" t="s">
        <v>17</v>
      </c>
      <c r="E1226" s="2">
        <v>20220511</v>
      </c>
      <c r="F1226" s="2">
        <v>20220512</v>
      </c>
      <c r="G1226" s="2">
        <v>2949.6</v>
      </c>
      <c r="H1226" s="2">
        <v>2706</v>
      </c>
      <c r="I1226" s="2">
        <v>1</v>
      </c>
      <c r="J1226" s="2" t="s">
        <v>36</v>
      </c>
      <c r="K1226" s="2" t="s">
        <v>37</v>
      </c>
      <c r="L1226" s="2" t="s">
        <v>4116</v>
      </c>
      <c r="M1226" s="7" t="s">
        <v>4117</v>
      </c>
      <c r="N1226" s="7" t="s">
        <v>4118</v>
      </c>
      <c r="O1226" s="2"/>
      <c r="P1226" s="2"/>
      <c r="Q1226" s="2" t="str">
        <f>IF(SUMPRODUCT(--ISNUMBER(SEARCH('National Domains'!$A$2:$A$48,L1226)))&gt;0,"Yes","No")</f>
        <v>Yes</v>
      </c>
      <c r="R1226" s="2" t="str">
        <f>IF(COUNTIFS(Calibration!$A:$A,A1226,Calibration!$B:$B,B1226)&gt;0,"Yes","No")</f>
        <v>No</v>
      </c>
      <c r="S1226" s="6"/>
    </row>
    <row r="1227" spans="1:19" ht="34.5" customHeight="1" x14ac:dyDescent="0.2">
      <c r="A1227" s="2">
        <v>248</v>
      </c>
      <c r="B1227" s="2">
        <v>1</v>
      </c>
      <c r="C1227" s="2" t="s">
        <v>415</v>
      </c>
      <c r="D1227" s="2" t="s">
        <v>17</v>
      </c>
      <c r="E1227" s="2">
        <v>20220519</v>
      </c>
      <c r="F1227" s="2">
        <v>20220519</v>
      </c>
      <c r="G1227" s="2">
        <v>2625.4</v>
      </c>
      <c r="H1227" s="2">
        <v>2431</v>
      </c>
      <c r="I1227" s="2">
        <v>0</v>
      </c>
      <c r="J1227" s="2" t="s">
        <v>36</v>
      </c>
      <c r="K1227" s="2" t="s">
        <v>37</v>
      </c>
      <c r="L1227" s="2" t="s">
        <v>4113</v>
      </c>
      <c r="M1227" s="7" t="s">
        <v>4114</v>
      </c>
      <c r="N1227" s="7" t="s">
        <v>4115</v>
      </c>
      <c r="O1227" s="2"/>
      <c r="P1227" s="2"/>
      <c r="Q1227" s="2" t="str">
        <f>IF(SUMPRODUCT(--ISNUMBER(SEARCH('National Domains'!$A$2:$A$48,L1227)))&gt;0,"Yes","No")</f>
        <v>No</v>
      </c>
      <c r="R1227" s="2" t="str">
        <f>IF(COUNTIFS(Calibration!$A:$A,A1227,Calibration!$B:$B,B1227)&gt;0,"Yes","No")</f>
        <v>No</v>
      </c>
      <c r="S1227" s="6"/>
    </row>
    <row r="1228" spans="1:19" ht="45.75" customHeight="1" x14ac:dyDescent="0.2">
      <c r="A1228" s="2">
        <v>249</v>
      </c>
      <c r="B1228" s="2">
        <v>1</v>
      </c>
      <c r="C1228" s="2" t="s">
        <v>417</v>
      </c>
      <c r="D1228" s="2" t="s">
        <v>17</v>
      </c>
      <c r="E1228" s="2">
        <v>20220607</v>
      </c>
      <c r="F1228" s="2">
        <v>20220608</v>
      </c>
      <c r="G1228" s="2">
        <v>2025.7</v>
      </c>
      <c r="H1228" s="2">
        <v>1911</v>
      </c>
      <c r="I1228" s="2">
        <v>0</v>
      </c>
      <c r="J1228" s="2" t="s">
        <v>102</v>
      </c>
      <c r="K1228" s="2" t="s">
        <v>103</v>
      </c>
      <c r="L1228" s="2" t="s">
        <v>4119</v>
      </c>
      <c r="M1228" s="7" t="s">
        <v>4120</v>
      </c>
      <c r="N1228" s="7" t="s">
        <v>4121</v>
      </c>
      <c r="O1228" s="2"/>
      <c r="P1228" s="2"/>
      <c r="Q1228" s="2" t="str">
        <f>IF(SUMPRODUCT(--ISNUMBER(SEARCH('National Domains'!$A$2:$A$48,L1228)))&gt;0,"Yes","No")</f>
        <v>No</v>
      </c>
      <c r="R1228" s="2" t="str">
        <f>IF(COUNTIFS(Calibration!$A:$A,A1228,Calibration!$B:$B,B1228)&gt;0,"Yes","No")</f>
        <v>No</v>
      </c>
      <c r="S1228" s="6"/>
    </row>
    <row r="1229" spans="1:19" ht="34.5" customHeight="1" x14ac:dyDescent="0.2">
      <c r="A1229" s="2">
        <v>249</v>
      </c>
      <c r="B1229" s="2">
        <v>2</v>
      </c>
      <c r="C1229" s="2" t="s">
        <v>417</v>
      </c>
      <c r="D1229" s="2" t="s">
        <v>17</v>
      </c>
      <c r="E1229" s="2">
        <v>20220607</v>
      </c>
      <c r="F1229" s="2">
        <v>20220608</v>
      </c>
      <c r="G1229" s="2">
        <v>2025.7</v>
      </c>
      <c r="H1229" s="2">
        <v>1911</v>
      </c>
      <c r="I1229" s="2">
        <v>0</v>
      </c>
      <c r="J1229" s="2" t="s">
        <v>102</v>
      </c>
      <c r="K1229" s="2" t="s">
        <v>103</v>
      </c>
      <c r="L1229" s="2" t="s">
        <v>4122</v>
      </c>
      <c r="M1229" s="7" t="s">
        <v>4123</v>
      </c>
      <c r="N1229" s="7" t="s">
        <v>4124</v>
      </c>
      <c r="O1229" s="2"/>
      <c r="P1229" s="2"/>
      <c r="Q1229" s="2" t="str">
        <f>IF(SUMPRODUCT(--ISNUMBER(SEARCH('National Domains'!$A$2:$A$48,L1229)))&gt;0,"Yes","No")</f>
        <v>Yes</v>
      </c>
      <c r="R1229" s="2" t="str">
        <f>IF(COUNTIFS(Calibration!$A:$A,A1229,Calibration!$B:$B,B1229)&gt;0,"Yes","No")</f>
        <v>No</v>
      </c>
      <c r="S1229" s="6"/>
    </row>
    <row r="1230" spans="1:19" ht="34.5" customHeight="1" x14ac:dyDescent="0.2">
      <c r="A1230" s="2">
        <v>249</v>
      </c>
      <c r="B1230" s="2">
        <v>3</v>
      </c>
      <c r="C1230" s="2" t="s">
        <v>417</v>
      </c>
      <c r="D1230" s="2" t="s">
        <v>17</v>
      </c>
      <c r="E1230" s="2">
        <v>20220607</v>
      </c>
      <c r="F1230" s="2">
        <v>20220608</v>
      </c>
      <c r="G1230" s="2">
        <v>2025.7</v>
      </c>
      <c r="H1230" s="2">
        <v>1911</v>
      </c>
      <c r="I1230" s="2">
        <v>0</v>
      </c>
      <c r="J1230" s="2" t="s">
        <v>102</v>
      </c>
      <c r="K1230" s="2" t="s">
        <v>103</v>
      </c>
      <c r="L1230" s="2" t="s">
        <v>4125</v>
      </c>
      <c r="M1230" s="7" t="s">
        <v>4126</v>
      </c>
      <c r="N1230" s="7" t="s">
        <v>4127</v>
      </c>
      <c r="O1230" s="2"/>
      <c r="P1230" s="2"/>
      <c r="Q1230" s="2" t="str">
        <f>IF(SUMPRODUCT(--ISNUMBER(SEARCH('National Domains'!$A$2:$A$48,L1230)))&gt;0,"Yes","No")</f>
        <v>Yes</v>
      </c>
      <c r="R1230" s="2" t="str">
        <f>IF(COUNTIFS(Calibration!$A:$A,A1230,Calibration!$B:$B,B1230)&gt;0,"Yes","No")</f>
        <v>No</v>
      </c>
      <c r="S1230" s="6"/>
    </row>
    <row r="1231" spans="1:19" ht="34.5" customHeight="1" x14ac:dyDescent="0.2">
      <c r="A1231" s="2">
        <v>250</v>
      </c>
      <c r="B1231" s="2">
        <v>1</v>
      </c>
      <c r="C1231" s="2" t="s">
        <v>418</v>
      </c>
      <c r="D1231" s="2" t="s">
        <v>17</v>
      </c>
      <c r="E1231" s="2">
        <v>20220613</v>
      </c>
      <c r="F1231" s="2">
        <v>20220613</v>
      </c>
      <c r="G1231" s="2">
        <v>3386.6</v>
      </c>
      <c r="H1231" s="2">
        <v>3195</v>
      </c>
      <c r="I1231" s="2">
        <v>1</v>
      </c>
      <c r="J1231" s="2" t="s">
        <v>102</v>
      </c>
      <c r="K1231" s="2" t="s">
        <v>103</v>
      </c>
      <c r="L1231" s="2" t="s">
        <v>4128</v>
      </c>
      <c r="M1231" s="7" t="s">
        <v>4129</v>
      </c>
      <c r="N1231" s="7" t="s">
        <v>4130</v>
      </c>
      <c r="O1231" s="2"/>
      <c r="P1231" s="2"/>
      <c r="Q1231" s="2" t="str">
        <f>IF(SUMPRODUCT(--ISNUMBER(SEARCH('National Domains'!$A$2:$A$48,L1231)))&gt;0,"Yes","No")</f>
        <v>Yes</v>
      </c>
      <c r="R1231" s="2" t="str">
        <f>IF(COUNTIFS(Calibration!$A:$A,A1231,Calibration!$B:$B,B1231)&gt;0,"Yes","No")</f>
        <v>No</v>
      </c>
      <c r="S1231" s="6"/>
    </row>
    <row r="1232" spans="1:19" ht="34.5" customHeight="1" x14ac:dyDescent="0.2">
      <c r="A1232" s="2">
        <v>251</v>
      </c>
      <c r="B1232" s="2">
        <v>1</v>
      </c>
      <c r="C1232" s="2" t="s">
        <v>419</v>
      </c>
      <c r="D1232" s="2" t="s">
        <v>17</v>
      </c>
      <c r="E1232" s="2">
        <v>20220722</v>
      </c>
      <c r="F1232" s="2">
        <v>20220724</v>
      </c>
      <c r="G1232" s="2">
        <v>1420.4</v>
      </c>
      <c r="H1232" s="2">
        <v>1340</v>
      </c>
      <c r="I1232" s="2">
        <v>1</v>
      </c>
      <c r="J1232" s="2" t="s">
        <v>420</v>
      </c>
      <c r="K1232" s="2" t="s">
        <v>421</v>
      </c>
      <c r="L1232" s="2" t="s">
        <v>4131</v>
      </c>
      <c r="M1232" s="7" t="s">
        <v>4132</v>
      </c>
      <c r="N1232" s="7" t="s">
        <v>4133</v>
      </c>
      <c r="O1232" s="2"/>
      <c r="P1232" s="2"/>
      <c r="Q1232" s="2" t="str">
        <f>IF(SUMPRODUCT(--ISNUMBER(SEARCH('National Domains'!$A$2:$A$48,L1232)))&gt;0,"Yes","No")</f>
        <v>Yes</v>
      </c>
      <c r="R1232" s="2" t="str">
        <f>IF(COUNTIFS(Calibration!$A:$A,A1232,Calibration!$B:$B,B1232)&gt;0,"Yes","No")</f>
        <v>No</v>
      </c>
      <c r="S1232" s="6"/>
    </row>
    <row r="1233" spans="1:19" ht="34.5" customHeight="1" x14ac:dyDescent="0.2">
      <c r="A1233" s="2">
        <v>252</v>
      </c>
      <c r="B1233" s="2">
        <v>1</v>
      </c>
      <c r="C1233" s="2" t="s">
        <v>422</v>
      </c>
      <c r="D1233" s="2" t="s">
        <v>25</v>
      </c>
      <c r="E1233" s="2">
        <v>20220726</v>
      </c>
      <c r="F1233" s="2">
        <v>20220728</v>
      </c>
      <c r="G1233" s="2">
        <v>1552.9</v>
      </c>
      <c r="H1233" s="2">
        <v>1465</v>
      </c>
      <c r="I1233" s="2">
        <v>42</v>
      </c>
      <c r="J1233" s="2" t="s">
        <v>423</v>
      </c>
      <c r="K1233" s="2" t="s">
        <v>424</v>
      </c>
      <c r="L1233" s="2" t="s">
        <v>4134</v>
      </c>
      <c r="M1233" s="7" t="s">
        <v>4135</v>
      </c>
      <c r="N1233" s="7" t="s">
        <v>4136</v>
      </c>
      <c r="O1233" s="2"/>
      <c r="P1233" s="2"/>
      <c r="Q1233" s="2" t="str">
        <f>IF(SUMPRODUCT(--ISNUMBER(SEARCH('National Domains'!$A$2:$A$48,L1233)))&gt;0,"Yes","No")</f>
        <v>No</v>
      </c>
      <c r="R1233" s="2" t="str">
        <f>IF(COUNTIFS(Calibration!$A:$A,A1233,Calibration!$B:$B,B1233)&gt;0,"Yes","No")</f>
        <v>No</v>
      </c>
      <c r="S1233" s="6"/>
    </row>
    <row r="1234" spans="1:19" ht="34.5" customHeight="1" x14ac:dyDescent="0.2">
      <c r="A1234" s="2">
        <v>252</v>
      </c>
      <c r="B1234" s="2">
        <v>2</v>
      </c>
      <c r="C1234" s="2" t="s">
        <v>422</v>
      </c>
      <c r="D1234" s="2" t="s">
        <v>25</v>
      </c>
      <c r="E1234" s="2">
        <v>20220726</v>
      </c>
      <c r="F1234" s="2">
        <v>20220728</v>
      </c>
      <c r="G1234" s="2">
        <v>1552.9</v>
      </c>
      <c r="H1234" s="2">
        <v>1465</v>
      </c>
      <c r="I1234" s="2">
        <v>42</v>
      </c>
      <c r="J1234" s="2" t="s">
        <v>423</v>
      </c>
      <c r="K1234" s="2" t="s">
        <v>424</v>
      </c>
      <c r="L1234" s="2" t="s">
        <v>4137</v>
      </c>
      <c r="M1234" s="7" t="s">
        <v>4138</v>
      </c>
      <c r="N1234" s="7" t="s">
        <v>4139</v>
      </c>
      <c r="O1234" s="2"/>
      <c r="P1234" s="2"/>
      <c r="Q1234" s="2" t="str">
        <f>IF(SUMPRODUCT(--ISNUMBER(SEARCH('National Domains'!$A$2:$A$48,L1234)))&gt;0,"Yes","No")</f>
        <v>No</v>
      </c>
      <c r="R1234" s="2" t="str">
        <f>IF(COUNTIFS(Calibration!$A:$A,A1234,Calibration!$B:$B,B1234)&gt;0,"Yes","No")</f>
        <v>No</v>
      </c>
      <c r="S1234" s="6"/>
    </row>
    <row r="1235" spans="1:19" ht="34.5" customHeight="1" x14ac:dyDescent="0.2">
      <c r="A1235" s="4">
        <v>252</v>
      </c>
      <c r="B1235" s="4">
        <v>3</v>
      </c>
      <c r="C1235" s="4" t="s">
        <v>422</v>
      </c>
      <c r="D1235" s="4" t="s">
        <v>25</v>
      </c>
      <c r="E1235" s="4">
        <v>20220726</v>
      </c>
      <c r="F1235" s="4">
        <v>20220728</v>
      </c>
      <c r="G1235" s="4">
        <v>1552.9</v>
      </c>
      <c r="H1235" s="4">
        <v>1465</v>
      </c>
      <c r="I1235" s="4">
        <v>42</v>
      </c>
      <c r="J1235" s="4" t="s">
        <v>423</v>
      </c>
      <c r="K1235" s="4" t="s">
        <v>424</v>
      </c>
      <c r="L1235" s="4" t="s">
        <v>4140</v>
      </c>
      <c r="M1235" s="5" t="s">
        <v>4141</v>
      </c>
      <c r="N1235" s="5" t="s">
        <v>4142</v>
      </c>
      <c r="O1235" s="4"/>
      <c r="P1235" s="4"/>
      <c r="Q1235" s="4" t="str">
        <f>IF(SUMPRODUCT(--ISNUMBER(SEARCH('National Domains'!$A$2:$A$48,L1235)))&gt;0,"Yes","No")</f>
        <v>Yes</v>
      </c>
      <c r="R1235" s="4" t="str">
        <f>IF(COUNTIFS(Calibration!$A:$A,A1235,Calibration!$B:$B,B1235)&gt;0,"Yes","No")</f>
        <v>Yes</v>
      </c>
      <c r="S1235" s="6"/>
    </row>
    <row r="1236" spans="1:19" ht="34.5" customHeight="1" x14ac:dyDescent="0.2">
      <c r="A1236" s="2">
        <v>252</v>
      </c>
      <c r="B1236" s="2">
        <v>4</v>
      </c>
      <c r="C1236" s="2" t="s">
        <v>422</v>
      </c>
      <c r="D1236" s="2" t="s">
        <v>25</v>
      </c>
      <c r="E1236" s="2">
        <v>20220726</v>
      </c>
      <c r="F1236" s="2">
        <v>20220728</v>
      </c>
      <c r="G1236" s="2">
        <v>1552.9</v>
      </c>
      <c r="H1236" s="2">
        <v>1465</v>
      </c>
      <c r="I1236" s="2">
        <v>42</v>
      </c>
      <c r="J1236" s="2" t="s">
        <v>423</v>
      </c>
      <c r="K1236" s="2" t="s">
        <v>424</v>
      </c>
      <c r="L1236" s="2" t="s">
        <v>4143</v>
      </c>
      <c r="M1236" s="7" t="s">
        <v>4144</v>
      </c>
      <c r="N1236" s="7" t="s">
        <v>4145</v>
      </c>
      <c r="O1236" s="2"/>
      <c r="P1236" s="2"/>
      <c r="Q1236" s="2" t="str">
        <f>IF(SUMPRODUCT(--ISNUMBER(SEARCH('National Domains'!$A$2:$A$48,L1236)))&gt;0,"Yes","No")</f>
        <v>Yes</v>
      </c>
      <c r="R1236" s="2" t="str">
        <f>IF(COUNTIFS(Calibration!$A:$A,A1236,Calibration!$B:$B,B1236)&gt;0,"Yes","No")</f>
        <v>No</v>
      </c>
      <c r="S1236" s="6"/>
    </row>
    <row r="1237" spans="1:19" ht="34.5" customHeight="1" x14ac:dyDescent="0.2">
      <c r="A1237" s="2">
        <v>252</v>
      </c>
      <c r="B1237" s="2">
        <v>5</v>
      </c>
      <c r="C1237" s="2" t="s">
        <v>422</v>
      </c>
      <c r="D1237" s="2" t="s">
        <v>25</v>
      </c>
      <c r="E1237" s="2">
        <v>20220726</v>
      </c>
      <c r="F1237" s="2">
        <v>20220728</v>
      </c>
      <c r="G1237" s="2">
        <v>1552.9</v>
      </c>
      <c r="H1237" s="2">
        <v>1465</v>
      </c>
      <c r="I1237" s="2">
        <v>42</v>
      </c>
      <c r="J1237" s="2" t="s">
        <v>423</v>
      </c>
      <c r="K1237" s="2" t="s">
        <v>424</v>
      </c>
      <c r="L1237" s="2" t="s">
        <v>4146</v>
      </c>
      <c r="M1237" s="7" t="s">
        <v>4147</v>
      </c>
      <c r="N1237" s="7" t="s">
        <v>4148</v>
      </c>
      <c r="O1237" s="2"/>
      <c r="P1237" s="2"/>
      <c r="Q1237" s="2" t="str">
        <f>IF(SUMPRODUCT(--ISNUMBER(SEARCH('National Domains'!$A$2:$A$48,L1237)))&gt;0,"Yes","No")</f>
        <v>Yes</v>
      </c>
      <c r="R1237" s="2" t="str">
        <f>IF(COUNTIFS(Calibration!$A:$A,A1237,Calibration!$B:$B,B1237)&gt;0,"Yes","No")</f>
        <v>No</v>
      </c>
      <c r="S1237" s="6"/>
    </row>
    <row r="1238" spans="1:19" ht="34.5" customHeight="1" x14ac:dyDescent="0.2">
      <c r="A1238" s="2">
        <v>252</v>
      </c>
      <c r="B1238" s="2">
        <v>6</v>
      </c>
      <c r="C1238" s="2" t="s">
        <v>422</v>
      </c>
      <c r="D1238" s="2" t="s">
        <v>25</v>
      </c>
      <c r="E1238" s="2">
        <v>20220726</v>
      </c>
      <c r="F1238" s="2">
        <v>20220728</v>
      </c>
      <c r="G1238" s="2">
        <v>1552.9</v>
      </c>
      <c r="H1238" s="2">
        <v>1465</v>
      </c>
      <c r="I1238" s="2">
        <v>42</v>
      </c>
      <c r="J1238" s="2" t="s">
        <v>423</v>
      </c>
      <c r="K1238" s="2" t="s">
        <v>424</v>
      </c>
      <c r="L1238" s="2" t="s">
        <v>4149</v>
      </c>
      <c r="M1238" s="7" t="s">
        <v>4150</v>
      </c>
      <c r="N1238" s="7" t="s">
        <v>4151</v>
      </c>
      <c r="O1238" s="2"/>
      <c r="P1238" s="2"/>
      <c r="Q1238" s="2" t="str">
        <f>IF(SUMPRODUCT(--ISNUMBER(SEARCH('National Domains'!$A$2:$A$48,L1238)))&gt;0,"Yes","No")</f>
        <v>Yes</v>
      </c>
      <c r="R1238" s="2" t="str">
        <f>IF(COUNTIFS(Calibration!$A:$A,A1238,Calibration!$B:$B,B1238)&gt;0,"Yes","No")</f>
        <v>No</v>
      </c>
      <c r="S1238" s="6"/>
    </row>
    <row r="1239" spans="1:19" ht="34.5" customHeight="1" x14ac:dyDescent="0.2">
      <c r="A1239" s="2">
        <v>252</v>
      </c>
      <c r="B1239" s="2">
        <v>7</v>
      </c>
      <c r="C1239" s="2" t="s">
        <v>422</v>
      </c>
      <c r="D1239" s="2" t="s">
        <v>25</v>
      </c>
      <c r="E1239" s="2">
        <v>20220726</v>
      </c>
      <c r="F1239" s="2">
        <v>20220728</v>
      </c>
      <c r="G1239" s="2">
        <v>1552.9</v>
      </c>
      <c r="H1239" s="2">
        <v>1465</v>
      </c>
      <c r="I1239" s="2">
        <v>42</v>
      </c>
      <c r="J1239" s="2" t="s">
        <v>423</v>
      </c>
      <c r="K1239" s="2" t="s">
        <v>424</v>
      </c>
      <c r="L1239" s="2" t="s">
        <v>4152</v>
      </c>
      <c r="M1239" s="7" t="s">
        <v>4153</v>
      </c>
      <c r="N1239" s="7" t="s">
        <v>4154</v>
      </c>
      <c r="O1239" s="2"/>
      <c r="P1239" s="2"/>
      <c r="Q1239" s="2" t="str">
        <f>IF(SUMPRODUCT(--ISNUMBER(SEARCH('National Domains'!$A$2:$A$48,L1239)))&gt;0,"Yes","No")</f>
        <v>Yes</v>
      </c>
      <c r="R1239" s="2" t="str">
        <f>IF(COUNTIFS(Calibration!$A:$A,A1239,Calibration!$B:$B,B1239)&gt;0,"Yes","No")</f>
        <v>No</v>
      </c>
      <c r="S1239" s="6"/>
    </row>
    <row r="1240" spans="1:19" ht="34.5" customHeight="1" x14ac:dyDescent="0.2">
      <c r="A1240" s="2">
        <v>252</v>
      </c>
      <c r="B1240" s="2">
        <v>8</v>
      </c>
      <c r="C1240" s="2" t="s">
        <v>422</v>
      </c>
      <c r="D1240" s="2" t="s">
        <v>25</v>
      </c>
      <c r="E1240" s="2">
        <v>20220726</v>
      </c>
      <c r="F1240" s="2">
        <v>20220728</v>
      </c>
      <c r="G1240" s="2">
        <v>1552.9</v>
      </c>
      <c r="H1240" s="2">
        <v>1465</v>
      </c>
      <c r="I1240" s="2">
        <v>42</v>
      </c>
      <c r="J1240" s="2" t="s">
        <v>423</v>
      </c>
      <c r="K1240" s="2" t="s">
        <v>424</v>
      </c>
      <c r="L1240" s="2" t="s">
        <v>4155</v>
      </c>
      <c r="M1240" s="7" t="s">
        <v>4156</v>
      </c>
      <c r="N1240" s="7" t="s">
        <v>4157</v>
      </c>
      <c r="O1240" s="2"/>
      <c r="P1240" s="2"/>
      <c r="Q1240" s="2" t="str">
        <f>IF(SUMPRODUCT(--ISNUMBER(SEARCH('National Domains'!$A$2:$A$48,L1240)))&gt;0,"Yes","No")</f>
        <v>Yes</v>
      </c>
      <c r="R1240" s="2" t="str">
        <f>IF(COUNTIFS(Calibration!$A:$A,A1240,Calibration!$B:$B,B1240)&gt;0,"Yes","No")</f>
        <v>No</v>
      </c>
      <c r="S1240" s="6"/>
    </row>
    <row r="1241" spans="1:19" ht="34.5" customHeight="1" x14ac:dyDescent="0.2">
      <c r="A1241" s="2">
        <v>252</v>
      </c>
      <c r="B1241" s="2">
        <v>9</v>
      </c>
      <c r="C1241" s="2" t="s">
        <v>422</v>
      </c>
      <c r="D1241" s="2" t="s">
        <v>25</v>
      </c>
      <c r="E1241" s="2">
        <v>20220726</v>
      </c>
      <c r="F1241" s="2">
        <v>20220728</v>
      </c>
      <c r="G1241" s="2">
        <v>1552.9</v>
      </c>
      <c r="H1241" s="2">
        <v>1465</v>
      </c>
      <c r="I1241" s="2">
        <v>42</v>
      </c>
      <c r="J1241" s="2" t="s">
        <v>423</v>
      </c>
      <c r="K1241" s="2" t="s">
        <v>424</v>
      </c>
      <c r="L1241" s="2" t="s">
        <v>4158</v>
      </c>
      <c r="M1241" s="7" t="s">
        <v>4159</v>
      </c>
      <c r="N1241" s="7" t="s">
        <v>4160</v>
      </c>
      <c r="O1241" s="2"/>
      <c r="P1241" s="2"/>
      <c r="Q1241" s="2" t="str">
        <f>IF(SUMPRODUCT(--ISNUMBER(SEARCH('National Domains'!$A$2:$A$48,L1241)))&gt;0,"Yes","No")</f>
        <v>Yes</v>
      </c>
      <c r="R1241" s="2" t="str">
        <f>IF(COUNTIFS(Calibration!$A:$A,A1241,Calibration!$B:$B,B1241)&gt;0,"Yes","No")</f>
        <v>No</v>
      </c>
      <c r="S1241" s="6"/>
    </row>
    <row r="1242" spans="1:19" ht="34.5" customHeight="1" x14ac:dyDescent="0.2">
      <c r="A1242" s="4">
        <v>253</v>
      </c>
      <c r="B1242" s="4">
        <v>1</v>
      </c>
      <c r="C1242" s="4" t="s">
        <v>425</v>
      </c>
      <c r="D1242" s="4" t="s">
        <v>39</v>
      </c>
      <c r="E1242" s="4">
        <v>20220917</v>
      </c>
      <c r="F1242" s="4">
        <v>20220918</v>
      </c>
      <c r="G1242" s="4">
        <v>2685.7</v>
      </c>
      <c r="H1242" s="4">
        <v>2510</v>
      </c>
      <c r="I1242" s="4">
        <v>25</v>
      </c>
      <c r="J1242" s="4" t="s">
        <v>316</v>
      </c>
      <c r="K1242" s="4" t="s">
        <v>44</v>
      </c>
      <c r="L1242" s="4" t="s">
        <v>4161</v>
      </c>
      <c r="M1242" s="5" t="s">
        <v>4162</v>
      </c>
      <c r="N1242" s="5" t="s">
        <v>4163</v>
      </c>
      <c r="O1242" s="4"/>
      <c r="P1242" s="4"/>
      <c r="Q1242" s="4" t="str">
        <f>IF(SUMPRODUCT(--ISNUMBER(SEARCH('National Domains'!$A$2:$A$48,L1242)))&gt;0,"Yes","No")</f>
        <v>Yes</v>
      </c>
      <c r="R1242" s="4" t="str">
        <f>IF(COUNTIFS(Calibration!$A:$A,A1242,Calibration!$B:$B,B1242)&gt;0,"Yes","No")</f>
        <v>Yes</v>
      </c>
      <c r="S1242" s="6"/>
    </row>
    <row r="1243" spans="1:19" ht="34.5" customHeight="1" x14ac:dyDescent="0.2">
      <c r="A1243" s="2">
        <v>253</v>
      </c>
      <c r="B1243" s="2">
        <v>2</v>
      </c>
      <c r="C1243" s="2" t="s">
        <v>425</v>
      </c>
      <c r="D1243" s="2" t="s">
        <v>39</v>
      </c>
      <c r="E1243" s="2">
        <v>20220917</v>
      </c>
      <c r="F1243" s="2">
        <v>20220918</v>
      </c>
      <c r="G1243" s="2">
        <v>2685.7</v>
      </c>
      <c r="H1243" s="2">
        <v>2510</v>
      </c>
      <c r="I1243" s="2">
        <v>25</v>
      </c>
      <c r="J1243" s="2" t="s">
        <v>316</v>
      </c>
      <c r="K1243" s="2" t="s">
        <v>44</v>
      </c>
      <c r="L1243" s="2" t="s">
        <v>4164</v>
      </c>
      <c r="M1243" s="7" t="s">
        <v>4165</v>
      </c>
      <c r="N1243" s="7" t="s">
        <v>4166</v>
      </c>
      <c r="O1243" s="2"/>
      <c r="P1243" s="2"/>
      <c r="Q1243" s="2" t="str">
        <f>IF(SUMPRODUCT(--ISNUMBER(SEARCH('National Domains'!$A$2:$A$48,L1243)))&gt;0,"Yes","No")</f>
        <v>Yes</v>
      </c>
      <c r="R1243" s="2" t="str">
        <f>IF(COUNTIFS(Calibration!$A:$A,A1243,Calibration!$B:$B,B1243)&gt;0,"Yes","No")</f>
        <v>No</v>
      </c>
      <c r="S1243" s="6"/>
    </row>
    <row r="1244" spans="1:19" ht="34.5" customHeight="1" x14ac:dyDescent="0.2">
      <c r="A1244" s="2">
        <v>253</v>
      </c>
      <c r="B1244" s="2">
        <v>3</v>
      </c>
      <c r="C1244" s="2" t="s">
        <v>425</v>
      </c>
      <c r="D1244" s="2" t="s">
        <v>39</v>
      </c>
      <c r="E1244" s="2">
        <v>20220917</v>
      </c>
      <c r="F1244" s="2">
        <v>20220918</v>
      </c>
      <c r="G1244" s="2">
        <v>2685.7</v>
      </c>
      <c r="H1244" s="2">
        <v>2510</v>
      </c>
      <c r="I1244" s="2">
        <v>25</v>
      </c>
      <c r="J1244" s="2" t="s">
        <v>316</v>
      </c>
      <c r="K1244" s="2" t="s">
        <v>44</v>
      </c>
      <c r="L1244" s="2" t="s">
        <v>4167</v>
      </c>
      <c r="M1244" s="7" t="s">
        <v>4168</v>
      </c>
      <c r="N1244" s="7" t="s">
        <v>4169</v>
      </c>
      <c r="O1244" s="2"/>
      <c r="P1244" s="2"/>
      <c r="Q1244" s="2" t="str">
        <f>IF(SUMPRODUCT(--ISNUMBER(SEARCH('National Domains'!$A$2:$A$48,L1244)))&gt;0,"Yes","No")</f>
        <v>Yes</v>
      </c>
      <c r="R1244" s="2" t="str">
        <f>IF(COUNTIFS(Calibration!$A:$A,A1244,Calibration!$B:$B,B1244)&gt;0,"Yes","No")</f>
        <v>No</v>
      </c>
      <c r="S1244" s="6"/>
    </row>
    <row r="1245" spans="1:19" ht="34.5" customHeight="1" x14ac:dyDescent="0.2">
      <c r="A1245" s="2">
        <v>253</v>
      </c>
      <c r="B1245" s="2">
        <v>4</v>
      </c>
      <c r="C1245" s="2" t="s">
        <v>425</v>
      </c>
      <c r="D1245" s="2" t="s">
        <v>39</v>
      </c>
      <c r="E1245" s="2">
        <v>20220917</v>
      </c>
      <c r="F1245" s="2">
        <v>20220918</v>
      </c>
      <c r="G1245" s="2">
        <v>2685.7</v>
      </c>
      <c r="H1245" s="2">
        <v>2510</v>
      </c>
      <c r="I1245" s="2">
        <v>25</v>
      </c>
      <c r="J1245" s="2" t="s">
        <v>316</v>
      </c>
      <c r="K1245" s="2" t="s">
        <v>44</v>
      </c>
      <c r="L1245" s="2" t="s">
        <v>4170</v>
      </c>
      <c r="M1245" s="7" t="s">
        <v>4171</v>
      </c>
      <c r="N1245" s="7" t="s">
        <v>4172</v>
      </c>
      <c r="O1245" s="2"/>
      <c r="P1245" s="2"/>
      <c r="Q1245" s="2" t="str">
        <f>IF(SUMPRODUCT(--ISNUMBER(SEARCH('National Domains'!$A$2:$A$48,L1245)))&gt;0,"Yes","No")</f>
        <v>Yes</v>
      </c>
      <c r="R1245" s="2" t="str">
        <f>IF(COUNTIFS(Calibration!$A:$A,A1245,Calibration!$B:$B,B1245)&gt;0,"Yes","No")</f>
        <v>No</v>
      </c>
      <c r="S1245" s="6"/>
    </row>
    <row r="1246" spans="1:19" ht="34.5" customHeight="1" x14ac:dyDescent="0.2">
      <c r="A1246" s="2">
        <v>253</v>
      </c>
      <c r="B1246" s="2">
        <v>5</v>
      </c>
      <c r="C1246" s="2" t="s">
        <v>425</v>
      </c>
      <c r="D1246" s="2" t="s">
        <v>39</v>
      </c>
      <c r="E1246" s="2">
        <v>20220917</v>
      </c>
      <c r="F1246" s="2">
        <v>20220918</v>
      </c>
      <c r="G1246" s="2">
        <v>2685.7</v>
      </c>
      <c r="H1246" s="2">
        <v>2510</v>
      </c>
      <c r="I1246" s="2">
        <v>25</v>
      </c>
      <c r="J1246" s="2" t="s">
        <v>316</v>
      </c>
      <c r="K1246" s="2" t="s">
        <v>44</v>
      </c>
      <c r="L1246" s="2" t="s">
        <v>4173</v>
      </c>
      <c r="M1246" s="7" t="s">
        <v>4174</v>
      </c>
      <c r="N1246" s="7" t="s">
        <v>4175</v>
      </c>
      <c r="O1246" s="2"/>
      <c r="P1246" s="2"/>
      <c r="Q1246" s="2" t="str">
        <f>IF(SUMPRODUCT(--ISNUMBER(SEARCH('National Domains'!$A$2:$A$48,L1246)))&gt;0,"Yes","No")</f>
        <v>Yes</v>
      </c>
      <c r="R1246" s="2" t="str">
        <f>IF(COUNTIFS(Calibration!$A:$A,A1246,Calibration!$B:$B,B1246)&gt;0,"Yes","No")</f>
        <v>No</v>
      </c>
      <c r="S1246" s="6"/>
    </row>
    <row r="1247" spans="1:19" ht="34.5" customHeight="1" x14ac:dyDescent="0.2">
      <c r="A1247" s="2">
        <v>253</v>
      </c>
      <c r="B1247" s="2">
        <v>6</v>
      </c>
      <c r="C1247" s="2" t="s">
        <v>425</v>
      </c>
      <c r="D1247" s="2" t="s">
        <v>39</v>
      </c>
      <c r="E1247" s="2">
        <v>20220917</v>
      </c>
      <c r="F1247" s="2">
        <v>20220918</v>
      </c>
      <c r="G1247" s="2">
        <v>2685.7</v>
      </c>
      <c r="H1247" s="2">
        <v>2510</v>
      </c>
      <c r="I1247" s="2">
        <v>25</v>
      </c>
      <c r="J1247" s="2" t="s">
        <v>316</v>
      </c>
      <c r="K1247" s="2" t="s">
        <v>44</v>
      </c>
      <c r="L1247" s="2" t="s">
        <v>4176</v>
      </c>
      <c r="M1247" s="7" t="s">
        <v>4177</v>
      </c>
      <c r="N1247" s="7" t="s">
        <v>4178</v>
      </c>
      <c r="O1247" s="2"/>
      <c r="P1247" s="2"/>
      <c r="Q1247" s="2" t="str">
        <f>IF(SUMPRODUCT(--ISNUMBER(SEARCH('National Domains'!$A$2:$A$48,L1247)))&gt;0,"Yes","No")</f>
        <v>Yes</v>
      </c>
      <c r="R1247" s="2" t="str">
        <f>IF(COUNTIFS(Calibration!$A:$A,A1247,Calibration!$B:$B,B1247)&gt;0,"Yes","No")</f>
        <v>No</v>
      </c>
      <c r="S1247" s="6"/>
    </row>
    <row r="1248" spans="1:19" ht="34.5" customHeight="1" x14ac:dyDescent="0.2">
      <c r="A1248" s="2">
        <v>254</v>
      </c>
      <c r="B1248" s="2">
        <v>1</v>
      </c>
      <c r="C1248" s="2" t="s">
        <v>426</v>
      </c>
      <c r="D1248" s="2" t="s">
        <v>39</v>
      </c>
      <c r="E1248" s="2">
        <v>20220928</v>
      </c>
      <c r="F1248" s="2">
        <v>20220930</v>
      </c>
      <c r="G1248" s="2">
        <v>119626</v>
      </c>
      <c r="H1248" s="2">
        <v>111800</v>
      </c>
      <c r="I1248" s="2">
        <v>152</v>
      </c>
      <c r="J1248" s="2" t="s">
        <v>427</v>
      </c>
      <c r="K1248" s="2" t="s">
        <v>27</v>
      </c>
      <c r="L1248" s="2" t="s">
        <v>4179</v>
      </c>
      <c r="M1248" s="7" t="s">
        <v>4180</v>
      </c>
      <c r="N1248" s="7" t="s">
        <v>4181</v>
      </c>
      <c r="O1248" s="2"/>
      <c r="P1248" s="2"/>
      <c r="Q1248" s="2" t="str">
        <f>IF(SUMPRODUCT(--ISNUMBER(SEARCH('National Domains'!$A$2:$A$48,L1248)))&gt;0,"Yes","No")</f>
        <v>No</v>
      </c>
      <c r="R1248" s="2" t="str">
        <f>IF(COUNTIFS(Calibration!$A:$A,A1248,Calibration!$B:$B,B1248)&gt;0,"Yes","No")</f>
        <v>No</v>
      </c>
      <c r="S1248" s="6"/>
    </row>
    <row r="1249" spans="1:19" ht="34.5" customHeight="1" x14ac:dyDescent="0.2">
      <c r="A1249" s="2">
        <v>254</v>
      </c>
      <c r="B1249" s="2">
        <v>2</v>
      </c>
      <c r="C1249" s="2" t="s">
        <v>426</v>
      </c>
      <c r="D1249" s="2" t="s">
        <v>39</v>
      </c>
      <c r="E1249" s="2">
        <v>20220928</v>
      </c>
      <c r="F1249" s="2">
        <v>20220930</v>
      </c>
      <c r="G1249" s="2">
        <v>119626</v>
      </c>
      <c r="H1249" s="2">
        <v>111800</v>
      </c>
      <c r="I1249" s="2">
        <v>152</v>
      </c>
      <c r="J1249" s="2" t="s">
        <v>427</v>
      </c>
      <c r="K1249" s="2" t="s">
        <v>27</v>
      </c>
      <c r="L1249" s="2" t="s">
        <v>4182</v>
      </c>
      <c r="M1249" s="7" t="s">
        <v>4183</v>
      </c>
      <c r="N1249" s="7" t="s">
        <v>4184</v>
      </c>
      <c r="O1249" s="2"/>
      <c r="P1249" s="2"/>
      <c r="Q1249" s="2" t="str">
        <f>IF(SUMPRODUCT(--ISNUMBER(SEARCH('National Domains'!$A$2:$A$48,L1249)))&gt;0,"Yes","No")</f>
        <v>No</v>
      </c>
      <c r="R1249" s="2" t="str">
        <f>IF(COUNTIFS(Calibration!$A:$A,A1249,Calibration!$B:$B,B1249)&gt;0,"Yes","No")</f>
        <v>No</v>
      </c>
      <c r="S1249" s="6"/>
    </row>
    <row r="1250" spans="1:19" ht="34.5" customHeight="1" x14ac:dyDescent="0.2">
      <c r="A1250" s="4">
        <v>254</v>
      </c>
      <c r="B1250" s="4">
        <v>3</v>
      </c>
      <c r="C1250" s="4" t="s">
        <v>426</v>
      </c>
      <c r="D1250" s="4" t="s">
        <v>39</v>
      </c>
      <c r="E1250" s="4">
        <v>20220928</v>
      </c>
      <c r="F1250" s="4">
        <v>20220930</v>
      </c>
      <c r="G1250" s="4">
        <v>119626</v>
      </c>
      <c r="H1250" s="4">
        <v>111800</v>
      </c>
      <c r="I1250" s="4">
        <v>152</v>
      </c>
      <c r="J1250" s="4" t="s">
        <v>427</v>
      </c>
      <c r="K1250" s="4" t="s">
        <v>27</v>
      </c>
      <c r="L1250" s="4" t="s">
        <v>4185</v>
      </c>
      <c r="M1250" s="5" t="s">
        <v>4186</v>
      </c>
      <c r="N1250" s="5" t="s">
        <v>4187</v>
      </c>
      <c r="O1250" s="4"/>
      <c r="P1250" s="4"/>
      <c r="Q1250" s="4" t="str">
        <f>IF(SUMPRODUCT(--ISNUMBER(SEARCH('National Domains'!$A$2:$A$48,L1250)))&gt;0,"Yes","No")</f>
        <v>No</v>
      </c>
      <c r="R1250" s="4" t="str">
        <f>IF(COUNTIFS(Calibration!$A:$A,A1250,Calibration!$B:$B,B1250)&gt;0,"Yes","No")</f>
        <v>Yes</v>
      </c>
      <c r="S1250" s="6"/>
    </row>
    <row r="1251" spans="1:19" ht="34.5" customHeight="1" x14ac:dyDescent="0.2">
      <c r="A1251" s="2">
        <v>254</v>
      </c>
      <c r="B1251" s="2">
        <v>4</v>
      </c>
      <c r="C1251" s="2" t="s">
        <v>426</v>
      </c>
      <c r="D1251" s="2" t="s">
        <v>39</v>
      </c>
      <c r="E1251" s="2">
        <v>20220928</v>
      </c>
      <c r="F1251" s="2">
        <v>20220930</v>
      </c>
      <c r="G1251" s="2">
        <v>119626</v>
      </c>
      <c r="H1251" s="2">
        <v>111800</v>
      </c>
      <c r="I1251" s="2">
        <v>152</v>
      </c>
      <c r="J1251" s="2" t="s">
        <v>427</v>
      </c>
      <c r="K1251" s="2" t="s">
        <v>27</v>
      </c>
      <c r="L1251" s="2" t="s">
        <v>4188</v>
      </c>
      <c r="M1251" s="7" t="s">
        <v>4189</v>
      </c>
      <c r="N1251" s="7" t="s">
        <v>4190</v>
      </c>
      <c r="O1251" s="2"/>
      <c r="P1251" s="2"/>
      <c r="Q1251" s="2" t="str">
        <f>IF(SUMPRODUCT(--ISNUMBER(SEARCH('National Domains'!$A$2:$A$48,L1251)))&gt;0,"Yes","No")</f>
        <v>No</v>
      </c>
      <c r="R1251" s="2" t="str">
        <f>IF(COUNTIFS(Calibration!$A:$A,A1251,Calibration!$B:$B,B1251)&gt;0,"Yes","No")</f>
        <v>No</v>
      </c>
      <c r="S1251" s="6"/>
    </row>
    <row r="1252" spans="1:19" ht="34.5" customHeight="1" x14ac:dyDescent="0.2">
      <c r="A1252" s="2">
        <v>254</v>
      </c>
      <c r="B1252" s="2">
        <v>5</v>
      </c>
      <c r="C1252" s="2" t="s">
        <v>426</v>
      </c>
      <c r="D1252" s="2" t="s">
        <v>39</v>
      </c>
      <c r="E1252" s="2">
        <v>20220928</v>
      </c>
      <c r="F1252" s="2">
        <v>20220930</v>
      </c>
      <c r="G1252" s="2">
        <v>119626</v>
      </c>
      <c r="H1252" s="2">
        <v>111800</v>
      </c>
      <c r="I1252" s="2">
        <v>152</v>
      </c>
      <c r="J1252" s="2" t="s">
        <v>427</v>
      </c>
      <c r="K1252" s="2" t="s">
        <v>27</v>
      </c>
      <c r="L1252" s="2" t="s">
        <v>4191</v>
      </c>
      <c r="M1252" s="7" t="s">
        <v>4192</v>
      </c>
      <c r="N1252" s="7" t="s">
        <v>4193</v>
      </c>
      <c r="O1252" s="2"/>
      <c r="P1252" s="2"/>
      <c r="Q1252" s="2" t="str">
        <f>IF(SUMPRODUCT(--ISNUMBER(SEARCH('National Domains'!$A$2:$A$48,L1252)))&gt;0,"Yes","No")</f>
        <v>No</v>
      </c>
      <c r="R1252" s="2" t="str">
        <f>IF(COUNTIFS(Calibration!$A:$A,A1252,Calibration!$B:$B,B1252)&gt;0,"Yes","No")</f>
        <v>No</v>
      </c>
      <c r="S1252" s="6"/>
    </row>
    <row r="1253" spans="1:19" ht="23.25" customHeight="1" x14ac:dyDescent="0.2">
      <c r="A1253" s="2">
        <v>254</v>
      </c>
      <c r="B1253" s="2">
        <v>6</v>
      </c>
      <c r="C1253" s="2" t="s">
        <v>426</v>
      </c>
      <c r="D1253" s="2" t="s">
        <v>39</v>
      </c>
      <c r="E1253" s="2">
        <v>20220928</v>
      </c>
      <c r="F1253" s="2">
        <v>20220930</v>
      </c>
      <c r="G1253" s="2">
        <v>119626</v>
      </c>
      <c r="H1253" s="2">
        <v>111800</v>
      </c>
      <c r="I1253" s="2">
        <v>152</v>
      </c>
      <c r="J1253" s="2" t="s">
        <v>427</v>
      </c>
      <c r="K1253" s="2" t="s">
        <v>27</v>
      </c>
      <c r="L1253" s="2" t="s">
        <v>4194</v>
      </c>
      <c r="M1253" s="7" t="s">
        <v>4195</v>
      </c>
      <c r="N1253" s="7" t="s">
        <v>4196</v>
      </c>
      <c r="O1253" s="2"/>
      <c r="P1253" s="2"/>
      <c r="Q1253" s="2" t="str">
        <f>IF(SUMPRODUCT(--ISNUMBER(SEARCH('National Domains'!$A$2:$A$48,L1253)))&gt;0,"Yes","No")</f>
        <v>No</v>
      </c>
      <c r="R1253" s="2" t="str">
        <f>IF(COUNTIFS(Calibration!$A:$A,A1253,Calibration!$B:$B,B1253)&gt;0,"Yes","No")</f>
        <v>No</v>
      </c>
      <c r="S1253" s="6"/>
    </row>
    <row r="1254" spans="1:19" ht="34.5" customHeight="1" x14ac:dyDescent="0.2">
      <c r="A1254" s="2">
        <v>254</v>
      </c>
      <c r="B1254" s="2">
        <v>7</v>
      </c>
      <c r="C1254" s="2" t="s">
        <v>426</v>
      </c>
      <c r="D1254" s="2" t="s">
        <v>39</v>
      </c>
      <c r="E1254" s="2">
        <v>20220928</v>
      </c>
      <c r="F1254" s="2">
        <v>20220930</v>
      </c>
      <c r="G1254" s="2">
        <v>119626</v>
      </c>
      <c r="H1254" s="2">
        <v>111800</v>
      </c>
      <c r="I1254" s="2">
        <v>152</v>
      </c>
      <c r="J1254" s="2" t="s">
        <v>427</v>
      </c>
      <c r="K1254" s="2" t="s">
        <v>27</v>
      </c>
      <c r="L1254" s="2" t="s">
        <v>4197</v>
      </c>
      <c r="M1254" s="7" t="s">
        <v>4198</v>
      </c>
      <c r="N1254" s="7" t="s">
        <v>4199</v>
      </c>
      <c r="O1254" s="2"/>
      <c r="P1254" s="2"/>
      <c r="Q1254" s="2" t="str">
        <f>IF(SUMPRODUCT(--ISNUMBER(SEARCH('National Domains'!$A$2:$A$48,L1254)))&gt;0,"Yes","No")</f>
        <v>No</v>
      </c>
      <c r="R1254" s="2" t="str">
        <f>IF(COUNTIFS(Calibration!$A:$A,A1254,Calibration!$B:$B,B1254)&gt;0,"Yes","No")</f>
        <v>No</v>
      </c>
      <c r="S1254" s="6"/>
    </row>
    <row r="1255" spans="1:19" ht="34.5" customHeight="1" x14ac:dyDescent="0.2">
      <c r="A1255" s="2">
        <v>254</v>
      </c>
      <c r="B1255" s="2">
        <v>8</v>
      </c>
      <c r="C1255" s="2" t="s">
        <v>426</v>
      </c>
      <c r="D1255" s="2" t="s">
        <v>39</v>
      </c>
      <c r="E1255" s="2">
        <v>20220928</v>
      </c>
      <c r="F1255" s="2">
        <v>20220930</v>
      </c>
      <c r="G1255" s="2">
        <v>119626</v>
      </c>
      <c r="H1255" s="2">
        <v>111800</v>
      </c>
      <c r="I1255" s="2">
        <v>152</v>
      </c>
      <c r="J1255" s="2" t="s">
        <v>427</v>
      </c>
      <c r="K1255" s="2" t="s">
        <v>27</v>
      </c>
      <c r="L1255" s="2" t="s">
        <v>4200</v>
      </c>
      <c r="M1255" s="7" t="s">
        <v>4201</v>
      </c>
      <c r="N1255" s="7" t="s">
        <v>4202</v>
      </c>
      <c r="O1255" s="2"/>
      <c r="P1255" s="2"/>
      <c r="Q1255" s="2" t="str">
        <f>IF(SUMPRODUCT(--ISNUMBER(SEARCH('National Domains'!$A$2:$A$48,L1255)))&gt;0,"Yes","No")</f>
        <v>No</v>
      </c>
      <c r="R1255" s="2" t="str">
        <f>IF(COUNTIFS(Calibration!$A:$A,A1255,Calibration!$B:$B,B1255)&gt;0,"Yes","No")</f>
        <v>No</v>
      </c>
      <c r="S1255" s="6"/>
    </row>
    <row r="1256" spans="1:19" ht="34.5" customHeight="1" x14ac:dyDescent="0.2">
      <c r="A1256" s="2">
        <v>254</v>
      </c>
      <c r="B1256" s="2">
        <v>9</v>
      </c>
      <c r="C1256" s="2" t="s">
        <v>426</v>
      </c>
      <c r="D1256" s="2" t="s">
        <v>39</v>
      </c>
      <c r="E1256" s="2">
        <v>20220928</v>
      </c>
      <c r="F1256" s="2">
        <v>20220930</v>
      </c>
      <c r="G1256" s="2">
        <v>119626</v>
      </c>
      <c r="H1256" s="2">
        <v>111800</v>
      </c>
      <c r="I1256" s="2">
        <v>152</v>
      </c>
      <c r="J1256" s="2" t="s">
        <v>427</v>
      </c>
      <c r="K1256" s="2" t="s">
        <v>27</v>
      </c>
      <c r="L1256" s="2" t="s">
        <v>4203</v>
      </c>
      <c r="M1256" s="7" t="s">
        <v>4204</v>
      </c>
      <c r="N1256" s="7" t="s">
        <v>4205</v>
      </c>
      <c r="O1256" s="2"/>
      <c r="P1256" s="2"/>
      <c r="Q1256" s="2" t="str">
        <f>IF(SUMPRODUCT(--ISNUMBER(SEARCH('National Domains'!$A$2:$A$48,L1256)))&gt;0,"Yes","No")</f>
        <v>Yes</v>
      </c>
      <c r="R1256" s="2" t="str">
        <f>IF(COUNTIFS(Calibration!$A:$A,A1256,Calibration!$B:$B,B1256)&gt;0,"Yes","No")</f>
        <v>No</v>
      </c>
      <c r="S1256" s="6"/>
    </row>
    <row r="1257" spans="1:19" ht="34.5" customHeight="1" x14ac:dyDescent="0.2">
      <c r="A1257" s="2">
        <v>254</v>
      </c>
      <c r="B1257" s="2">
        <v>10</v>
      </c>
      <c r="C1257" s="2" t="s">
        <v>426</v>
      </c>
      <c r="D1257" s="2" t="s">
        <v>39</v>
      </c>
      <c r="E1257" s="2">
        <v>20220928</v>
      </c>
      <c r="F1257" s="2">
        <v>20220930</v>
      </c>
      <c r="G1257" s="2">
        <v>119626</v>
      </c>
      <c r="H1257" s="2">
        <v>111800</v>
      </c>
      <c r="I1257" s="2">
        <v>152</v>
      </c>
      <c r="J1257" s="2" t="s">
        <v>427</v>
      </c>
      <c r="K1257" s="2" t="s">
        <v>27</v>
      </c>
      <c r="L1257" s="2" t="s">
        <v>4206</v>
      </c>
      <c r="M1257" s="7" t="s">
        <v>4207</v>
      </c>
      <c r="N1257" s="7" t="s">
        <v>4208</v>
      </c>
      <c r="O1257" s="2"/>
      <c r="P1257" s="2"/>
      <c r="Q1257" s="2" t="str">
        <f>IF(SUMPRODUCT(--ISNUMBER(SEARCH('National Domains'!$A$2:$A$48,L1257)))&gt;0,"Yes","No")</f>
        <v>Yes</v>
      </c>
      <c r="R1257" s="2" t="str">
        <f>IF(COUNTIFS(Calibration!$A:$A,A1257,Calibration!$B:$B,B1257)&gt;0,"Yes","No")</f>
        <v>No</v>
      </c>
      <c r="S1257" s="6"/>
    </row>
    <row r="1258" spans="1:19" ht="34.5" customHeight="1" x14ac:dyDescent="0.2">
      <c r="A1258" s="2">
        <v>254</v>
      </c>
      <c r="B1258" s="2">
        <v>11</v>
      </c>
      <c r="C1258" s="2" t="s">
        <v>426</v>
      </c>
      <c r="D1258" s="2" t="s">
        <v>39</v>
      </c>
      <c r="E1258" s="2">
        <v>20220928</v>
      </c>
      <c r="F1258" s="2">
        <v>20220930</v>
      </c>
      <c r="G1258" s="2">
        <v>119626</v>
      </c>
      <c r="H1258" s="2">
        <v>111800</v>
      </c>
      <c r="I1258" s="2">
        <v>152</v>
      </c>
      <c r="J1258" s="2" t="s">
        <v>427</v>
      </c>
      <c r="K1258" s="2" t="s">
        <v>27</v>
      </c>
      <c r="L1258" s="2" t="s">
        <v>4209</v>
      </c>
      <c r="M1258" s="7" t="s">
        <v>4210</v>
      </c>
      <c r="N1258" s="7" t="s">
        <v>4211</v>
      </c>
      <c r="O1258" s="2"/>
      <c r="P1258" s="2"/>
      <c r="Q1258" s="2" t="str">
        <f>IF(SUMPRODUCT(--ISNUMBER(SEARCH('National Domains'!$A$2:$A$48,L1258)))&gt;0,"Yes","No")</f>
        <v>Yes</v>
      </c>
      <c r="R1258" s="2" t="str">
        <f>IF(COUNTIFS(Calibration!$A:$A,A1258,Calibration!$B:$B,B1258)&gt;0,"Yes","No")</f>
        <v>No</v>
      </c>
      <c r="S1258" s="6"/>
    </row>
    <row r="1259" spans="1:19" ht="34.5" customHeight="1" x14ac:dyDescent="0.2">
      <c r="A1259" s="2">
        <v>254</v>
      </c>
      <c r="B1259" s="2">
        <v>12</v>
      </c>
      <c r="C1259" s="2" t="s">
        <v>426</v>
      </c>
      <c r="D1259" s="2" t="s">
        <v>39</v>
      </c>
      <c r="E1259" s="2">
        <v>20220928</v>
      </c>
      <c r="F1259" s="2">
        <v>20220930</v>
      </c>
      <c r="G1259" s="2">
        <v>119626</v>
      </c>
      <c r="H1259" s="2">
        <v>111800</v>
      </c>
      <c r="I1259" s="2">
        <v>152</v>
      </c>
      <c r="J1259" s="2" t="s">
        <v>427</v>
      </c>
      <c r="K1259" s="2" t="s">
        <v>27</v>
      </c>
      <c r="L1259" s="2" t="s">
        <v>4212</v>
      </c>
      <c r="M1259" s="7" t="s">
        <v>4213</v>
      </c>
      <c r="N1259" s="7" t="s">
        <v>4214</v>
      </c>
      <c r="O1259" s="2"/>
      <c r="P1259" s="2"/>
      <c r="Q1259" s="2" t="str">
        <f>IF(SUMPRODUCT(--ISNUMBER(SEARCH('National Domains'!$A$2:$A$48,L1259)))&gt;0,"Yes","No")</f>
        <v>Yes</v>
      </c>
      <c r="R1259" s="2" t="str">
        <f>IF(COUNTIFS(Calibration!$A:$A,A1259,Calibration!$B:$B,B1259)&gt;0,"Yes","No")</f>
        <v>No</v>
      </c>
      <c r="S1259" s="6"/>
    </row>
    <row r="1260" spans="1:19" ht="34.5" customHeight="1" x14ac:dyDescent="0.2">
      <c r="A1260" s="2">
        <v>254</v>
      </c>
      <c r="B1260" s="2">
        <v>13</v>
      </c>
      <c r="C1260" s="2" t="s">
        <v>426</v>
      </c>
      <c r="D1260" s="2" t="s">
        <v>39</v>
      </c>
      <c r="E1260" s="2">
        <v>20220928</v>
      </c>
      <c r="F1260" s="2">
        <v>20220930</v>
      </c>
      <c r="G1260" s="2">
        <v>119626</v>
      </c>
      <c r="H1260" s="2">
        <v>111800</v>
      </c>
      <c r="I1260" s="2">
        <v>152</v>
      </c>
      <c r="J1260" s="2" t="s">
        <v>427</v>
      </c>
      <c r="K1260" s="2" t="s">
        <v>27</v>
      </c>
      <c r="L1260" s="2" t="s">
        <v>4215</v>
      </c>
      <c r="M1260" s="7" t="s">
        <v>4216</v>
      </c>
      <c r="N1260" s="7" t="s">
        <v>4217</v>
      </c>
      <c r="O1260" s="2"/>
      <c r="P1260" s="2"/>
      <c r="Q1260" s="2" t="str">
        <f>IF(SUMPRODUCT(--ISNUMBER(SEARCH('National Domains'!$A$2:$A$48,L1260)))&gt;0,"Yes","No")</f>
        <v>Yes</v>
      </c>
      <c r="R1260" s="2" t="str">
        <f>IF(COUNTIFS(Calibration!$A:$A,A1260,Calibration!$B:$B,B1260)&gt;0,"Yes","No")</f>
        <v>No</v>
      </c>
      <c r="S1260" s="6"/>
    </row>
    <row r="1261" spans="1:19" ht="34.5" customHeight="1" x14ac:dyDescent="0.2">
      <c r="A1261" s="2">
        <v>254</v>
      </c>
      <c r="B1261" s="2">
        <v>14</v>
      </c>
      <c r="C1261" s="2" t="s">
        <v>426</v>
      </c>
      <c r="D1261" s="2" t="s">
        <v>39</v>
      </c>
      <c r="E1261" s="2">
        <v>20220928</v>
      </c>
      <c r="F1261" s="2">
        <v>20220930</v>
      </c>
      <c r="G1261" s="2">
        <v>119626</v>
      </c>
      <c r="H1261" s="2">
        <v>111800</v>
      </c>
      <c r="I1261" s="2">
        <v>152</v>
      </c>
      <c r="J1261" s="2" t="s">
        <v>427</v>
      </c>
      <c r="K1261" s="2" t="s">
        <v>27</v>
      </c>
      <c r="L1261" s="2" t="s">
        <v>4218</v>
      </c>
      <c r="M1261" s="7" t="s">
        <v>4219</v>
      </c>
      <c r="N1261" s="7" t="s">
        <v>4220</v>
      </c>
      <c r="O1261" s="2"/>
      <c r="P1261" s="2"/>
      <c r="Q1261" s="2" t="str">
        <f>IF(SUMPRODUCT(--ISNUMBER(SEARCH('National Domains'!$A$2:$A$48,L1261)))&gt;0,"Yes","No")</f>
        <v>No</v>
      </c>
      <c r="R1261" s="2" t="str">
        <f>IF(COUNTIFS(Calibration!$A:$A,A1261,Calibration!$B:$B,B1261)&gt;0,"Yes","No")</f>
        <v>No</v>
      </c>
      <c r="S1261" s="6"/>
    </row>
    <row r="1262" spans="1:19" ht="23.25" customHeight="1" x14ac:dyDescent="0.2">
      <c r="A1262" s="2">
        <v>254</v>
      </c>
      <c r="B1262" s="2">
        <v>15</v>
      </c>
      <c r="C1262" s="2" t="s">
        <v>426</v>
      </c>
      <c r="D1262" s="2" t="s">
        <v>39</v>
      </c>
      <c r="E1262" s="2">
        <v>20220928</v>
      </c>
      <c r="F1262" s="2">
        <v>20220930</v>
      </c>
      <c r="G1262" s="2">
        <v>119626</v>
      </c>
      <c r="H1262" s="2">
        <v>111800</v>
      </c>
      <c r="I1262" s="2">
        <v>152</v>
      </c>
      <c r="J1262" s="2" t="s">
        <v>427</v>
      </c>
      <c r="K1262" s="2" t="s">
        <v>27</v>
      </c>
      <c r="L1262" s="2" t="s">
        <v>4221</v>
      </c>
      <c r="M1262" s="7" t="s">
        <v>4222</v>
      </c>
      <c r="N1262" s="7" t="s">
        <v>4223</v>
      </c>
      <c r="O1262" s="2"/>
      <c r="P1262" s="2"/>
      <c r="Q1262" s="2" t="str">
        <f>IF(SUMPRODUCT(--ISNUMBER(SEARCH('National Domains'!$A$2:$A$48,L1262)))&gt;0,"Yes","No")</f>
        <v>No</v>
      </c>
      <c r="R1262" s="2" t="str">
        <f>IF(COUNTIFS(Calibration!$A:$A,A1262,Calibration!$B:$B,B1262)&gt;0,"Yes","No")</f>
        <v>No</v>
      </c>
      <c r="S1262" s="6"/>
    </row>
    <row r="1263" spans="1:19" ht="34.5" customHeight="1" x14ac:dyDescent="0.2">
      <c r="A1263" s="2">
        <v>254</v>
      </c>
      <c r="B1263" s="2">
        <v>16</v>
      </c>
      <c r="C1263" s="2" t="s">
        <v>426</v>
      </c>
      <c r="D1263" s="2" t="s">
        <v>39</v>
      </c>
      <c r="E1263" s="2">
        <v>20220928</v>
      </c>
      <c r="F1263" s="2">
        <v>20220930</v>
      </c>
      <c r="G1263" s="2">
        <v>119626</v>
      </c>
      <c r="H1263" s="2">
        <v>111800</v>
      </c>
      <c r="I1263" s="2">
        <v>152</v>
      </c>
      <c r="J1263" s="2" t="s">
        <v>427</v>
      </c>
      <c r="K1263" s="2" t="s">
        <v>27</v>
      </c>
      <c r="L1263" s="2" t="s">
        <v>4224</v>
      </c>
      <c r="M1263" s="7" t="s">
        <v>4225</v>
      </c>
      <c r="N1263" s="7" t="s">
        <v>4226</v>
      </c>
      <c r="O1263" s="2"/>
      <c r="P1263" s="2"/>
      <c r="Q1263" s="2" t="str">
        <f>IF(SUMPRODUCT(--ISNUMBER(SEARCH('National Domains'!$A$2:$A$48,L1263)))&gt;0,"Yes","No")</f>
        <v>No</v>
      </c>
      <c r="R1263" s="2" t="str">
        <f>IF(COUNTIFS(Calibration!$A:$A,A1263,Calibration!$B:$B,B1263)&gt;0,"Yes","No")</f>
        <v>No</v>
      </c>
      <c r="S1263" s="6"/>
    </row>
    <row r="1264" spans="1:19" ht="23.25" customHeight="1" x14ac:dyDescent="0.2">
      <c r="A1264" s="2">
        <v>254</v>
      </c>
      <c r="B1264" s="2">
        <v>17</v>
      </c>
      <c r="C1264" s="2" t="s">
        <v>426</v>
      </c>
      <c r="D1264" s="2" t="s">
        <v>39</v>
      </c>
      <c r="E1264" s="2">
        <v>20220928</v>
      </c>
      <c r="F1264" s="2">
        <v>20220930</v>
      </c>
      <c r="G1264" s="2">
        <v>119626</v>
      </c>
      <c r="H1264" s="2">
        <v>111800</v>
      </c>
      <c r="I1264" s="2">
        <v>152</v>
      </c>
      <c r="J1264" s="2" t="s">
        <v>427</v>
      </c>
      <c r="K1264" s="2" t="s">
        <v>27</v>
      </c>
      <c r="L1264" s="2" t="s">
        <v>4227</v>
      </c>
      <c r="M1264" s="7" t="s">
        <v>4228</v>
      </c>
      <c r="N1264" s="7" t="s">
        <v>4229</v>
      </c>
      <c r="O1264" s="2"/>
      <c r="P1264" s="2"/>
      <c r="Q1264" s="2" t="str">
        <f>IF(SUMPRODUCT(--ISNUMBER(SEARCH('National Domains'!$A$2:$A$48,L1264)))&gt;0,"Yes","No")</f>
        <v>Yes</v>
      </c>
      <c r="R1264" s="2" t="str">
        <f>IF(COUNTIFS(Calibration!$A:$A,A1264,Calibration!$B:$B,B1264)&gt;0,"Yes","No")</f>
        <v>No</v>
      </c>
      <c r="S1264" s="6"/>
    </row>
    <row r="1265" spans="1:19" ht="34.5" customHeight="1" x14ac:dyDescent="0.2">
      <c r="A1265" s="2">
        <v>254</v>
      </c>
      <c r="B1265" s="2">
        <v>18</v>
      </c>
      <c r="C1265" s="2" t="s">
        <v>426</v>
      </c>
      <c r="D1265" s="2" t="s">
        <v>39</v>
      </c>
      <c r="E1265" s="2">
        <v>20220928</v>
      </c>
      <c r="F1265" s="2">
        <v>20220930</v>
      </c>
      <c r="G1265" s="2">
        <v>119626</v>
      </c>
      <c r="H1265" s="2">
        <v>111800</v>
      </c>
      <c r="I1265" s="2">
        <v>152</v>
      </c>
      <c r="J1265" s="2" t="s">
        <v>427</v>
      </c>
      <c r="K1265" s="2" t="s">
        <v>27</v>
      </c>
      <c r="L1265" s="2" t="s">
        <v>4230</v>
      </c>
      <c r="M1265" s="7" t="s">
        <v>4231</v>
      </c>
      <c r="N1265" s="7" t="s">
        <v>4232</v>
      </c>
      <c r="O1265" s="2"/>
      <c r="P1265" s="2"/>
      <c r="Q1265" s="2" t="str">
        <f>IF(SUMPRODUCT(--ISNUMBER(SEARCH('National Domains'!$A$2:$A$48,L1265)))&gt;0,"Yes","No")</f>
        <v>Yes</v>
      </c>
      <c r="R1265" s="2" t="str">
        <f>IF(COUNTIFS(Calibration!$A:$A,A1265,Calibration!$B:$B,B1265)&gt;0,"Yes","No")</f>
        <v>No</v>
      </c>
      <c r="S1265" s="6"/>
    </row>
    <row r="1266" spans="1:19" ht="34.5" customHeight="1" x14ac:dyDescent="0.2">
      <c r="A1266" s="2">
        <v>254</v>
      </c>
      <c r="B1266" s="2">
        <v>19</v>
      </c>
      <c r="C1266" s="2" t="s">
        <v>426</v>
      </c>
      <c r="D1266" s="2" t="s">
        <v>39</v>
      </c>
      <c r="E1266" s="2">
        <v>20220928</v>
      </c>
      <c r="F1266" s="2">
        <v>20220930</v>
      </c>
      <c r="G1266" s="2">
        <v>119626</v>
      </c>
      <c r="H1266" s="2">
        <v>111800</v>
      </c>
      <c r="I1266" s="2">
        <v>152</v>
      </c>
      <c r="J1266" s="2" t="s">
        <v>427</v>
      </c>
      <c r="K1266" s="2" t="s">
        <v>27</v>
      </c>
      <c r="L1266" s="2" t="s">
        <v>4233</v>
      </c>
      <c r="M1266" s="7" t="s">
        <v>4234</v>
      </c>
      <c r="N1266" s="7" t="s">
        <v>4235</v>
      </c>
      <c r="O1266" s="2"/>
      <c r="P1266" s="2"/>
      <c r="Q1266" s="2" t="str">
        <f>IF(SUMPRODUCT(--ISNUMBER(SEARCH('National Domains'!$A$2:$A$48,L1266)))&gt;0,"Yes","No")</f>
        <v>Yes</v>
      </c>
      <c r="R1266" s="2" t="str">
        <f>IF(COUNTIFS(Calibration!$A:$A,A1266,Calibration!$B:$B,B1266)&gt;0,"Yes","No")</f>
        <v>No</v>
      </c>
      <c r="S1266" s="6"/>
    </row>
    <row r="1267" spans="1:19" ht="23.25" customHeight="1" x14ac:dyDescent="0.2">
      <c r="A1267" s="2">
        <v>254</v>
      </c>
      <c r="B1267" s="2">
        <v>20</v>
      </c>
      <c r="C1267" s="2" t="s">
        <v>426</v>
      </c>
      <c r="D1267" s="2" t="s">
        <v>39</v>
      </c>
      <c r="E1267" s="2">
        <v>20220928</v>
      </c>
      <c r="F1267" s="2">
        <v>20220930</v>
      </c>
      <c r="G1267" s="2">
        <v>119626</v>
      </c>
      <c r="H1267" s="2">
        <v>111800</v>
      </c>
      <c r="I1267" s="2">
        <v>152</v>
      </c>
      <c r="J1267" s="2" t="s">
        <v>427</v>
      </c>
      <c r="K1267" s="2" t="s">
        <v>27</v>
      </c>
      <c r="L1267" s="2" t="s">
        <v>4236</v>
      </c>
      <c r="M1267" s="7" t="s">
        <v>4237</v>
      </c>
      <c r="N1267" s="7" t="s">
        <v>4238</v>
      </c>
      <c r="O1267" s="2"/>
      <c r="P1267" s="2"/>
      <c r="Q1267" s="2" t="str">
        <f>IF(SUMPRODUCT(--ISNUMBER(SEARCH('National Domains'!$A$2:$A$48,L1267)))&gt;0,"Yes","No")</f>
        <v>Yes</v>
      </c>
      <c r="R1267" s="2" t="str">
        <f>IF(COUNTIFS(Calibration!$A:$A,A1267,Calibration!$B:$B,B1267)&gt;0,"Yes","No")</f>
        <v>No</v>
      </c>
      <c r="S1267" s="6"/>
    </row>
    <row r="1268" spans="1:19" ht="34.5" customHeight="1" x14ac:dyDescent="0.2">
      <c r="A1268" s="2">
        <v>254</v>
      </c>
      <c r="B1268" s="2">
        <v>21</v>
      </c>
      <c r="C1268" s="2" t="s">
        <v>426</v>
      </c>
      <c r="D1268" s="2" t="s">
        <v>39</v>
      </c>
      <c r="E1268" s="2">
        <v>20220928</v>
      </c>
      <c r="F1268" s="2">
        <v>20220930</v>
      </c>
      <c r="G1268" s="2">
        <v>119626</v>
      </c>
      <c r="H1268" s="2">
        <v>111800</v>
      </c>
      <c r="I1268" s="2">
        <v>152</v>
      </c>
      <c r="J1268" s="2" t="s">
        <v>427</v>
      </c>
      <c r="K1268" s="2" t="s">
        <v>27</v>
      </c>
      <c r="L1268" s="2" t="s">
        <v>4239</v>
      </c>
      <c r="M1268" s="7" t="s">
        <v>4240</v>
      </c>
      <c r="N1268" s="7" t="s">
        <v>4241</v>
      </c>
      <c r="O1268" s="2"/>
      <c r="P1268" s="2"/>
      <c r="Q1268" s="2" t="str">
        <f>IF(SUMPRODUCT(--ISNUMBER(SEARCH('National Domains'!$A$2:$A$48,L1268)))&gt;0,"Yes","No")</f>
        <v>No</v>
      </c>
      <c r="R1268" s="2" t="str">
        <f>IF(COUNTIFS(Calibration!$A:$A,A1268,Calibration!$B:$B,B1268)&gt;0,"Yes","No")</f>
        <v>No</v>
      </c>
      <c r="S1268" s="6"/>
    </row>
    <row r="1269" spans="1:19" ht="34.5" customHeight="1" x14ac:dyDescent="0.2">
      <c r="A1269" s="2">
        <v>254</v>
      </c>
      <c r="B1269" s="2">
        <v>22</v>
      </c>
      <c r="C1269" s="2" t="s">
        <v>426</v>
      </c>
      <c r="D1269" s="2" t="s">
        <v>39</v>
      </c>
      <c r="E1269" s="2">
        <v>20220928</v>
      </c>
      <c r="F1269" s="2">
        <v>20220930</v>
      </c>
      <c r="G1269" s="2">
        <v>119626</v>
      </c>
      <c r="H1269" s="2">
        <v>111800</v>
      </c>
      <c r="I1269" s="2">
        <v>152</v>
      </c>
      <c r="J1269" s="2" t="s">
        <v>427</v>
      </c>
      <c r="K1269" s="2" t="s">
        <v>27</v>
      </c>
      <c r="L1269" s="2" t="s">
        <v>4242</v>
      </c>
      <c r="M1269" s="7" t="s">
        <v>4243</v>
      </c>
      <c r="N1269" s="7" t="s">
        <v>4244</v>
      </c>
      <c r="O1269" s="2"/>
      <c r="P1269" s="2"/>
      <c r="Q1269" s="2" t="str">
        <f>IF(SUMPRODUCT(--ISNUMBER(SEARCH('National Domains'!$A$2:$A$48,L1269)))&gt;0,"Yes","No")</f>
        <v>No</v>
      </c>
      <c r="R1269" s="2" t="str">
        <f>IF(COUNTIFS(Calibration!$A:$A,A1269,Calibration!$B:$B,B1269)&gt;0,"Yes","No")</f>
        <v>No</v>
      </c>
      <c r="S1269" s="6"/>
    </row>
    <row r="1270" spans="1:19" ht="34.5" customHeight="1" x14ac:dyDescent="0.2">
      <c r="A1270" s="2">
        <v>254</v>
      </c>
      <c r="B1270" s="2">
        <v>23</v>
      </c>
      <c r="C1270" s="2" t="s">
        <v>426</v>
      </c>
      <c r="D1270" s="2" t="s">
        <v>39</v>
      </c>
      <c r="E1270" s="2">
        <v>20220928</v>
      </c>
      <c r="F1270" s="2">
        <v>20220930</v>
      </c>
      <c r="G1270" s="2">
        <v>119626</v>
      </c>
      <c r="H1270" s="2">
        <v>111800</v>
      </c>
      <c r="I1270" s="2">
        <v>152</v>
      </c>
      <c r="J1270" s="2" t="s">
        <v>427</v>
      </c>
      <c r="K1270" s="2" t="s">
        <v>27</v>
      </c>
      <c r="L1270" s="2" t="s">
        <v>4245</v>
      </c>
      <c r="M1270" s="7" t="s">
        <v>4246</v>
      </c>
      <c r="N1270" s="7" t="s">
        <v>4247</v>
      </c>
      <c r="O1270" s="2"/>
      <c r="P1270" s="2"/>
      <c r="Q1270" s="2" t="str">
        <f>IF(SUMPRODUCT(--ISNUMBER(SEARCH('National Domains'!$A$2:$A$48,L1270)))&gt;0,"Yes","No")</f>
        <v>No</v>
      </c>
      <c r="R1270" s="2" t="str">
        <f>IF(COUNTIFS(Calibration!$A:$A,A1270,Calibration!$B:$B,B1270)&gt;0,"Yes","No")</f>
        <v>No</v>
      </c>
      <c r="S1270" s="6"/>
    </row>
    <row r="1271" spans="1:19" ht="23.25" customHeight="1" x14ac:dyDescent="0.2">
      <c r="A1271" s="2">
        <v>254</v>
      </c>
      <c r="B1271" s="2">
        <v>24</v>
      </c>
      <c r="C1271" s="2" t="s">
        <v>426</v>
      </c>
      <c r="D1271" s="2" t="s">
        <v>39</v>
      </c>
      <c r="E1271" s="2">
        <v>20220928</v>
      </c>
      <c r="F1271" s="2">
        <v>20220930</v>
      </c>
      <c r="G1271" s="2">
        <v>119626</v>
      </c>
      <c r="H1271" s="2">
        <v>111800</v>
      </c>
      <c r="I1271" s="2">
        <v>152</v>
      </c>
      <c r="J1271" s="2" t="s">
        <v>427</v>
      </c>
      <c r="K1271" s="2" t="s">
        <v>27</v>
      </c>
      <c r="L1271" s="2" t="s">
        <v>4248</v>
      </c>
      <c r="M1271" s="7" t="s">
        <v>4249</v>
      </c>
      <c r="N1271" s="7" t="s">
        <v>4250</v>
      </c>
      <c r="O1271" s="2"/>
      <c r="P1271" s="2"/>
      <c r="Q1271" s="2" t="str">
        <f>IF(SUMPRODUCT(--ISNUMBER(SEARCH('National Domains'!$A$2:$A$48,L1271)))&gt;0,"Yes","No")</f>
        <v>No</v>
      </c>
      <c r="R1271" s="2" t="str">
        <f>IF(COUNTIFS(Calibration!$A:$A,A1271,Calibration!$B:$B,B1271)&gt;0,"Yes","No")</f>
        <v>No</v>
      </c>
      <c r="S1271" s="6"/>
    </row>
    <row r="1272" spans="1:19" ht="34.5" customHeight="1" x14ac:dyDescent="0.2">
      <c r="A1272" s="2">
        <v>254</v>
      </c>
      <c r="B1272" s="2">
        <v>25</v>
      </c>
      <c r="C1272" s="2" t="s">
        <v>426</v>
      </c>
      <c r="D1272" s="2" t="s">
        <v>39</v>
      </c>
      <c r="E1272" s="2">
        <v>20220928</v>
      </c>
      <c r="F1272" s="2">
        <v>20220930</v>
      </c>
      <c r="G1272" s="2">
        <v>119626</v>
      </c>
      <c r="H1272" s="2">
        <v>111800</v>
      </c>
      <c r="I1272" s="2">
        <v>152</v>
      </c>
      <c r="J1272" s="2" t="s">
        <v>427</v>
      </c>
      <c r="K1272" s="2" t="s">
        <v>27</v>
      </c>
      <c r="L1272" s="2" t="s">
        <v>4251</v>
      </c>
      <c r="M1272" s="7" t="s">
        <v>4252</v>
      </c>
      <c r="N1272" s="7" t="s">
        <v>4253</v>
      </c>
      <c r="O1272" s="2"/>
      <c r="P1272" s="2"/>
      <c r="Q1272" s="2" t="str">
        <f>IF(SUMPRODUCT(--ISNUMBER(SEARCH('National Domains'!$A$2:$A$48,L1272)))&gt;0,"Yes","No")</f>
        <v>No</v>
      </c>
      <c r="R1272" s="2" t="str">
        <f>IF(COUNTIFS(Calibration!$A:$A,A1272,Calibration!$B:$B,B1272)&gt;0,"Yes","No")</f>
        <v>No</v>
      </c>
      <c r="S1272" s="6"/>
    </row>
    <row r="1273" spans="1:19" ht="34.5" customHeight="1" x14ac:dyDescent="0.2">
      <c r="A1273" s="2">
        <v>254</v>
      </c>
      <c r="B1273" s="2">
        <v>26</v>
      </c>
      <c r="C1273" s="2" t="s">
        <v>426</v>
      </c>
      <c r="D1273" s="2" t="s">
        <v>39</v>
      </c>
      <c r="E1273" s="2">
        <v>20220928</v>
      </c>
      <c r="F1273" s="2">
        <v>20220930</v>
      </c>
      <c r="G1273" s="2">
        <v>119626</v>
      </c>
      <c r="H1273" s="2">
        <v>111800</v>
      </c>
      <c r="I1273" s="2">
        <v>152</v>
      </c>
      <c r="J1273" s="2" t="s">
        <v>427</v>
      </c>
      <c r="K1273" s="2" t="s">
        <v>27</v>
      </c>
      <c r="L1273" s="2" t="s">
        <v>4254</v>
      </c>
      <c r="M1273" s="7" t="s">
        <v>4255</v>
      </c>
      <c r="N1273" s="7" t="s">
        <v>4256</v>
      </c>
      <c r="O1273" s="2"/>
      <c r="P1273" s="2"/>
      <c r="Q1273" s="2" t="str">
        <f>IF(SUMPRODUCT(--ISNUMBER(SEARCH('National Domains'!$A$2:$A$48,L1273)))&gt;0,"Yes","No")</f>
        <v>Yes</v>
      </c>
      <c r="R1273" s="2" t="str">
        <f>IF(COUNTIFS(Calibration!$A:$A,A1273,Calibration!$B:$B,B1273)&gt;0,"Yes","No")</f>
        <v>No</v>
      </c>
      <c r="S1273" s="6"/>
    </row>
    <row r="1274" spans="1:19" ht="34.5" customHeight="1" x14ac:dyDescent="0.2">
      <c r="A1274" s="2">
        <v>255</v>
      </c>
      <c r="B1274" s="2">
        <v>1</v>
      </c>
      <c r="C1274" s="2" t="s">
        <v>428</v>
      </c>
      <c r="D1274" s="2" t="s">
        <v>39</v>
      </c>
      <c r="E1274" s="2">
        <v>20221110</v>
      </c>
      <c r="F1274" s="2">
        <v>20221111</v>
      </c>
      <c r="G1274" s="2">
        <v>1081.2</v>
      </c>
      <c r="H1274" s="2">
        <v>1020</v>
      </c>
      <c r="I1274" s="2">
        <v>5</v>
      </c>
      <c r="J1274" s="2" t="s">
        <v>26</v>
      </c>
      <c r="K1274" s="2" t="s">
        <v>27</v>
      </c>
      <c r="L1274" s="2" t="s">
        <v>4257</v>
      </c>
      <c r="M1274" s="7" t="s">
        <v>4258</v>
      </c>
      <c r="N1274" s="7" t="s">
        <v>4259</v>
      </c>
      <c r="O1274" s="2"/>
      <c r="P1274" s="2"/>
      <c r="Q1274" s="2" t="str">
        <f>IF(SUMPRODUCT(--ISNUMBER(SEARCH('National Domains'!$A$2:$A$48,L1274)))&gt;0,"Yes","No")</f>
        <v>No</v>
      </c>
      <c r="R1274" s="2" t="str">
        <f>IF(COUNTIFS(Calibration!$A:$A,A1274,Calibration!$B:$B,B1274)&gt;0,"Yes","No")</f>
        <v>No</v>
      </c>
      <c r="S1274" s="6"/>
    </row>
    <row r="1275" spans="1:19" ht="34.5" customHeight="1" x14ac:dyDescent="0.2">
      <c r="A1275" s="2">
        <v>255</v>
      </c>
      <c r="B1275" s="2">
        <v>2</v>
      </c>
      <c r="C1275" s="2" t="s">
        <v>428</v>
      </c>
      <c r="D1275" s="2" t="s">
        <v>39</v>
      </c>
      <c r="E1275" s="2">
        <v>20221110</v>
      </c>
      <c r="F1275" s="2">
        <v>20221111</v>
      </c>
      <c r="G1275" s="2">
        <v>1081.2</v>
      </c>
      <c r="H1275" s="2">
        <v>1020</v>
      </c>
      <c r="I1275" s="2">
        <v>5</v>
      </c>
      <c r="J1275" s="2" t="s">
        <v>26</v>
      </c>
      <c r="K1275" s="2" t="s">
        <v>27</v>
      </c>
      <c r="L1275" s="2" t="s">
        <v>4260</v>
      </c>
      <c r="M1275" s="7" t="s">
        <v>4261</v>
      </c>
      <c r="N1275" s="7" t="s">
        <v>4262</v>
      </c>
      <c r="O1275" s="2"/>
      <c r="P1275" s="2"/>
      <c r="Q1275" s="2" t="str">
        <f>IF(SUMPRODUCT(--ISNUMBER(SEARCH('National Domains'!$A$2:$A$48,L1275)))&gt;0,"Yes","No")</f>
        <v>No</v>
      </c>
      <c r="R1275" s="2" t="str">
        <f>IF(COUNTIFS(Calibration!$A:$A,A1275,Calibration!$B:$B,B1275)&gt;0,"Yes","No")</f>
        <v>No</v>
      </c>
      <c r="S1275" s="6"/>
    </row>
    <row r="1276" spans="1:19" ht="34.5" customHeight="1" x14ac:dyDescent="0.2">
      <c r="A1276" s="2">
        <v>255</v>
      </c>
      <c r="B1276" s="2">
        <v>3</v>
      </c>
      <c r="C1276" s="2" t="s">
        <v>428</v>
      </c>
      <c r="D1276" s="2" t="s">
        <v>39</v>
      </c>
      <c r="E1276" s="2">
        <v>20221110</v>
      </c>
      <c r="F1276" s="2">
        <v>20221111</v>
      </c>
      <c r="G1276" s="2">
        <v>1081.2</v>
      </c>
      <c r="H1276" s="2">
        <v>1020</v>
      </c>
      <c r="I1276" s="2">
        <v>5</v>
      </c>
      <c r="J1276" s="2" t="s">
        <v>26</v>
      </c>
      <c r="K1276" s="2" t="s">
        <v>27</v>
      </c>
      <c r="L1276" s="2" t="s">
        <v>4263</v>
      </c>
      <c r="M1276" s="7" t="s">
        <v>4264</v>
      </c>
      <c r="N1276" s="7" t="s">
        <v>4265</v>
      </c>
      <c r="O1276" s="2"/>
      <c r="P1276" s="2"/>
      <c r="Q1276" s="2" t="str">
        <f>IF(SUMPRODUCT(--ISNUMBER(SEARCH('National Domains'!$A$2:$A$48,L1276)))&gt;0,"Yes","No")</f>
        <v>No</v>
      </c>
      <c r="R1276" s="2" t="str">
        <f>IF(COUNTIFS(Calibration!$A:$A,A1276,Calibration!$B:$B,B1276)&gt;0,"Yes","No")</f>
        <v>No</v>
      </c>
      <c r="S1276" s="6"/>
    </row>
    <row r="1277" spans="1:19" ht="34.5" customHeight="1" x14ac:dyDescent="0.2">
      <c r="A1277" s="2">
        <v>255</v>
      </c>
      <c r="B1277" s="2">
        <v>4</v>
      </c>
      <c r="C1277" s="2" t="s">
        <v>428</v>
      </c>
      <c r="D1277" s="2" t="s">
        <v>39</v>
      </c>
      <c r="E1277" s="2">
        <v>20221110</v>
      </c>
      <c r="F1277" s="2">
        <v>20221111</v>
      </c>
      <c r="G1277" s="2">
        <v>1081.2</v>
      </c>
      <c r="H1277" s="2">
        <v>1020</v>
      </c>
      <c r="I1277" s="2">
        <v>5</v>
      </c>
      <c r="J1277" s="2" t="s">
        <v>26</v>
      </c>
      <c r="K1277" s="2" t="s">
        <v>27</v>
      </c>
      <c r="L1277" s="2" t="s">
        <v>4266</v>
      </c>
      <c r="M1277" s="7" t="s">
        <v>4267</v>
      </c>
      <c r="N1277" s="7" t="s">
        <v>4268</v>
      </c>
      <c r="O1277" s="2"/>
      <c r="P1277" s="2"/>
      <c r="Q1277" s="2" t="str">
        <f>IF(SUMPRODUCT(--ISNUMBER(SEARCH('National Domains'!$A$2:$A$48,L1277)))&gt;0,"Yes","No")</f>
        <v>No</v>
      </c>
      <c r="R1277" s="2" t="str">
        <f>IF(COUNTIFS(Calibration!$A:$A,A1277,Calibration!$B:$B,B1277)&gt;0,"Yes","No")</f>
        <v>No</v>
      </c>
      <c r="S1277" s="6"/>
    </row>
    <row r="1278" spans="1:19" ht="34.5" customHeight="1" x14ac:dyDescent="0.2">
      <c r="A1278" s="2">
        <v>255</v>
      </c>
      <c r="B1278" s="2">
        <v>5</v>
      </c>
      <c r="C1278" s="2" t="s">
        <v>428</v>
      </c>
      <c r="D1278" s="2" t="s">
        <v>39</v>
      </c>
      <c r="E1278" s="2">
        <v>20221110</v>
      </c>
      <c r="F1278" s="2">
        <v>20221111</v>
      </c>
      <c r="G1278" s="2">
        <v>1081.2</v>
      </c>
      <c r="H1278" s="2">
        <v>1020</v>
      </c>
      <c r="I1278" s="2">
        <v>5</v>
      </c>
      <c r="J1278" s="2" t="s">
        <v>26</v>
      </c>
      <c r="K1278" s="2" t="s">
        <v>27</v>
      </c>
      <c r="L1278" s="2" t="s">
        <v>4269</v>
      </c>
      <c r="M1278" s="7" t="s">
        <v>4270</v>
      </c>
      <c r="N1278" s="7" t="s">
        <v>4271</v>
      </c>
      <c r="O1278" s="2"/>
      <c r="P1278" s="2"/>
      <c r="Q1278" s="2" t="str">
        <f>IF(SUMPRODUCT(--ISNUMBER(SEARCH('National Domains'!$A$2:$A$48,L1278)))&gt;0,"Yes","No")</f>
        <v>No</v>
      </c>
      <c r="R1278" s="2" t="str">
        <f>IF(COUNTIFS(Calibration!$A:$A,A1278,Calibration!$B:$B,B1278)&gt;0,"Yes","No")</f>
        <v>No</v>
      </c>
      <c r="S1278" s="6"/>
    </row>
    <row r="1279" spans="1:19" ht="34.5" customHeight="1" x14ac:dyDescent="0.2">
      <c r="A1279" s="2">
        <v>255</v>
      </c>
      <c r="B1279" s="2">
        <v>6</v>
      </c>
      <c r="C1279" s="2" t="s">
        <v>428</v>
      </c>
      <c r="D1279" s="2" t="s">
        <v>39</v>
      </c>
      <c r="E1279" s="2">
        <v>20221110</v>
      </c>
      <c r="F1279" s="2">
        <v>20221111</v>
      </c>
      <c r="G1279" s="2">
        <v>1081.2</v>
      </c>
      <c r="H1279" s="2">
        <v>1020</v>
      </c>
      <c r="I1279" s="2">
        <v>5</v>
      </c>
      <c r="J1279" s="2" t="s">
        <v>26</v>
      </c>
      <c r="K1279" s="2" t="s">
        <v>27</v>
      </c>
      <c r="L1279" s="2" t="s">
        <v>4272</v>
      </c>
      <c r="M1279" s="7" t="s">
        <v>4273</v>
      </c>
      <c r="N1279" s="7" t="s">
        <v>4274</v>
      </c>
      <c r="O1279" s="2"/>
      <c r="P1279" s="2"/>
      <c r="Q1279" s="2" t="str">
        <f>IF(SUMPRODUCT(--ISNUMBER(SEARCH('National Domains'!$A$2:$A$48,L1279)))&gt;0,"Yes","No")</f>
        <v>No</v>
      </c>
      <c r="R1279" s="2" t="str">
        <f>IF(COUNTIFS(Calibration!$A:$A,A1279,Calibration!$B:$B,B1279)&gt;0,"Yes","No")</f>
        <v>No</v>
      </c>
      <c r="S1279" s="6"/>
    </row>
    <row r="1280" spans="1:19" ht="34.5" customHeight="1" x14ac:dyDescent="0.2">
      <c r="A1280" s="2">
        <v>255</v>
      </c>
      <c r="B1280" s="2">
        <v>7</v>
      </c>
      <c r="C1280" s="2" t="s">
        <v>428</v>
      </c>
      <c r="D1280" s="2" t="s">
        <v>39</v>
      </c>
      <c r="E1280" s="2">
        <v>20221110</v>
      </c>
      <c r="F1280" s="2">
        <v>20221111</v>
      </c>
      <c r="G1280" s="2">
        <v>1081.2</v>
      </c>
      <c r="H1280" s="2">
        <v>1020</v>
      </c>
      <c r="I1280" s="2">
        <v>5</v>
      </c>
      <c r="J1280" s="2" t="s">
        <v>26</v>
      </c>
      <c r="K1280" s="2" t="s">
        <v>27</v>
      </c>
      <c r="L1280" s="2" t="s">
        <v>4275</v>
      </c>
      <c r="M1280" s="7" t="s">
        <v>4276</v>
      </c>
      <c r="N1280" s="7" t="s">
        <v>4277</v>
      </c>
      <c r="O1280" s="2"/>
      <c r="P1280" s="2"/>
      <c r="Q1280" s="2" t="str">
        <f>IF(SUMPRODUCT(--ISNUMBER(SEARCH('National Domains'!$A$2:$A$48,L1280)))&gt;0,"Yes","No")</f>
        <v>No</v>
      </c>
      <c r="R1280" s="2" t="str">
        <f>IF(COUNTIFS(Calibration!$A:$A,A1280,Calibration!$B:$B,B1280)&gt;0,"Yes","No")</f>
        <v>No</v>
      </c>
      <c r="S1280" s="6"/>
    </row>
    <row r="1281" spans="1:19" ht="34.5" customHeight="1" x14ac:dyDescent="0.2">
      <c r="A1281" s="4">
        <v>255</v>
      </c>
      <c r="B1281" s="4">
        <v>8</v>
      </c>
      <c r="C1281" s="4" t="s">
        <v>428</v>
      </c>
      <c r="D1281" s="4" t="s">
        <v>39</v>
      </c>
      <c r="E1281" s="4">
        <v>20221110</v>
      </c>
      <c r="F1281" s="4">
        <v>20221111</v>
      </c>
      <c r="G1281" s="4">
        <v>1081.2</v>
      </c>
      <c r="H1281" s="4">
        <v>1020</v>
      </c>
      <c r="I1281" s="4">
        <v>5</v>
      </c>
      <c r="J1281" s="4" t="s">
        <v>26</v>
      </c>
      <c r="K1281" s="4" t="s">
        <v>27</v>
      </c>
      <c r="L1281" s="4" t="s">
        <v>4278</v>
      </c>
      <c r="M1281" s="5" t="s">
        <v>4279</v>
      </c>
      <c r="N1281" s="5" t="s">
        <v>4280</v>
      </c>
      <c r="O1281" s="4"/>
      <c r="P1281" s="4"/>
      <c r="Q1281" s="4" t="str">
        <f>IF(SUMPRODUCT(--ISNUMBER(SEARCH('National Domains'!$A$2:$A$48,L1281)))&gt;0,"Yes","No")</f>
        <v>No</v>
      </c>
      <c r="R1281" s="4" t="str">
        <f>IF(COUNTIFS(Calibration!$A:$A,A1281,Calibration!$B:$B,B1281)&gt;0,"Yes","No")</f>
        <v>Yes</v>
      </c>
      <c r="S1281" s="6"/>
    </row>
    <row r="1282" spans="1:19" ht="34.5" customHeight="1" x14ac:dyDescent="0.2">
      <c r="A1282" s="2">
        <v>255</v>
      </c>
      <c r="B1282" s="2">
        <v>9</v>
      </c>
      <c r="C1282" s="2" t="s">
        <v>428</v>
      </c>
      <c r="D1282" s="2" t="s">
        <v>39</v>
      </c>
      <c r="E1282" s="2">
        <v>20221110</v>
      </c>
      <c r="F1282" s="2">
        <v>20221111</v>
      </c>
      <c r="G1282" s="2">
        <v>1081.2</v>
      </c>
      <c r="H1282" s="2">
        <v>1020</v>
      </c>
      <c r="I1282" s="2">
        <v>5</v>
      </c>
      <c r="J1282" s="2" t="s">
        <v>26</v>
      </c>
      <c r="K1282" s="2" t="s">
        <v>27</v>
      </c>
      <c r="L1282" s="2" t="s">
        <v>4281</v>
      </c>
      <c r="M1282" s="7" t="s">
        <v>4282</v>
      </c>
      <c r="N1282" s="7" t="s">
        <v>4283</v>
      </c>
      <c r="O1282" s="2"/>
      <c r="P1282" s="2"/>
      <c r="Q1282" s="2" t="str">
        <f>IF(SUMPRODUCT(--ISNUMBER(SEARCH('National Domains'!$A$2:$A$48,L1282)))&gt;0,"Yes","No")</f>
        <v>No</v>
      </c>
      <c r="R1282" s="2" t="str">
        <f>IF(COUNTIFS(Calibration!$A:$A,A1282,Calibration!$B:$B,B1282)&gt;0,"Yes","No")</f>
        <v>No</v>
      </c>
      <c r="S1282" s="6"/>
    </row>
    <row r="1283" spans="1:19" ht="34.5" customHeight="1" x14ac:dyDescent="0.2">
      <c r="A1283" s="2">
        <v>255</v>
      </c>
      <c r="B1283" s="2">
        <v>10</v>
      </c>
      <c r="C1283" s="2" t="s">
        <v>428</v>
      </c>
      <c r="D1283" s="2" t="s">
        <v>39</v>
      </c>
      <c r="E1283" s="2">
        <v>20221110</v>
      </c>
      <c r="F1283" s="2">
        <v>20221111</v>
      </c>
      <c r="G1283" s="2">
        <v>1081.2</v>
      </c>
      <c r="H1283" s="2">
        <v>1020</v>
      </c>
      <c r="I1283" s="2">
        <v>5</v>
      </c>
      <c r="J1283" s="2" t="s">
        <v>26</v>
      </c>
      <c r="K1283" s="2" t="s">
        <v>27</v>
      </c>
      <c r="L1283" s="2" t="s">
        <v>4284</v>
      </c>
      <c r="M1283" s="7" t="s">
        <v>4285</v>
      </c>
      <c r="N1283" s="7" t="s">
        <v>4286</v>
      </c>
      <c r="O1283" s="2"/>
      <c r="P1283" s="2"/>
      <c r="Q1283" s="2" t="str">
        <f>IF(SUMPRODUCT(--ISNUMBER(SEARCH('National Domains'!$A$2:$A$48,L1283)))&gt;0,"Yes","No")</f>
        <v>No</v>
      </c>
      <c r="R1283" s="2" t="str">
        <f>IF(COUNTIFS(Calibration!$A:$A,A1283,Calibration!$B:$B,B1283)&gt;0,"Yes","No")</f>
        <v>No</v>
      </c>
      <c r="S1283" s="6"/>
    </row>
    <row r="1284" spans="1:19" ht="34.5" customHeight="1" x14ac:dyDescent="0.2">
      <c r="A1284" s="2">
        <v>255</v>
      </c>
      <c r="B1284" s="2">
        <v>11</v>
      </c>
      <c r="C1284" s="2" t="s">
        <v>428</v>
      </c>
      <c r="D1284" s="2" t="s">
        <v>39</v>
      </c>
      <c r="E1284" s="2">
        <v>20221110</v>
      </c>
      <c r="F1284" s="2">
        <v>20221111</v>
      </c>
      <c r="G1284" s="2">
        <v>1081.2</v>
      </c>
      <c r="H1284" s="2">
        <v>1020</v>
      </c>
      <c r="I1284" s="2">
        <v>5</v>
      </c>
      <c r="J1284" s="2" t="s">
        <v>26</v>
      </c>
      <c r="K1284" s="2" t="s">
        <v>27</v>
      </c>
      <c r="L1284" s="2" t="s">
        <v>4287</v>
      </c>
      <c r="M1284" s="7" t="s">
        <v>4288</v>
      </c>
      <c r="N1284" s="7" t="s">
        <v>4289</v>
      </c>
      <c r="O1284" s="2"/>
      <c r="P1284" s="2"/>
      <c r="Q1284" s="2" t="str">
        <f>IF(SUMPRODUCT(--ISNUMBER(SEARCH('National Domains'!$A$2:$A$48,L1284)))&gt;0,"Yes","No")</f>
        <v>Yes</v>
      </c>
      <c r="R1284" s="2" t="str">
        <f>IF(COUNTIFS(Calibration!$A:$A,A1284,Calibration!$B:$B,B1284)&gt;0,"Yes","No")</f>
        <v>No</v>
      </c>
      <c r="S1284" s="6"/>
    </row>
    <row r="1285" spans="1:19" ht="34.5" customHeight="1" x14ac:dyDescent="0.2">
      <c r="A1285" s="2">
        <v>255</v>
      </c>
      <c r="B1285" s="2">
        <v>12</v>
      </c>
      <c r="C1285" s="2" t="s">
        <v>428</v>
      </c>
      <c r="D1285" s="2" t="s">
        <v>39</v>
      </c>
      <c r="E1285" s="2">
        <v>20221110</v>
      </c>
      <c r="F1285" s="2">
        <v>20221111</v>
      </c>
      <c r="G1285" s="2">
        <v>1081.2</v>
      </c>
      <c r="H1285" s="2">
        <v>1020</v>
      </c>
      <c r="I1285" s="2">
        <v>5</v>
      </c>
      <c r="J1285" s="2" t="s">
        <v>26</v>
      </c>
      <c r="K1285" s="2" t="s">
        <v>27</v>
      </c>
      <c r="L1285" s="2" t="s">
        <v>4290</v>
      </c>
      <c r="M1285" s="7" t="s">
        <v>4291</v>
      </c>
      <c r="N1285" s="7" t="s">
        <v>4292</v>
      </c>
      <c r="O1285" s="2"/>
      <c r="P1285" s="2"/>
      <c r="Q1285" s="2" t="str">
        <f>IF(SUMPRODUCT(--ISNUMBER(SEARCH('National Domains'!$A$2:$A$48,L1285)))&gt;0,"Yes","No")</f>
        <v>Yes</v>
      </c>
      <c r="R1285" s="2" t="str">
        <f>IF(COUNTIFS(Calibration!$A:$A,A1285,Calibration!$B:$B,B1285)&gt;0,"Yes","No")</f>
        <v>No</v>
      </c>
      <c r="S1285" s="6"/>
    </row>
    <row r="1286" spans="1:19" ht="34.5" customHeight="1" x14ac:dyDescent="0.2">
      <c r="A1286" s="2">
        <v>255</v>
      </c>
      <c r="B1286" s="2">
        <v>13</v>
      </c>
      <c r="C1286" s="2" t="s">
        <v>428</v>
      </c>
      <c r="D1286" s="2" t="s">
        <v>39</v>
      </c>
      <c r="E1286" s="2">
        <v>20221110</v>
      </c>
      <c r="F1286" s="2">
        <v>20221111</v>
      </c>
      <c r="G1286" s="2">
        <v>1081.2</v>
      </c>
      <c r="H1286" s="2">
        <v>1020</v>
      </c>
      <c r="I1286" s="2">
        <v>5</v>
      </c>
      <c r="J1286" s="2" t="s">
        <v>26</v>
      </c>
      <c r="K1286" s="2" t="s">
        <v>27</v>
      </c>
      <c r="L1286" s="2" t="s">
        <v>4293</v>
      </c>
      <c r="M1286" s="7" t="s">
        <v>4294</v>
      </c>
      <c r="N1286" s="7" t="s">
        <v>4295</v>
      </c>
      <c r="O1286" s="2"/>
      <c r="P1286" s="2"/>
      <c r="Q1286" s="2" t="str">
        <f>IF(SUMPRODUCT(--ISNUMBER(SEARCH('National Domains'!$A$2:$A$48,L1286)))&gt;0,"Yes","No")</f>
        <v>Yes</v>
      </c>
      <c r="R1286" s="2" t="str">
        <f>IF(COUNTIFS(Calibration!$A:$A,A1286,Calibration!$B:$B,B1286)&gt;0,"Yes","No")</f>
        <v>No</v>
      </c>
      <c r="S1286" s="6"/>
    </row>
    <row r="1287" spans="1:19" ht="34.5" customHeight="1" x14ac:dyDescent="0.2">
      <c r="A1287" s="2">
        <v>255</v>
      </c>
      <c r="B1287" s="2">
        <v>14</v>
      </c>
      <c r="C1287" s="2" t="s">
        <v>428</v>
      </c>
      <c r="D1287" s="2" t="s">
        <v>39</v>
      </c>
      <c r="E1287" s="2">
        <v>20221110</v>
      </c>
      <c r="F1287" s="2">
        <v>20221111</v>
      </c>
      <c r="G1287" s="2">
        <v>1081.2</v>
      </c>
      <c r="H1287" s="2">
        <v>1020</v>
      </c>
      <c r="I1287" s="2">
        <v>5</v>
      </c>
      <c r="J1287" s="2" t="s">
        <v>26</v>
      </c>
      <c r="K1287" s="2" t="s">
        <v>27</v>
      </c>
      <c r="L1287" s="2" t="s">
        <v>4296</v>
      </c>
      <c r="M1287" s="7" t="s">
        <v>4297</v>
      </c>
      <c r="N1287" s="7" t="s">
        <v>4298</v>
      </c>
      <c r="O1287" s="2"/>
      <c r="P1287" s="2"/>
      <c r="Q1287" s="2" t="str">
        <f>IF(SUMPRODUCT(--ISNUMBER(SEARCH('National Domains'!$A$2:$A$48,L1287)))&gt;0,"Yes","No")</f>
        <v>Yes</v>
      </c>
      <c r="R1287" s="2" t="str">
        <f>IF(COUNTIFS(Calibration!$A:$A,A1287,Calibration!$B:$B,B1287)&gt;0,"Yes","No")</f>
        <v>No</v>
      </c>
      <c r="S1287" s="6"/>
    </row>
    <row r="1288" spans="1:19" ht="34.5" customHeight="1" x14ac:dyDescent="0.2">
      <c r="A1288" s="4">
        <v>255</v>
      </c>
      <c r="B1288" s="4">
        <v>15</v>
      </c>
      <c r="C1288" s="4" t="s">
        <v>428</v>
      </c>
      <c r="D1288" s="4" t="s">
        <v>39</v>
      </c>
      <c r="E1288" s="4">
        <v>20221110</v>
      </c>
      <c r="F1288" s="4">
        <v>20221111</v>
      </c>
      <c r="G1288" s="4">
        <v>1081.2</v>
      </c>
      <c r="H1288" s="4">
        <v>1020</v>
      </c>
      <c r="I1288" s="4">
        <v>5</v>
      </c>
      <c r="J1288" s="4" t="s">
        <v>26</v>
      </c>
      <c r="K1288" s="4" t="s">
        <v>27</v>
      </c>
      <c r="L1288" s="4" t="s">
        <v>4299</v>
      </c>
      <c r="M1288" s="5" t="s">
        <v>4300</v>
      </c>
      <c r="N1288" s="5" t="s">
        <v>4301</v>
      </c>
      <c r="O1288" s="4"/>
      <c r="P1288" s="4"/>
      <c r="Q1288" s="4" t="str">
        <f>IF(SUMPRODUCT(--ISNUMBER(SEARCH('National Domains'!$A$2:$A$48,L1288)))&gt;0,"Yes","No")</f>
        <v>Yes</v>
      </c>
      <c r="R1288" s="4" t="str">
        <f>IF(COUNTIFS(Calibration!$A:$A,A1288,Calibration!$B:$B,B1288)&gt;0,"Yes","No")</f>
        <v>Yes</v>
      </c>
      <c r="S1288" s="6"/>
    </row>
    <row r="1289" spans="1:19" ht="34.5" customHeight="1" x14ac:dyDescent="0.2">
      <c r="A1289" s="2">
        <v>255</v>
      </c>
      <c r="B1289" s="2">
        <v>16</v>
      </c>
      <c r="C1289" s="2" t="s">
        <v>428</v>
      </c>
      <c r="D1289" s="2" t="s">
        <v>39</v>
      </c>
      <c r="E1289" s="2">
        <v>20221110</v>
      </c>
      <c r="F1289" s="2">
        <v>20221111</v>
      </c>
      <c r="G1289" s="2">
        <v>1081.2</v>
      </c>
      <c r="H1289" s="2">
        <v>1020</v>
      </c>
      <c r="I1289" s="2">
        <v>5</v>
      </c>
      <c r="J1289" s="2" t="s">
        <v>26</v>
      </c>
      <c r="K1289" s="2" t="s">
        <v>27</v>
      </c>
      <c r="L1289" s="2" t="s">
        <v>4302</v>
      </c>
      <c r="M1289" s="7" t="s">
        <v>4303</v>
      </c>
      <c r="N1289" s="7" t="s">
        <v>4304</v>
      </c>
      <c r="O1289" s="2"/>
      <c r="P1289" s="2"/>
      <c r="Q1289" s="2" t="str">
        <f>IF(SUMPRODUCT(--ISNUMBER(SEARCH('National Domains'!$A$2:$A$48,L1289)))&gt;0,"Yes","No")</f>
        <v>Yes</v>
      </c>
      <c r="R1289" s="2" t="str">
        <f>IF(COUNTIFS(Calibration!$A:$A,A1289,Calibration!$B:$B,B1289)&gt;0,"Yes","No")</f>
        <v>No</v>
      </c>
      <c r="S1289" s="6"/>
    </row>
    <row r="1290" spans="1:19" ht="34.5" customHeight="1" x14ac:dyDescent="0.2">
      <c r="A1290" s="2">
        <v>255</v>
      </c>
      <c r="B1290" s="2">
        <v>17</v>
      </c>
      <c r="C1290" s="2" t="s">
        <v>428</v>
      </c>
      <c r="D1290" s="2" t="s">
        <v>39</v>
      </c>
      <c r="E1290" s="2">
        <v>20221110</v>
      </c>
      <c r="F1290" s="2">
        <v>20221111</v>
      </c>
      <c r="G1290" s="2">
        <v>1081.2</v>
      </c>
      <c r="H1290" s="2">
        <v>1020</v>
      </c>
      <c r="I1290" s="2">
        <v>5</v>
      </c>
      <c r="J1290" s="2" t="s">
        <v>26</v>
      </c>
      <c r="K1290" s="2" t="s">
        <v>27</v>
      </c>
      <c r="L1290" s="2" t="s">
        <v>4305</v>
      </c>
      <c r="M1290" s="7" t="s">
        <v>4306</v>
      </c>
      <c r="N1290" s="7" t="s">
        <v>4307</v>
      </c>
      <c r="O1290" s="2"/>
      <c r="P1290" s="2"/>
      <c r="Q1290" s="2" t="str">
        <f>IF(SUMPRODUCT(--ISNUMBER(SEARCH('National Domains'!$A$2:$A$48,L1290)))&gt;0,"Yes","No")</f>
        <v>No</v>
      </c>
      <c r="R1290" s="2" t="str">
        <f>IF(COUNTIFS(Calibration!$A:$A,A1290,Calibration!$B:$B,B1290)&gt;0,"Yes","No")</f>
        <v>No</v>
      </c>
      <c r="S1290" s="6"/>
    </row>
    <row r="1291" spans="1:19" ht="34.5" customHeight="1" x14ac:dyDescent="0.2">
      <c r="A1291" s="2">
        <v>255</v>
      </c>
      <c r="B1291" s="2">
        <v>18</v>
      </c>
      <c r="C1291" s="2" t="s">
        <v>428</v>
      </c>
      <c r="D1291" s="2" t="s">
        <v>39</v>
      </c>
      <c r="E1291" s="2">
        <v>20221110</v>
      </c>
      <c r="F1291" s="2">
        <v>20221111</v>
      </c>
      <c r="G1291" s="2">
        <v>1081.2</v>
      </c>
      <c r="H1291" s="2">
        <v>1020</v>
      </c>
      <c r="I1291" s="2">
        <v>5</v>
      </c>
      <c r="J1291" s="2" t="s">
        <v>26</v>
      </c>
      <c r="K1291" s="2" t="s">
        <v>27</v>
      </c>
      <c r="L1291" s="2" t="s">
        <v>4308</v>
      </c>
      <c r="M1291" s="7" t="s">
        <v>4309</v>
      </c>
      <c r="N1291" s="7" t="s">
        <v>4310</v>
      </c>
      <c r="O1291" s="2"/>
      <c r="P1291" s="2"/>
      <c r="Q1291" s="2" t="str">
        <f>IF(SUMPRODUCT(--ISNUMBER(SEARCH('National Domains'!$A$2:$A$48,L1291)))&gt;0,"Yes","No")</f>
        <v>No</v>
      </c>
      <c r="R1291" s="2" t="str">
        <f>IF(COUNTIFS(Calibration!$A:$A,A1291,Calibration!$B:$B,B1291)&gt;0,"Yes","No")</f>
        <v>No</v>
      </c>
      <c r="S1291" s="6"/>
    </row>
    <row r="1292" spans="1:19" ht="34.5" customHeight="1" x14ac:dyDescent="0.2">
      <c r="A1292" s="2">
        <v>255</v>
      </c>
      <c r="B1292" s="2">
        <v>19</v>
      </c>
      <c r="C1292" s="2" t="s">
        <v>428</v>
      </c>
      <c r="D1292" s="2" t="s">
        <v>39</v>
      </c>
      <c r="E1292" s="2">
        <v>20221110</v>
      </c>
      <c r="F1292" s="2">
        <v>20221111</v>
      </c>
      <c r="G1292" s="2">
        <v>1081.2</v>
      </c>
      <c r="H1292" s="2">
        <v>1020</v>
      </c>
      <c r="I1292" s="2">
        <v>5</v>
      </c>
      <c r="J1292" s="2" t="s">
        <v>26</v>
      </c>
      <c r="K1292" s="2" t="s">
        <v>27</v>
      </c>
      <c r="L1292" s="2" t="s">
        <v>4311</v>
      </c>
      <c r="M1292" s="7" t="s">
        <v>4312</v>
      </c>
      <c r="N1292" s="7" t="s">
        <v>4313</v>
      </c>
      <c r="O1292" s="2"/>
      <c r="P1292" s="2"/>
      <c r="Q1292" s="2" t="str">
        <f>IF(SUMPRODUCT(--ISNUMBER(SEARCH('National Domains'!$A$2:$A$48,L1292)))&gt;0,"Yes","No")</f>
        <v>Yes</v>
      </c>
      <c r="R1292" s="2" t="str">
        <f>IF(COUNTIFS(Calibration!$A:$A,A1292,Calibration!$B:$B,B1292)&gt;0,"Yes","No")</f>
        <v>No</v>
      </c>
      <c r="S1292" s="6"/>
    </row>
    <row r="1293" spans="1:19" ht="34.5" customHeight="1" x14ac:dyDescent="0.2">
      <c r="A1293" s="2">
        <v>256</v>
      </c>
      <c r="B1293" s="2">
        <v>1</v>
      </c>
      <c r="C1293" s="2" t="s">
        <v>429</v>
      </c>
      <c r="D1293" s="2" t="s">
        <v>21</v>
      </c>
      <c r="E1293" s="2">
        <v>20220401</v>
      </c>
      <c r="F1293" s="2">
        <v>20221130</v>
      </c>
      <c r="G1293" s="2">
        <v>3296.6</v>
      </c>
      <c r="H1293" s="2">
        <v>3110</v>
      </c>
      <c r="I1293" s="2">
        <v>17</v>
      </c>
      <c r="J1293" s="2" t="s">
        <v>22</v>
      </c>
      <c r="K1293" s="2" t="s">
        <v>23</v>
      </c>
      <c r="L1293" s="2" t="s">
        <v>4314</v>
      </c>
      <c r="M1293" s="7" t="s">
        <v>4315</v>
      </c>
      <c r="N1293" s="7" t="s">
        <v>4316</v>
      </c>
      <c r="O1293" s="2"/>
      <c r="P1293" s="2"/>
      <c r="Q1293" s="2" t="str">
        <f>IF(SUMPRODUCT(--ISNUMBER(SEARCH('National Domains'!$A$2:$A$48,L1293)))&gt;0,"Yes","No")</f>
        <v>No</v>
      </c>
      <c r="R1293" s="2" t="str">
        <f>IF(COUNTIFS(Calibration!$A:$A,A1293,Calibration!$B:$B,B1293)&gt;0,"Yes","No")</f>
        <v>No</v>
      </c>
      <c r="S1293" s="6"/>
    </row>
    <row r="1294" spans="1:19" ht="34.5" customHeight="1" x14ac:dyDescent="0.2">
      <c r="A1294" s="2">
        <v>256</v>
      </c>
      <c r="B1294" s="2">
        <v>2</v>
      </c>
      <c r="C1294" s="2" t="s">
        <v>429</v>
      </c>
      <c r="D1294" s="2" t="s">
        <v>21</v>
      </c>
      <c r="E1294" s="2">
        <v>20220401</v>
      </c>
      <c r="F1294" s="2">
        <v>20221130</v>
      </c>
      <c r="G1294" s="2">
        <v>3296.6</v>
      </c>
      <c r="H1294" s="2">
        <v>3110</v>
      </c>
      <c r="I1294" s="2">
        <v>17</v>
      </c>
      <c r="J1294" s="2" t="s">
        <v>22</v>
      </c>
      <c r="K1294" s="2" t="s">
        <v>23</v>
      </c>
      <c r="L1294" s="2" t="s">
        <v>4317</v>
      </c>
      <c r="M1294" s="7" t="s">
        <v>4318</v>
      </c>
      <c r="N1294" s="7" t="s">
        <v>4319</v>
      </c>
      <c r="O1294" s="2"/>
      <c r="P1294" s="2"/>
      <c r="Q1294" s="2" t="str">
        <f>IF(SUMPRODUCT(--ISNUMBER(SEARCH('National Domains'!$A$2:$A$48,L1294)))&gt;0,"Yes","No")</f>
        <v>No</v>
      </c>
      <c r="R1294" s="2" t="str">
        <f>IF(COUNTIFS(Calibration!$A:$A,A1294,Calibration!$B:$B,B1294)&gt;0,"Yes","No")</f>
        <v>No</v>
      </c>
      <c r="S1294" s="6"/>
    </row>
    <row r="1295" spans="1:19" ht="34.5" customHeight="1" x14ac:dyDescent="0.2">
      <c r="A1295" s="2">
        <v>256</v>
      </c>
      <c r="B1295" s="2">
        <v>3</v>
      </c>
      <c r="C1295" s="2" t="s">
        <v>429</v>
      </c>
      <c r="D1295" s="2" t="s">
        <v>21</v>
      </c>
      <c r="E1295" s="2">
        <v>20220401</v>
      </c>
      <c r="F1295" s="2">
        <v>20221130</v>
      </c>
      <c r="G1295" s="2">
        <v>3296.6</v>
      </c>
      <c r="H1295" s="2">
        <v>3110</v>
      </c>
      <c r="I1295" s="2">
        <v>17</v>
      </c>
      <c r="J1295" s="2" t="s">
        <v>22</v>
      </c>
      <c r="K1295" s="2" t="s">
        <v>23</v>
      </c>
      <c r="L1295" s="2" t="s">
        <v>4320</v>
      </c>
      <c r="M1295" s="7" t="s">
        <v>4321</v>
      </c>
      <c r="N1295" s="7" t="s">
        <v>4322</v>
      </c>
      <c r="O1295" s="2"/>
      <c r="P1295" s="2"/>
      <c r="Q1295" s="2" t="str">
        <f>IF(SUMPRODUCT(--ISNUMBER(SEARCH('National Domains'!$A$2:$A$48,L1295)))&gt;0,"Yes","No")</f>
        <v>No</v>
      </c>
      <c r="R1295" s="2" t="str">
        <f>IF(COUNTIFS(Calibration!$A:$A,A1295,Calibration!$B:$B,B1295)&gt;0,"Yes","No")</f>
        <v>No</v>
      </c>
      <c r="S1295" s="6"/>
    </row>
    <row r="1296" spans="1:19" ht="34.5" customHeight="1" x14ac:dyDescent="0.2">
      <c r="A1296" s="2">
        <v>256</v>
      </c>
      <c r="B1296" s="2">
        <v>4</v>
      </c>
      <c r="C1296" s="2" t="s">
        <v>429</v>
      </c>
      <c r="D1296" s="2" t="s">
        <v>21</v>
      </c>
      <c r="E1296" s="2">
        <v>20220401</v>
      </c>
      <c r="F1296" s="2">
        <v>20221130</v>
      </c>
      <c r="G1296" s="2">
        <v>3296.6</v>
      </c>
      <c r="H1296" s="2">
        <v>3110</v>
      </c>
      <c r="I1296" s="2">
        <v>17</v>
      </c>
      <c r="J1296" s="2" t="s">
        <v>22</v>
      </c>
      <c r="K1296" s="2" t="s">
        <v>23</v>
      </c>
      <c r="L1296" s="2" t="s">
        <v>4323</v>
      </c>
      <c r="M1296" s="7" t="s">
        <v>4324</v>
      </c>
      <c r="N1296" s="7" t="s">
        <v>4325</v>
      </c>
      <c r="O1296" s="2"/>
      <c r="P1296" s="2"/>
      <c r="Q1296" s="2" t="str">
        <f>IF(SUMPRODUCT(--ISNUMBER(SEARCH('National Domains'!$A$2:$A$48,L1296)))&gt;0,"Yes","No")</f>
        <v>Yes</v>
      </c>
      <c r="R1296" s="2" t="str">
        <f>IF(COUNTIFS(Calibration!$A:$A,A1296,Calibration!$B:$B,B1296)&gt;0,"Yes","No")</f>
        <v>No</v>
      </c>
      <c r="S1296" s="6"/>
    </row>
    <row r="1297" spans="1:19" ht="34.5" customHeight="1" x14ac:dyDescent="0.2">
      <c r="A1297" s="2">
        <v>256</v>
      </c>
      <c r="B1297" s="2">
        <v>5</v>
      </c>
      <c r="C1297" s="2" t="s">
        <v>429</v>
      </c>
      <c r="D1297" s="2" t="s">
        <v>21</v>
      </c>
      <c r="E1297" s="2">
        <v>20220401</v>
      </c>
      <c r="F1297" s="2">
        <v>20221130</v>
      </c>
      <c r="G1297" s="2">
        <v>3296.6</v>
      </c>
      <c r="H1297" s="2">
        <v>3110</v>
      </c>
      <c r="I1297" s="2">
        <v>17</v>
      </c>
      <c r="J1297" s="2" t="s">
        <v>22</v>
      </c>
      <c r="K1297" s="2" t="s">
        <v>23</v>
      </c>
      <c r="L1297" s="2" t="s">
        <v>4326</v>
      </c>
      <c r="M1297" s="7" t="s">
        <v>4327</v>
      </c>
      <c r="N1297" s="7" t="s">
        <v>4328</v>
      </c>
      <c r="O1297" s="2"/>
      <c r="P1297" s="2"/>
      <c r="Q1297" s="2" t="str">
        <f>IF(SUMPRODUCT(--ISNUMBER(SEARCH('National Domains'!$A$2:$A$48,L1297)))&gt;0,"Yes","No")</f>
        <v>Yes</v>
      </c>
      <c r="R1297" s="2" t="str">
        <f>IF(COUNTIFS(Calibration!$A:$A,A1297,Calibration!$B:$B,B1297)&gt;0,"Yes","No")</f>
        <v>No</v>
      </c>
      <c r="S1297" s="6"/>
    </row>
    <row r="1298" spans="1:19" ht="34.5" customHeight="1" x14ac:dyDescent="0.2">
      <c r="A1298" s="2">
        <v>256</v>
      </c>
      <c r="B1298" s="2">
        <v>6</v>
      </c>
      <c r="C1298" s="2" t="s">
        <v>429</v>
      </c>
      <c r="D1298" s="2" t="s">
        <v>21</v>
      </c>
      <c r="E1298" s="2">
        <v>20220401</v>
      </c>
      <c r="F1298" s="2">
        <v>20221130</v>
      </c>
      <c r="G1298" s="2">
        <v>3296.6</v>
      </c>
      <c r="H1298" s="2">
        <v>3110</v>
      </c>
      <c r="I1298" s="2">
        <v>17</v>
      </c>
      <c r="J1298" s="2" t="s">
        <v>22</v>
      </c>
      <c r="K1298" s="2" t="s">
        <v>23</v>
      </c>
      <c r="L1298" s="2" t="s">
        <v>4329</v>
      </c>
      <c r="M1298" s="7" t="s">
        <v>4330</v>
      </c>
      <c r="N1298" s="7" t="s">
        <v>4322</v>
      </c>
      <c r="O1298" s="2"/>
      <c r="P1298" s="2"/>
      <c r="Q1298" s="2" t="str">
        <f>IF(SUMPRODUCT(--ISNUMBER(SEARCH('National Domains'!$A$2:$A$48,L1298)))&gt;0,"Yes","No")</f>
        <v>Yes</v>
      </c>
      <c r="R1298" s="2" t="str">
        <f>IF(COUNTIFS(Calibration!$A:$A,A1298,Calibration!$B:$B,B1298)&gt;0,"Yes","No")</f>
        <v>No</v>
      </c>
      <c r="S1298" s="6"/>
    </row>
    <row r="1299" spans="1:19" ht="34.5" customHeight="1" x14ac:dyDescent="0.2">
      <c r="A1299" s="2">
        <v>256</v>
      </c>
      <c r="B1299" s="2">
        <v>7</v>
      </c>
      <c r="C1299" s="2" t="s">
        <v>429</v>
      </c>
      <c r="D1299" s="2" t="s">
        <v>21</v>
      </c>
      <c r="E1299" s="2">
        <v>20220401</v>
      </c>
      <c r="F1299" s="2">
        <v>20221130</v>
      </c>
      <c r="G1299" s="2">
        <v>3296.6</v>
      </c>
      <c r="H1299" s="2">
        <v>3110</v>
      </c>
      <c r="I1299" s="2">
        <v>17</v>
      </c>
      <c r="J1299" s="2" t="s">
        <v>22</v>
      </c>
      <c r="K1299" s="2" t="s">
        <v>23</v>
      </c>
      <c r="L1299" s="2" t="s">
        <v>4331</v>
      </c>
      <c r="M1299" s="7" t="s">
        <v>4332</v>
      </c>
      <c r="N1299" s="7" t="s">
        <v>4333</v>
      </c>
      <c r="O1299" s="2"/>
      <c r="P1299" s="2"/>
      <c r="Q1299" s="2" t="str">
        <f>IF(SUMPRODUCT(--ISNUMBER(SEARCH('National Domains'!$A$2:$A$48,L1299)))&gt;0,"Yes","No")</f>
        <v>Yes</v>
      </c>
      <c r="R1299" s="2" t="str">
        <f>IF(COUNTIFS(Calibration!$A:$A,A1299,Calibration!$B:$B,B1299)&gt;0,"Yes","No")</f>
        <v>No</v>
      </c>
      <c r="S1299" s="6"/>
    </row>
    <row r="1300" spans="1:19" ht="34.5" customHeight="1" x14ac:dyDescent="0.2">
      <c r="A1300" s="2">
        <v>256</v>
      </c>
      <c r="B1300" s="2">
        <v>8</v>
      </c>
      <c r="C1300" s="2" t="s">
        <v>429</v>
      </c>
      <c r="D1300" s="2" t="s">
        <v>21</v>
      </c>
      <c r="E1300" s="2">
        <v>20220401</v>
      </c>
      <c r="F1300" s="2">
        <v>20221130</v>
      </c>
      <c r="G1300" s="2">
        <v>3296.6</v>
      </c>
      <c r="H1300" s="2">
        <v>3110</v>
      </c>
      <c r="I1300" s="2">
        <v>17</v>
      </c>
      <c r="J1300" s="2" t="s">
        <v>22</v>
      </c>
      <c r="K1300" s="2" t="s">
        <v>23</v>
      </c>
      <c r="L1300" s="2" t="s">
        <v>4334</v>
      </c>
      <c r="M1300" s="7" t="s">
        <v>4335</v>
      </c>
      <c r="N1300" s="7" t="s">
        <v>4336</v>
      </c>
      <c r="O1300" s="2"/>
      <c r="P1300" s="2"/>
      <c r="Q1300" s="2" t="str">
        <f>IF(SUMPRODUCT(--ISNUMBER(SEARCH('National Domains'!$A$2:$A$48,L1300)))&gt;0,"Yes","No")</f>
        <v>Yes</v>
      </c>
      <c r="R1300" s="2" t="str">
        <f>IF(COUNTIFS(Calibration!$A:$A,A1300,Calibration!$B:$B,B1300)&gt;0,"Yes","No")</f>
        <v>No</v>
      </c>
      <c r="S1300" s="6"/>
    </row>
    <row r="1301" spans="1:19" ht="34.5" customHeight="1" x14ac:dyDescent="0.2">
      <c r="A1301" s="2">
        <v>256</v>
      </c>
      <c r="B1301" s="2">
        <v>9</v>
      </c>
      <c r="C1301" s="2" t="s">
        <v>429</v>
      </c>
      <c r="D1301" s="2" t="s">
        <v>21</v>
      </c>
      <c r="E1301" s="2">
        <v>20220401</v>
      </c>
      <c r="F1301" s="2">
        <v>20221130</v>
      </c>
      <c r="G1301" s="2">
        <v>3296.6</v>
      </c>
      <c r="H1301" s="2">
        <v>3110</v>
      </c>
      <c r="I1301" s="2">
        <v>17</v>
      </c>
      <c r="J1301" s="2" t="s">
        <v>22</v>
      </c>
      <c r="K1301" s="2" t="s">
        <v>23</v>
      </c>
      <c r="L1301" s="2" t="s">
        <v>4337</v>
      </c>
      <c r="M1301" s="7" t="s">
        <v>4338</v>
      </c>
      <c r="N1301" s="7" t="s">
        <v>4339</v>
      </c>
      <c r="O1301" s="2"/>
      <c r="P1301" s="2"/>
      <c r="Q1301" s="2" t="str">
        <f>IF(SUMPRODUCT(--ISNUMBER(SEARCH('National Domains'!$A$2:$A$48,L1301)))&gt;0,"Yes","No")</f>
        <v>No</v>
      </c>
      <c r="R1301" s="2" t="str">
        <f>IF(COUNTIFS(Calibration!$A:$A,A1301,Calibration!$B:$B,B1301)&gt;0,"Yes","No")</f>
        <v>No</v>
      </c>
      <c r="S1301" s="6"/>
    </row>
    <row r="1302" spans="1:19" ht="34.5" customHeight="1" x14ac:dyDescent="0.2">
      <c r="A1302" s="2">
        <v>256</v>
      </c>
      <c r="B1302" s="2">
        <v>10</v>
      </c>
      <c r="C1302" s="2" t="s">
        <v>429</v>
      </c>
      <c r="D1302" s="2" t="s">
        <v>21</v>
      </c>
      <c r="E1302" s="2">
        <v>20220401</v>
      </c>
      <c r="F1302" s="2">
        <v>20221130</v>
      </c>
      <c r="G1302" s="2">
        <v>3296.6</v>
      </c>
      <c r="H1302" s="2">
        <v>3110</v>
      </c>
      <c r="I1302" s="2">
        <v>17</v>
      </c>
      <c r="J1302" s="2" t="s">
        <v>22</v>
      </c>
      <c r="K1302" s="2" t="s">
        <v>23</v>
      </c>
      <c r="L1302" s="2" t="s">
        <v>4340</v>
      </c>
      <c r="M1302" s="7" t="s">
        <v>4341</v>
      </c>
      <c r="N1302" s="7" t="s">
        <v>4342</v>
      </c>
      <c r="O1302" s="2"/>
      <c r="P1302" s="2"/>
      <c r="Q1302" s="2" t="str">
        <f>IF(SUMPRODUCT(--ISNUMBER(SEARCH('National Domains'!$A$2:$A$48,L1302)))&gt;0,"Yes","No")</f>
        <v>Yes</v>
      </c>
      <c r="R1302" s="2" t="str">
        <f>IF(COUNTIFS(Calibration!$A:$A,A1302,Calibration!$B:$B,B1302)&gt;0,"Yes","No")</f>
        <v>No</v>
      </c>
      <c r="S1302" s="6"/>
    </row>
    <row r="1303" spans="1:19" ht="34.5" customHeight="1" x14ac:dyDescent="0.2">
      <c r="A1303" s="2">
        <v>256</v>
      </c>
      <c r="B1303" s="2">
        <v>11</v>
      </c>
      <c r="C1303" s="2" t="s">
        <v>429</v>
      </c>
      <c r="D1303" s="2" t="s">
        <v>21</v>
      </c>
      <c r="E1303" s="2">
        <v>20220401</v>
      </c>
      <c r="F1303" s="2">
        <v>20221130</v>
      </c>
      <c r="G1303" s="2">
        <v>3296.6</v>
      </c>
      <c r="H1303" s="2">
        <v>3110</v>
      </c>
      <c r="I1303" s="2">
        <v>17</v>
      </c>
      <c r="J1303" s="2" t="s">
        <v>22</v>
      </c>
      <c r="K1303" s="2" t="s">
        <v>23</v>
      </c>
      <c r="L1303" s="2" t="s">
        <v>4343</v>
      </c>
      <c r="M1303" s="7" t="s">
        <v>4344</v>
      </c>
      <c r="N1303" s="7" t="s">
        <v>4345</v>
      </c>
      <c r="O1303" s="2"/>
      <c r="P1303" s="2"/>
      <c r="Q1303" s="2" t="str">
        <f>IF(SUMPRODUCT(--ISNUMBER(SEARCH('National Domains'!$A$2:$A$48,L1303)))&gt;0,"Yes","No")</f>
        <v>No</v>
      </c>
      <c r="R1303" s="2" t="str">
        <f>IF(COUNTIFS(Calibration!$A:$A,A1303,Calibration!$B:$B,B1303)&gt;0,"Yes","No")</f>
        <v>No</v>
      </c>
      <c r="S1303" s="6"/>
    </row>
    <row r="1304" spans="1:19" ht="34.5" customHeight="1" x14ac:dyDescent="0.2">
      <c r="A1304" s="2">
        <v>256</v>
      </c>
      <c r="B1304" s="2">
        <v>12</v>
      </c>
      <c r="C1304" s="2" t="s">
        <v>429</v>
      </c>
      <c r="D1304" s="2" t="s">
        <v>21</v>
      </c>
      <c r="E1304" s="2">
        <v>20220401</v>
      </c>
      <c r="F1304" s="2">
        <v>20221130</v>
      </c>
      <c r="G1304" s="2">
        <v>3296.6</v>
      </c>
      <c r="H1304" s="2">
        <v>3110</v>
      </c>
      <c r="I1304" s="2">
        <v>17</v>
      </c>
      <c r="J1304" s="2" t="s">
        <v>22</v>
      </c>
      <c r="K1304" s="2" t="s">
        <v>23</v>
      </c>
      <c r="L1304" s="2" t="s">
        <v>4346</v>
      </c>
      <c r="M1304" s="7" t="s">
        <v>4347</v>
      </c>
      <c r="N1304" s="7" t="s">
        <v>4348</v>
      </c>
      <c r="O1304" s="2"/>
      <c r="P1304" s="2"/>
      <c r="Q1304" s="2" t="str">
        <f>IF(SUMPRODUCT(--ISNUMBER(SEARCH('National Domains'!$A$2:$A$48,L1304)))&gt;0,"Yes","No")</f>
        <v>No</v>
      </c>
      <c r="R1304" s="2" t="str">
        <f>IF(COUNTIFS(Calibration!$A:$A,A1304,Calibration!$B:$B,B1304)&gt;0,"Yes","No")</f>
        <v>No</v>
      </c>
      <c r="S1304" s="6"/>
    </row>
    <row r="1305" spans="1:19" ht="34.5" customHeight="1" x14ac:dyDescent="0.2">
      <c r="A1305" s="2">
        <v>256</v>
      </c>
      <c r="B1305" s="2">
        <v>13</v>
      </c>
      <c r="C1305" s="2" t="s">
        <v>429</v>
      </c>
      <c r="D1305" s="2" t="s">
        <v>21</v>
      </c>
      <c r="E1305" s="2">
        <v>20220401</v>
      </c>
      <c r="F1305" s="2">
        <v>20221130</v>
      </c>
      <c r="G1305" s="2">
        <v>3296.6</v>
      </c>
      <c r="H1305" s="2">
        <v>3110</v>
      </c>
      <c r="I1305" s="2">
        <v>17</v>
      </c>
      <c r="J1305" s="2" t="s">
        <v>22</v>
      </c>
      <c r="K1305" s="2" t="s">
        <v>23</v>
      </c>
      <c r="L1305" s="2" t="s">
        <v>4349</v>
      </c>
      <c r="M1305" s="7" t="s">
        <v>4350</v>
      </c>
      <c r="N1305" s="7" t="s">
        <v>4351</v>
      </c>
      <c r="O1305" s="2"/>
      <c r="P1305" s="2"/>
      <c r="Q1305" s="2" t="str">
        <f>IF(SUMPRODUCT(--ISNUMBER(SEARCH('National Domains'!$A$2:$A$48,L1305)))&gt;0,"Yes","No")</f>
        <v>No</v>
      </c>
      <c r="R1305" s="2" t="str">
        <f>IF(COUNTIFS(Calibration!$A:$A,A1305,Calibration!$B:$B,B1305)&gt;0,"Yes","No")</f>
        <v>No</v>
      </c>
      <c r="S1305" s="6"/>
    </row>
    <row r="1306" spans="1:19" ht="34.5" customHeight="1" x14ac:dyDescent="0.2">
      <c r="A1306" s="2">
        <v>256</v>
      </c>
      <c r="B1306" s="2">
        <v>14</v>
      </c>
      <c r="C1306" s="2" t="s">
        <v>429</v>
      </c>
      <c r="D1306" s="2" t="s">
        <v>21</v>
      </c>
      <c r="E1306" s="2">
        <v>20220401</v>
      </c>
      <c r="F1306" s="2">
        <v>20221130</v>
      </c>
      <c r="G1306" s="2">
        <v>3296.6</v>
      </c>
      <c r="H1306" s="2">
        <v>3110</v>
      </c>
      <c r="I1306" s="2">
        <v>17</v>
      </c>
      <c r="J1306" s="2" t="s">
        <v>22</v>
      </c>
      <c r="K1306" s="2" t="s">
        <v>23</v>
      </c>
      <c r="L1306" s="2" t="s">
        <v>4352</v>
      </c>
      <c r="M1306" s="7" t="s">
        <v>4353</v>
      </c>
      <c r="N1306" s="7" t="s">
        <v>4354</v>
      </c>
      <c r="O1306" s="2"/>
      <c r="P1306" s="2"/>
      <c r="Q1306" s="2" t="str">
        <f>IF(SUMPRODUCT(--ISNUMBER(SEARCH('National Domains'!$A$2:$A$48,L1306)))&gt;0,"Yes","No")</f>
        <v>No</v>
      </c>
      <c r="R1306" s="2" t="str">
        <f>IF(COUNTIFS(Calibration!$A:$A,A1306,Calibration!$B:$B,B1306)&gt;0,"Yes","No")</f>
        <v>No</v>
      </c>
      <c r="S1306" s="6"/>
    </row>
    <row r="1307" spans="1:19" ht="34.5" customHeight="1" x14ac:dyDescent="0.2">
      <c r="A1307" s="2">
        <v>256</v>
      </c>
      <c r="B1307" s="2">
        <v>15</v>
      </c>
      <c r="C1307" s="2" t="s">
        <v>429</v>
      </c>
      <c r="D1307" s="2" t="s">
        <v>21</v>
      </c>
      <c r="E1307" s="2">
        <v>20220401</v>
      </c>
      <c r="F1307" s="2">
        <v>20221130</v>
      </c>
      <c r="G1307" s="2">
        <v>3296.6</v>
      </c>
      <c r="H1307" s="2">
        <v>3110</v>
      </c>
      <c r="I1307" s="2">
        <v>17</v>
      </c>
      <c r="J1307" s="2" t="s">
        <v>22</v>
      </c>
      <c r="K1307" s="2" t="s">
        <v>23</v>
      </c>
      <c r="L1307" s="2" t="s">
        <v>4355</v>
      </c>
      <c r="M1307" s="7" t="s">
        <v>4356</v>
      </c>
      <c r="N1307" s="7" t="s">
        <v>4357</v>
      </c>
      <c r="O1307" s="2"/>
      <c r="P1307" s="2"/>
      <c r="Q1307" s="2" t="str">
        <f>IF(SUMPRODUCT(--ISNUMBER(SEARCH('National Domains'!$A$2:$A$48,L1307)))&gt;0,"Yes","No")</f>
        <v>Yes</v>
      </c>
      <c r="R1307" s="2" t="str">
        <f>IF(COUNTIFS(Calibration!$A:$A,A1307,Calibration!$B:$B,B1307)&gt;0,"Yes","No")</f>
        <v>No</v>
      </c>
      <c r="S1307" s="6"/>
    </row>
    <row r="1308" spans="1:19" ht="23.25" customHeight="1" x14ac:dyDescent="0.2">
      <c r="A1308" s="2">
        <v>256</v>
      </c>
      <c r="B1308" s="2">
        <v>16</v>
      </c>
      <c r="C1308" s="2" t="s">
        <v>429</v>
      </c>
      <c r="D1308" s="2" t="s">
        <v>21</v>
      </c>
      <c r="E1308" s="2">
        <v>20220401</v>
      </c>
      <c r="F1308" s="2">
        <v>20221130</v>
      </c>
      <c r="G1308" s="2">
        <v>3296.6</v>
      </c>
      <c r="H1308" s="2">
        <v>3110</v>
      </c>
      <c r="I1308" s="2">
        <v>17</v>
      </c>
      <c r="J1308" s="2" t="s">
        <v>22</v>
      </c>
      <c r="K1308" s="2" t="s">
        <v>23</v>
      </c>
      <c r="L1308" s="2" t="s">
        <v>4358</v>
      </c>
      <c r="M1308" s="7" t="s">
        <v>4359</v>
      </c>
      <c r="N1308" s="7" t="s">
        <v>4360</v>
      </c>
      <c r="O1308" s="2"/>
      <c r="P1308" s="2"/>
      <c r="Q1308" s="2" t="str">
        <f>IF(SUMPRODUCT(--ISNUMBER(SEARCH('National Domains'!$A$2:$A$48,L1308)))&gt;0,"Yes","No")</f>
        <v>Yes</v>
      </c>
      <c r="R1308" s="2" t="str">
        <f>IF(COUNTIFS(Calibration!$A:$A,A1308,Calibration!$B:$B,B1308)&gt;0,"Yes","No")</f>
        <v>No</v>
      </c>
      <c r="S1308" s="6"/>
    </row>
    <row r="1309" spans="1:19" ht="23.25" customHeight="1" x14ac:dyDescent="0.2">
      <c r="A1309" s="2">
        <v>256</v>
      </c>
      <c r="B1309" s="2">
        <v>17</v>
      </c>
      <c r="C1309" s="2" t="s">
        <v>429</v>
      </c>
      <c r="D1309" s="2" t="s">
        <v>21</v>
      </c>
      <c r="E1309" s="2">
        <v>20220401</v>
      </c>
      <c r="F1309" s="2">
        <v>20221130</v>
      </c>
      <c r="G1309" s="2">
        <v>3296.6</v>
      </c>
      <c r="H1309" s="2">
        <v>3110</v>
      </c>
      <c r="I1309" s="2">
        <v>17</v>
      </c>
      <c r="J1309" s="2" t="s">
        <v>22</v>
      </c>
      <c r="K1309" s="2" t="s">
        <v>23</v>
      </c>
      <c r="L1309" s="2" t="s">
        <v>4361</v>
      </c>
      <c r="M1309" s="7" t="s">
        <v>4362</v>
      </c>
      <c r="N1309" s="7" t="s">
        <v>4363</v>
      </c>
      <c r="O1309" s="2"/>
      <c r="P1309" s="2"/>
      <c r="Q1309" s="2" t="str">
        <f>IF(SUMPRODUCT(--ISNUMBER(SEARCH('National Domains'!$A$2:$A$48,L1309)))&gt;0,"Yes","No")</f>
        <v>Yes</v>
      </c>
      <c r="R1309" s="2" t="str">
        <f>IF(COUNTIFS(Calibration!$A:$A,A1309,Calibration!$B:$B,B1309)&gt;0,"Yes","No")</f>
        <v>No</v>
      </c>
      <c r="S1309" s="6"/>
    </row>
    <row r="1310" spans="1:19" ht="34.5" customHeight="1" x14ac:dyDescent="0.2">
      <c r="A1310" s="2">
        <v>256</v>
      </c>
      <c r="B1310" s="2">
        <v>18</v>
      </c>
      <c r="C1310" s="2" t="s">
        <v>429</v>
      </c>
      <c r="D1310" s="2" t="s">
        <v>21</v>
      </c>
      <c r="E1310" s="2">
        <v>20220401</v>
      </c>
      <c r="F1310" s="2">
        <v>20221130</v>
      </c>
      <c r="G1310" s="2">
        <v>3296.6</v>
      </c>
      <c r="H1310" s="2">
        <v>3110</v>
      </c>
      <c r="I1310" s="2">
        <v>17</v>
      </c>
      <c r="J1310" s="2" t="s">
        <v>22</v>
      </c>
      <c r="K1310" s="2" t="s">
        <v>23</v>
      </c>
      <c r="L1310" s="2" t="s">
        <v>4364</v>
      </c>
      <c r="M1310" s="7" t="s">
        <v>4365</v>
      </c>
      <c r="N1310" s="7" t="s">
        <v>4366</v>
      </c>
      <c r="O1310" s="2"/>
      <c r="P1310" s="2"/>
      <c r="Q1310" s="2" t="str">
        <f>IF(SUMPRODUCT(--ISNUMBER(SEARCH('National Domains'!$A$2:$A$48,L1310)))&gt;0,"Yes","No")</f>
        <v>No</v>
      </c>
      <c r="R1310" s="2" t="str">
        <f>IF(COUNTIFS(Calibration!$A:$A,A1310,Calibration!$B:$B,B1310)&gt;0,"Yes","No")</f>
        <v>No</v>
      </c>
      <c r="S1310" s="6"/>
    </row>
    <row r="1311" spans="1:19" ht="34.5" customHeight="1" x14ac:dyDescent="0.2">
      <c r="A1311" s="2">
        <v>256</v>
      </c>
      <c r="B1311" s="2">
        <v>19</v>
      </c>
      <c r="C1311" s="2" t="s">
        <v>429</v>
      </c>
      <c r="D1311" s="2" t="s">
        <v>21</v>
      </c>
      <c r="E1311" s="2">
        <v>20220401</v>
      </c>
      <c r="F1311" s="2">
        <v>20221130</v>
      </c>
      <c r="G1311" s="2">
        <v>3296.6</v>
      </c>
      <c r="H1311" s="2">
        <v>3110</v>
      </c>
      <c r="I1311" s="2">
        <v>17</v>
      </c>
      <c r="J1311" s="2" t="s">
        <v>22</v>
      </c>
      <c r="K1311" s="2" t="s">
        <v>23</v>
      </c>
      <c r="L1311" s="2" t="s">
        <v>4367</v>
      </c>
      <c r="M1311" s="7" t="s">
        <v>4368</v>
      </c>
      <c r="N1311" s="7" t="s">
        <v>4369</v>
      </c>
      <c r="O1311" s="2"/>
      <c r="P1311" s="2"/>
      <c r="Q1311" s="2" t="str">
        <f>IF(SUMPRODUCT(--ISNUMBER(SEARCH('National Domains'!$A$2:$A$48,L1311)))&gt;0,"Yes","No")</f>
        <v>Yes</v>
      </c>
      <c r="R1311" s="2" t="str">
        <f>IF(COUNTIFS(Calibration!$A:$A,A1311,Calibration!$B:$B,B1311)&gt;0,"Yes","No")</f>
        <v>No</v>
      </c>
      <c r="S1311" s="6"/>
    </row>
    <row r="1312" spans="1:19" ht="34.5" customHeight="1" x14ac:dyDescent="0.2">
      <c r="A1312" s="2">
        <v>257</v>
      </c>
      <c r="B1312" s="2">
        <v>1</v>
      </c>
      <c r="C1312" s="2" t="s">
        <v>430</v>
      </c>
      <c r="D1312" s="2" t="s">
        <v>13</v>
      </c>
      <c r="E1312" s="2">
        <v>20221221</v>
      </c>
      <c r="F1312" s="2">
        <v>20221226</v>
      </c>
      <c r="G1312" s="2">
        <v>8951.7000000000007</v>
      </c>
      <c r="H1312" s="2">
        <v>8445</v>
      </c>
      <c r="I1312" s="2">
        <v>87</v>
      </c>
      <c r="J1312" s="2" t="s">
        <v>250</v>
      </c>
      <c r="K1312" s="2" t="s">
        <v>251</v>
      </c>
      <c r="L1312" s="2" t="s">
        <v>4370</v>
      </c>
      <c r="M1312" s="7" t="s">
        <v>4371</v>
      </c>
      <c r="N1312" s="7" t="s">
        <v>4372</v>
      </c>
      <c r="O1312" s="2"/>
      <c r="P1312" s="2"/>
      <c r="Q1312" s="2" t="str">
        <f>IF(SUMPRODUCT(--ISNUMBER(SEARCH('National Domains'!$A$2:$A$48,L1312)))&gt;0,"Yes","No")</f>
        <v>No</v>
      </c>
      <c r="R1312" s="2" t="str">
        <f>IF(COUNTIFS(Calibration!$A:$A,A1312,Calibration!$B:$B,B1312)&gt;0,"Yes","No")</f>
        <v>No</v>
      </c>
      <c r="S1312" s="6"/>
    </row>
    <row r="1313" spans="1:19" ht="34.5" customHeight="1" x14ac:dyDescent="0.2">
      <c r="A1313" s="2">
        <v>257</v>
      </c>
      <c r="B1313" s="2">
        <v>2</v>
      </c>
      <c r="C1313" s="2" t="s">
        <v>430</v>
      </c>
      <c r="D1313" s="2" t="s">
        <v>13</v>
      </c>
      <c r="E1313" s="2">
        <v>20221221</v>
      </c>
      <c r="F1313" s="2">
        <v>20221226</v>
      </c>
      <c r="G1313" s="2">
        <v>8951.7000000000007</v>
      </c>
      <c r="H1313" s="2">
        <v>8445</v>
      </c>
      <c r="I1313" s="2">
        <v>87</v>
      </c>
      <c r="J1313" s="2" t="s">
        <v>250</v>
      </c>
      <c r="K1313" s="2" t="s">
        <v>251</v>
      </c>
      <c r="L1313" s="2" t="s">
        <v>4373</v>
      </c>
      <c r="M1313" s="7" t="s">
        <v>4374</v>
      </c>
      <c r="N1313" s="7" t="s">
        <v>4375</v>
      </c>
      <c r="O1313" s="2"/>
      <c r="P1313" s="2"/>
      <c r="Q1313" s="2" t="str">
        <f>IF(SUMPRODUCT(--ISNUMBER(SEARCH('National Domains'!$A$2:$A$48,L1313)))&gt;0,"Yes","No")</f>
        <v>No</v>
      </c>
      <c r="R1313" s="2" t="str">
        <f>IF(COUNTIFS(Calibration!$A:$A,A1313,Calibration!$B:$B,B1313)&gt;0,"Yes","No")</f>
        <v>No</v>
      </c>
      <c r="S1313" s="6"/>
    </row>
    <row r="1314" spans="1:19" ht="34.5" customHeight="1" x14ac:dyDescent="0.2">
      <c r="A1314" s="2">
        <v>257</v>
      </c>
      <c r="B1314" s="2">
        <v>3</v>
      </c>
      <c r="C1314" s="2" t="s">
        <v>430</v>
      </c>
      <c r="D1314" s="2" t="s">
        <v>13</v>
      </c>
      <c r="E1314" s="2">
        <v>20221221</v>
      </c>
      <c r="F1314" s="2">
        <v>20221226</v>
      </c>
      <c r="G1314" s="2">
        <v>8951.7000000000007</v>
      </c>
      <c r="H1314" s="2">
        <v>8445</v>
      </c>
      <c r="I1314" s="2">
        <v>87</v>
      </c>
      <c r="J1314" s="2" t="s">
        <v>250</v>
      </c>
      <c r="K1314" s="2" t="s">
        <v>251</v>
      </c>
      <c r="L1314" s="2" t="s">
        <v>4376</v>
      </c>
      <c r="M1314" s="7" t="s">
        <v>4377</v>
      </c>
      <c r="N1314" s="7" t="s">
        <v>4378</v>
      </c>
      <c r="O1314" s="2"/>
      <c r="P1314" s="2"/>
      <c r="Q1314" s="2" t="str">
        <f>IF(SUMPRODUCT(--ISNUMBER(SEARCH('National Domains'!$A$2:$A$48,L1314)))&gt;0,"Yes","No")</f>
        <v>No</v>
      </c>
      <c r="R1314" s="2" t="str">
        <f>IF(COUNTIFS(Calibration!$A:$A,A1314,Calibration!$B:$B,B1314)&gt;0,"Yes","No")</f>
        <v>No</v>
      </c>
      <c r="S1314" s="6"/>
    </row>
    <row r="1315" spans="1:19" ht="34.5" customHeight="1" x14ac:dyDescent="0.2">
      <c r="A1315" s="2">
        <v>257</v>
      </c>
      <c r="B1315" s="2">
        <v>4</v>
      </c>
      <c r="C1315" s="2" t="s">
        <v>430</v>
      </c>
      <c r="D1315" s="2" t="s">
        <v>13</v>
      </c>
      <c r="E1315" s="2">
        <v>20221221</v>
      </c>
      <c r="F1315" s="2">
        <v>20221226</v>
      </c>
      <c r="G1315" s="2">
        <v>8951.7000000000007</v>
      </c>
      <c r="H1315" s="2">
        <v>8445</v>
      </c>
      <c r="I1315" s="2">
        <v>87</v>
      </c>
      <c r="J1315" s="2" t="s">
        <v>250</v>
      </c>
      <c r="K1315" s="2" t="s">
        <v>251</v>
      </c>
      <c r="L1315" s="2" t="s">
        <v>4379</v>
      </c>
      <c r="M1315" s="7" t="s">
        <v>4380</v>
      </c>
      <c r="N1315" s="7" t="s">
        <v>4381</v>
      </c>
      <c r="O1315" s="2"/>
      <c r="P1315" s="2"/>
      <c r="Q1315" s="2" t="str">
        <f>IF(SUMPRODUCT(--ISNUMBER(SEARCH('National Domains'!$A$2:$A$48,L1315)))&gt;0,"Yes","No")</f>
        <v>Yes</v>
      </c>
      <c r="R1315" s="2" t="str">
        <f>IF(COUNTIFS(Calibration!$A:$A,A1315,Calibration!$B:$B,B1315)&gt;0,"Yes","No")</f>
        <v>No</v>
      </c>
      <c r="S1315" s="6"/>
    </row>
    <row r="1316" spans="1:19" ht="34.5" customHeight="1" x14ac:dyDescent="0.2">
      <c r="A1316" s="2">
        <v>257</v>
      </c>
      <c r="B1316" s="2">
        <v>5</v>
      </c>
      <c r="C1316" s="2" t="s">
        <v>430</v>
      </c>
      <c r="D1316" s="2" t="s">
        <v>13</v>
      </c>
      <c r="E1316" s="2">
        <v>20221221</v>
      </c>
      <c r="F1316" s="2">
        <v>20221226</v>
      </c>
      <c r="G1316" s="2">
        <v>8951.7000000000007</v>
      </c>
      <c r="H1316" s="2">
        <v>8445</v>
      </c>
      <c r="I1316" s="2">
        <v>87</v>
      </c>
      <c r="J1316" s="2" t="s">
        <v>250</v>
      </c>
      <c r="K1316" s="2" t="s">
        <v>251</v>
      </c>
      <c r="L1316" s="2" t="s">
        <v>4382</v>
      </c>
      <c r="M1316" s="7" t="s">
        <v>4383</v>
      </c>
      <c r="N1316" s="7" t="s">
        <v>4384</v>
      </c>
      <c r="O1316" s="2"/>
      <c r="P1316" s="2"/>
      <c r="Q1316" s="2" t="str">
        <f>IF(SUMPRODUCT(--ISNUMBER(SEARCH('National Domains'!$A$2:$A$48,L1316)))&gt;0,"Yes","No")</f>
        <v>Yes</v>
      </c>
      <c r="R1316" s="2" t="str">
        <f>IF(COUNTIFS(Calibration!$A:$A,A1316,Calibration!$B:$B,B1316)&gt;0,"Yes","No")</f>
        <v>No</v>
      </c>
      <c r="S1316" s="6"/>
    </row>
    <row r="1317" spans="1:19" ht="34.5" customHeight="1" x14ac:dyDescent="0.2">
      <c r="A1317" s="2">
        <v>257</v>
      </c>
      <c r="B1317" s="2">
        <v>6</v>
      </c>
      <c r="C1317" s="2" t="s">
        <v>430</v>
      </c>
      <c r="D1317" s="2" t="s">
        <v>13</v>
      </c>
      <c r="E1317" s="2">
        <v>20221221</v>
      </c>
      <c r="F1317" s="2">
        <v>20221226</v>
      </c>
      <c r="G1317" s="2">
        <v>8951.7000000000007</v>
      </c>
      <c r="H1317" s="2">
        <v>8445</v>
      </c>
      <c r="I1317" s="2">
        <v>87</v>
      </c>
      <c r="J1317" s="2" t="s">
        <v>250</v>
      </c>
      <c r="K1317" s="2" t="s">
        <v>251</v>
      </c>
      <c r="L1317" s="2" t="s">
        <v>4385</v>
      </c>
      <c r="M1317" s="7" t="s">
        <v>4386</v>
      </c>
      <c r="N1317" s="7" t="s">
        <v>4387</v>
      </c>
      <c r="O1317" s="2"/>
      <c r="P1317" s="2"/>
      <c r="Q1317" s="2" t="str">
        <f>IF(SUMPRODUCT(--ISNUMBER(SEARCH('National Domains'!$A$2:$A$48,L1317)))&gt;0,"Yes","No")</f>
        <v>Yes</v>
      </c>
      <c r="R1317" s="2" t="str">
        <f>IF(COUNTIFS(Calibration!$A:$A,A1317,Calibration!$B:$B,B1317)&gt;0,"Yes","No")</f>
        <v>No</v>
      </c>
      <c r="S1317" s="6"/>
    </row>
    <row r="1318" spans="1:19" ht="34.5" customHeight="1" x14ac:dyDescent="0.2">
      <c r="A1318" s="2">
        <v>257</v>
      </c>
      <c r="B1318" s="2">
        <v>7</v>
      </c>
      <c r="C1318" s="2" t="s">
        <v>430</v>
      </c>
      <c r="D1318" s="2" t="s">
        <v>13</v>
      </c>
      <c r="E1318" s="2">
        <v>20221221</v>
      </c>
      <c r="F1318" s="2">
        <v>20221226</v>
      </c>
      <c r="G1318" s="2">
        <v>8951.7000000000007</v>
      </c>
      <c r="H1318" s="2">
        <v>8445</v>
      </c>
      <c r="I1318" s="2">
        <v>87</v>
      </c>
      <c r="J1318" s="2" t="s">
        <v>250</v>
      </c>
      <c r="K1318" s="2" t="s">
        <v>251</v>
      </c>
      <c r="L1318" s="2" t="s">
        <v>4388</v>
      </c>
      <c r="M1318" s="7" t="s">
        <v>4389</v>
      </c>
      <c r="N1318" s="7" t="s">
        <v>4390</v>
      </c>
      <c r="O1318" s="2"/>
      <c r="P1318" s="2"/>
      <c r="Q1318" s="2" t="str">
        <f>IF(SUMPRODUCT(--ISNUMBER(SEARCH('National Domains'!$A$2:$A$48,L1318)))&gt;0,"Yes","No")</f>
        <v>Yes</v>
      </c>
      <c r="R1318" s="2" t="str">
        <f>IF(COUNTIFS(Calibration!$A:$A,A1318,Calibration!$B:$B,B1318)&gt;0,"Yes","No")</f>
        <v>No</v>
      </c>
      <c r="S1318" s="6"/>
    </row>
    <row r="1319" spans="1:19" ht="34.5" customHeight="1" x14ac:dyDescent="0.2">
      <c r="A1319" s="2">
        <v>257</v>
      </c>
      <c r="B1319" s="2">
        <v>8</v>
      </c>
      <c r="C1319" s="2" t="s">
        <v>430</v>
      </c>
      <c r="D1319" s="2" t="s">
        <v>13</v>
      </c>
      <c r="E1319" s="2">
        <v>20221221</v>
      </c>
      <c r="F1319" s="2">
        <v>20221226</v>
      </c>
      <c r="G1319" s="2">
        <v>8951.7000000000007</v>
      </c>
      <c r="H1319" s="2">
        <v>8445</v>
      </c>
      <c r="I1319" s="2">
        <v>87</v>
      </c>
      <c r="J1319" s="2" t="s">
        <v>250</v>
      </c>
      <c r="K1319" s="2" t="s">
        <v>251</v>
      </c>
      <c r="L1319" s="2" t="s">
        <v>4391</v>
      </c>
      <c r="M1319" s="7" t="s">
        <v>4392</v>
      </c>
      <c r="N1319" s="7" t="s">
        <v>4393</v>
      </c>
      <c r="O1319" s="2"/>
      <c r="P1319" s="2"/>
      <c r="Q1319" s="2" t="str">
        <f>IF(SUMPRODUCT(--ISNUMBER(SEARCH('National Domains'!$A$2:$A$48,L1319)))&gt;0,"Yes","No")</f>
        <v>Yes</v>
      </c>
      <c r="R1319" s="2" t="str">
        <f>IF(COUNTIFS(Calibration!$A:$A,A1319,Calibration!$B:$B,B1319)&gt;0,"Yes","No")</f>
        <v>No</v>
      </c>
      <c r="S1319" s="6"/>
    </row>
    <row r="1320" spans="1:19" ht="34.5" customHeight="1" x14ac:dyDescent="0.2">
      <c r="A1320" s="2">
        <v>257</v>
      </c>
      <c r="B1320" s="2">
        <v>9</v>
      </c>
      <c r="C1320" s="2" t="s">
        <v>430</v>
      </c>
      <c r="D1320" s="2" t="s">
        <v>13</v>
      </c>
      <c r="E1320" s="2">
        <v>20221221</v>
      </c>
      <c r="F1320" s="2">
        <v>20221226</v>
      </c>
      <c r="G1320" s="2">
        <v>8951.7000000000007</v>
      </c>
      <c r="H1320" s="2">
        <v>8445</v>
      </c>
      <c r="I1320" s="2">
        <v>87</v>
      </c>
      <c r="J1320" s="2" t="s">
        <v>250</v>
      </c>
      <c r="K1320" s="2" t="s">
        <v>251</v>
      </c>
      <c r="L1320" s="2" t="s">
        <v>4394</v>
      </c>
      <c r="M1320" s="7" t="s">
        <v>4395</v>
      </c>
      <c r="N1320" s="7" t="s">
        <v>4396</v>
      </c>
      <c r="O1320" s="2"/>
      <c r="P1320" s="2"/>
      <c r="Q1320" s="2" t="str">
        <f>IF(SUMPRODUCT(--ISNUMBER(SEARCH('National Domains'!$A$2:$A$48,L1320)))&gt;0,"Yes","No")</f>
        <v>Yes</v>
      </c>
      <c r="R1320" s="2" t="str">
        <f>IF(COUNTIFS(Calibration!$A:$A,A1320,Calibration!$B:$B,B1320)&gt;0,"Yes","No")</f>
        <v>No</v>
      </c>
      <c r="S1320" s="6"/>
    </row>
    <row r="1321" spans="1:19" ht="34.5" customHeight="1" x14ac:dyDescent="0.2">
      <c r="A1321" s="2">
        <v>257</v>
      </c>
      <c r="B1321" s="2">
        <v>10</v>
      </c>
      <c r="C1321" s="2" t="s">
        <v>430</v>
      </c>
      <c r="D1321" s="2" t="s">
        <v>13</v>
      </c>
      <c r="E1321" s="2">
        <v>20221221</v>
      </c>
      <c r="F1321" s="2">
        <v>20221226</v>
      </c>
      <c r="G1321" s="2">
        <v>8951.7000000000007</v>
      </c>
      <c r="H1321" s="2">
        <v>8445</v>
      </c>
      <c r="I1321" s="2">
        <v>87</v>
      </c>
      <c r="J1321" s="2" t="s">
        <v>250</v>
      </c>
      <c r="K1321" s="2" t="s">
        <v>251</v>
      </c>
      <c r="L1321" s="2" t="s">
        <v>4397</v>
      </c>
      <c r="M1321" s="7" t="s">
        <v>4398</v>
      </c>
      <c r="N1321" s="7" t="s">
        <v>4399</v>
      </c>
      <c r="O1321" s="2"/>
      <c r="P1321" s="2"/>
      <c r="Q1321" s="2" t="str">
        <f>IF(SUMPRODUCT(--ISNUMBER(SEARCH('National Domains'!$A$2:$A$48,L1321)))&gt;0,"Yes","No")</f>
        <v>Yes</v>
      </c>
      <c r="R1321" s="2" t="str">
        <f>IF(COUNTIFS(Calibration!$A:$A,A1321,Calibration!$B:$B,B1321)&gt;0,"Yes","No")</f>
        <v>No</v>
      </c>
      <c r="S1321" s="6"/>
    </row>
    <row r="1322" spans="1:19" ht="34.5" customHeight="1" x14ac:dyDescent="0.2">
      <c r="A1322" s="2">
        <v>257</v>
      </c>
      <c r="B1322" s="2">
        <v>11</v>
      </c>
      <c r="C1322" s="2" t="s">
        <v>430</v>
      </c>
      <c r="D1322" s="2" t="s">
        <v>13</v>
      </c>
      <c r="E1322" s="2">
        <v>20221221</v>
      </c>
      <c r="F1322" s="2">
        <v>20221226</v>
      </c>
      <c r="G1322" s="2">
        <v>8951.7000000000007</v>
      </c>
      <c r="H1322" s="2">
        <v>8445</v>
      </c>
      <c r="I1322" s="2">
        <v>87</v>
      </c>
      <c r="J1322" s="2" t="s">
        <v>250</v>
      </c>
      <c r="K1322" s="2" t="s">
        <v>251</v>
      </c>
      <c r="L1322" s="2" t="s">
        <v>4400</v>
      </c>
      <c r="M1322" s="7" t="s">
        <v>4401</v>
      </c>
      <c r="N1322" s="7" t="s">
        <v>4402</v>
      </c>
      <c r="O1322" s="2"/>
      <c r="P1322" s="2"/>
      <c r="Q1322" s="2" t="str">
        <f>IF(SUMPRODUCT(--ISNUMBER(SEARCH('National Domains'!$A$2:$A$48,L1322)))&gt;0,"Yes","No")</f>
        <v>Yes</v>
      </c>
      <c r="R1322" s="2" t="str">
        <f>IF(COUNTIFS(Calibration!$A:$A,A1322,Calibration!$B:$B,B1322)&gt;0,"Yes","No")</f>
        <v>No</v>
      </c>
      <c r="S1322" s="6"/>
    </row>
    <row r="1323" spans="1:19" ht="23.25" customHeight="1" x14ac:dyDescent="0.2">
      <c r="A1323" s="2">
        <v>258</v>
      </c>
      <c r="B1323" s="2">
        <v>1</v>
      </c>
      <c r="C1323" s="2" t="s">
        <v>431</v>
      </c>
      <c r="D1323" s="2" t="s">
        <v>29</v>
      </c>
      <c r="E1323" s="2">
        <v>20220101</v>
      </c>
      <c r="F1323" s="2">
        <v>20221231</v>
      </c>
      <c r="G1323" s="2">
        <v>23480.6</v>
      </c>
      <c r="H1323" s="2">
        <v>20965</v>
      </c>
      <c r="I1323" s="2">
        <v>136</v>
      </c>
      <c r="J1323" s="2" t="s">
        <v>69</v>
      </c>
      <c r="K1323" s="2" t="s">
        <v>70</v>
      </c>
      <c r="L1323" s="2" t="s">
        <v>4403</v>
      </c>
      <c r="M1323" s="7" t="s">
        <v>4404</v>
      </c>
      <c r="N1323" s="7" t="s">
        <v>4405</v>
      </c>
      <c r="O1323" s="2"/>
      <c r="P1323" s="2"/>
      <c r="Q1323" s="2" t="str">
        <f>IF(SUMPRODUCT(--ISNUMBER(SEARCH('National Domains'!$A$2:$A$48,L1323)))&gt;0,"Yes","No")</f>
        <v>No</v>
      </c>
      <c r="R1323" s="2" t="str">
        <f>IF(COUNTIFS(Calibration!$A:$A,A1323,Calibration!$B:$B,B1323)&gt;0,"Yes","No")</f>
        <v>No</v>
      </c>
      <c r="S1323" s="6"/>
    </row>
    <row r="1324" spans="1:19" ht="34.5" customHeight="1" x14ac:dyDescent="0.2">
      <c r="A1324" s="2">
        <v>258</v>
      </c>
      <c r="B1324" s="2">
        <v>2</v>
      </c>
      <c r="C1324" s="2" t="s">
        <v>431</v>
      </c>
      <c r="D1324" s="2" t="s">
        <v>29</v>
      </c>
      <c r="E1324" s="2">
        <v>20220101</v>
      </c>
      <c r="F1324" s="2">
        <v>20221231</v>
      </c>
      <c r="G1324" s="2">
        <v>23480.6</v>
      </c>
      <c r="H1324" s="2">
        <v>20965</v>
      </c>
      <c r="I1324" s="2">
        <v>136</v>
      </c>
      <c r="J1324" s="2" t="s">
        <v>69</v>
      </c>
      <c r="K1324" s="2" t="s">
        <v>70</v>
      </c>
      <c r="L1324" s="2" t="s">
        <v>4406</v>
      </c>
      <c r="M1324" s="7" t="s">
        <v>4407</v>
      </c>
      <c r="N1324" s="7" t="s">
        <v>4408</v>
      </c>
      <c r="O1324" s="2"/>
      <c r="P1324" s="2"/>
      <c r="Q1324" s="2" t="str">
        <f>IF(SUMPRODUCT(--ISNUMBER(SEARCH('National Domains'!$A$2:$A$48,L1324)))&gt;0,"Yes","No")</f>
        <v>No</v>
      </c>
      <c r="R1324" s="2" t="str">
        <f>IF(COUNTIFS(Calibration!$A:$A,A1324,Calibration!$B:$B,B1324)&gt;0,"Yes","No")</f>
        <v>No</v>
      </c>
      <c r="S1324" s="6"/>
    </row>
    <row r="1325" spans="1:19" ht="34.5" customHeight="1" x14ac:dyDescent="0.2">
      <c r="A1325" s="4">
        <v>258</v>
      </c>
      <c r="B1325" s="4">
        <v>3</v>
      </c>
      <c r="C1325" s="4" t="s">
        <v>431</v>
      </c>
      <c r="D1325" s="4" t="s">
        <v>29</v>
      </c>
      <c r="E1325" s="4">
        <v>20220101</v>
      </c>
      <c r="F1325" s="4">
        <v>20221231</v>
      </c>
      <c r="G1325" s="4">
        <v>23480.6</v>
      </c>
      <c r="H1325" s="4">
        <v>20965</v>
      </c>
      <c r="I1325" s="4">
        <v>136</v>
      </c>
      <c r="J1325" s="4" t="s">
        <v>69</v>
      </c>
      <c r="K1325" s="4" t="s">
        <v>70</v>
      </c>
      <c r="L1325" s="4" t="s">
        <v>4409</v>
      </c>
      <c r="M1325" s="5" t="s">
        <v>4410</v>
      </c>
      <c r="N1325" s="5" t="s">
        <v>4411</v>
      </c>
      <c r="O1325" s="4"/>
      <c r="P1325" s="4"/>
      <c r="Q1325" s="4" t="str">
        <f>IF(SUMPRODUCT(--ISNUMBER(SEARCH('National Domains'!$A$2:$A$48,L1325)))&gt;0,"Yes","No")</f>
        <v>No</v>
      </c>
      <c r="R1325" s="4" t="str">
        <f>IF(COUNTIFS(Calibration!$A:$A,A1325,Calibration!$B:$B,B1325)&gt;0,"Yes","No")</f>
        <v>Yes</v>
      </c>
      <c r="S1325" s="6"/>
    </row>
    <row r="1326" spans="1:19" ht="34.5" customHeight="1" x14ac:dyDescent="0.2">
      <c r="A1326" s="2">
        <v>258</v>
      </c>
      <c r="B1326" s="2">
        <v>4</v>
      </c>
      <c r="C1326" s="2" t="s">
        <v>431</v>
      </c>
      <c r="D1326" s="2" t="s">
        <v>29</v>
      </c>
      <c r="E1326" s="2">
        <v>20220101</v>
      </c>
      <c r="F1326" s="2">
        <v>20221231</v>
      </c>
      <c r="G1326" s="2">
        <v>23480.6</v>
      </c>
      <c r="H1326" s="2">
        <v>20965</v>
      </c>
      <c r="I1326" s="2">
        <v>136</v>
      </c>
      <c r="J1326" s="2" t="s">
        <v>69</v>
      </c>
      <c r="K1326" s="2" t="s">
        <v>70</v>
      </c>
      <c r="L1326" s="2" t="s">
        <v>4412</v>
      </c>
      <c r="M1326" s="7" t="s">
        <v>4413</v>
      </c>
      <c r="N1326" s="7" t="s">
        <v>4414</v>
      </c>
      <c r="O1326" s="2"/>
      <c r="P1326" s="2"/>
      <c r="Q1326" s="2" t="str">
        <f>IF(SUMPRODUCT(--ISNUMBER(SEARCH('National Domains'!$A$2:$A$48,L1326)))&gt;0,"Yes","No")</f>
        <v>No</v>
      </c>
      <c r="R1326" s="2" t="str">
        <f>IF(COUNTIFS(Calibration!$A:$A,A1326,Calibration!$B:$B,B1326)&gt;0,"Yes","No")</f>
        <v>No</v>
      </c>
      <c r="S1326" s="6"/>
    </row>
    <row r="1327" spans="1:19" ht="34.5" customHeight="1" x14ac:dyDescent="0.2">
      <c r="A1327" s="2">
        <v>258</v>
      </c>
      <c r="B1327" s="2">
        <v>5</v>
      </c>
      <c r="C1327" s="2" t="s">
        <v>431</v>
      </c>
      <c r="D1327" s="2" t="s">
        <v>29</v>
      </c>
      <c r="E1327" s="2">
        <v>20220101</v>
      </c>
      <c r="F1327" s="2">
        <v>20221231</v>
      </c>
      <c r="G1327" s="2">
        <v>23480.6</v>
      </c>
      <c r="H1327" s="2">
        <v>20965</v>
      </c>
      <c r="I1327" s="2">
        <v>136</v>
      </c>
      <c r="J1327" s="2" t="s">
        <v>69</v>
      </c>
      <c r="K1327" s="2" t="s">
        <v>70</v>
      </c>
      <c r="L1327" s="2" t="s">
        <v>4415</v>
      </c>
      <c r="M1327" s="7" t="s">
        <v>4416</v>
      </c>
      <c r="N1327" s="7" t="s">
        <v>4417</v>
      </c>
      <c r="O1327" s="2"/>
      <c r="P1327" s="2"/>
      <c r="Q1327" s="2" t="str">
        <f>IF(SUMPRODUCT(--ISNUMBER(SEARCH('National Domains'!$A$2:$A$48,L1327)))&gt;0,"Yes","No")</f>
        <v>No</v>
      </c>
      <c r="R1327" s="2" t="str">
        <f>IF(COUNTIFS(Calibration!$A:$A,A1327,Calibration!$B:$B,B1327)&gt;0,"Yes","No")</f>
        <v>No</v>
      </c>
      <c r="S1327" s="6"/>
    </row>
    <row r="1328" spans="1:19" ht="34.5" customHeight="1" x14ac:dyDescent="0.2">
      <c r="A1328" s="2">
        <v>258</v>
      </c>
      <c r="B1328" s="2">
        <v>6</v>
      </c>
      <c r="C1328" s="2" t="s">
        <v>431</v>
      </c>
      <c r="D1328" s="2" t="s">
        <v>29</v>
      </c>
      <c r="E1328" s="2">
        <v>20220101</v>
      </c>
      <c r="F1328" s="2">
        <v>20221231</v>
      </c>
      <c r="G1328" s="2">
        <v>23480.6</v>
      </c>
      <c r="H1328" s="2">
        <v>20965</v>
      </c>
      <c r="I1328" s="2">
        <v>136</v>
      </c>
      <c r="J1328" s="2" t="s">
        <v>69</v>
      </c>
      <c r="K1328" s="2" t="s">
        <v>70</v>
      </c>
      <c r="L1328" s="2" t="s">
        <v>4418</v>
      </c>
      <c r="M1328" s="7" t="s">
        <v>4419</v>
      </c>
      <c r="N1328" s="7" t="s">
        <v>4420</v>
      </c>
      <c r="O1328" s="2"/>
      <c r="P1328" s="2"/>
      <c r="Q1328" s="2" t="str">
        <f>IF(SUMPRODUCT(--ISNUMBER(SEARCH('National Domains'!$A$2:$A$48,L1328)))&gt;0,"Yes","No")</f>
        <v>No</v>
      </c>
      <c r="R1328" s="2" t="str">
        <f>IF(COUNTIFS(Calibration!$A:$A,A1328,Calibration!$B:$B,B1328)&gt;0,"Yes","No")</f>
        <v>No</v>
      </c>
      <c r="S1328" s="6"/>
    </row>
    <row r="1329" spans="1:19" ht="34.5" customHeight="1" x14ac:dyDescent="0.2">
      <c r="A1329" s="2">
        <v>258</v>
      </c>
      <c r="B1329" s="2">
        <v>7</v>
      </c>
      <c r="C1329" s="2" t="s">
        <v>431</v>
      </c>
      <c r="D1329" s="2" t="s">
        <v>29</v>
      </c>
      <c r="E1329" s="2">
        <v>20220101</v>
      </c>
      <c r="F1329" s="2">
        <v>20221231</v>
      </c>
      <c r="G1329" s="2">
        <v>23480.6</v>
      </c>
      <c r="H1329" s="2">
        <v>20965</v>
      </c>
      <c r="I1329" s="2">
        <v>136</v>
      </c>
      <c r="J1329" s="2" t="s">
        <v>69</v>
      </c>
      <c r="K1329" s="2" t="s">
        <v>70</v>
      </c>
      <c r="L1329" s="2" t="s">
        <v>4421</v>
      </c>
      <c r="M1329" s="7" t="s">
        <v>4422</v>
      </c>
      <c r="N1329" s="7" t="s">
        <v>4423</v>
      </c>
      <c r="O1329" s="2"/>
      <c r="P1329" s="2"/>
      <c r="Q1329" s="2" t="str">
        <f>IF(SUMPRODUCT(--ISNUMBER(SEARCH('National Domains'!$A$2:$A$48,L1329)))&gt;0,"Yes","No")</f>
        <v>No</v>
      </c>
      <c r="R1329" s="2" t="str">
        <f>IF(COUNTIFS(Calibration!$A:$A,A1329,Calibration!$B:$B,B1329)&gt;0,"Yes","No")</f>
        <v>No</v>
      </c>
      <c r="S1329" s="6"/>
    </row>
    <row r="1330" spans="1:19" ht="34.5" customHeight="1" x14ac:dyDescent="0.2">
      <c r="A1330" s="2">
        <v>258</v>
      </c>
      <c r="B1330" s="2">
        <v>8</v>
      </c>
      <c r="C1330" s="2" t="s">
        <v>431</v>
      </c>
      <c r="D1330" s="2" t="s">
        <v>29</v>
      </c>
      <c r="E1330" s="2">
        <v>20220101</v>
      </c>
      <c r="F1330" s="2">
        <v>20221231</v>
      </c>
      <c r="G1330" s="2">
        <v>23480.6</v>
      </c>
      <c r="H1330" s="2">
        <v>20965</v>
      </c>
      <c r="I1330" s="2">
        <v>136</v>
      </c>
      <c r="J1330" s="2" t="s">
        <v>69</v>
      </c>
      <c r="K1330" s="2" t="s">
        <v>70</v>
      </c>
      <c r="L1330" s="2" t="s">
        <v>4424</v>
      </c>
      <c r="M1330" s="7" t="s">
        <v>4425</v>
      </c>
      <c r="N1330" s="7" t="s">
        <v>4426</v>
      </c>
      <c r="O1330" s="2"/>
      <c r="P1330" s="2"/>
      <c r="Q1330" s="2" t="str">
        <f>IF(SUMPRODUCT(--ISNUMBER(SEARCH('National Domains'!$A$2:$A$48,L1330)))&gt;0,"Yes","No")</f>
        <v>No</v>
      </c>
      <c r="R1330" s="2" t="str">
        <f>IF(COUNTIFS(Calibration!$A:$A,A1330,Calibration!$B:$B,B1330)&gt;0,"Yes","No")</f>
        <v>No</v>
      </c>
      <c r="S1330" s="6"/>
    </row>
    <row r="1331" spans="1:19" ht="34.5" customHeight="1" x14ac:dyDescent="0.2">
      <c r="A1331" s="2">
        <v>258</v>
      </c>
      <c r="B1331" s="2">
        <v>9</v>
      </c>
      <c r="C1331" s="2" t="s">
        <v>431</v>
      </c>
      <c r="D1331" s="2" t="s">
        <v>29</v>
      </c>
      <c r="E1331" s="2">
        <v>20220101</v>
      </c>
      <c r="F1331" s="2">
        <v>20221231</v>
      </c>
      <c r="G1331" s="2">
        <v>23480.6</v>
      </c>
      <c r="H1331" s="2">
        <v>20965</v>
      </c>
      <c r="I1331" s="2">
        <v>136</v>
      </c>
      <c r="J1331" s="2" t="s">
        <v>69</v>
      </c>
      <c r="K1331" s="2" t="s">
        <v>70</v>
      </c>
      <c r="L1331" s="2" t="s">
        <v>4427</v>
      </c>
      <c r="M1331" s="7" t="s">
        <v>4428</v>
      </c>
      <c r="N1331" s="7" t="s">
        <v>4429</v>
      </c>
      <c r="O1331" s="2"/>
      <c r="P1331" s="2"/>
      <c r="Q1331" s="2" t="str">
        <f>IF(SUMPRODUCT(--ISNUMBER(SEARCH('National Domains'!$A$2:$A$48,L1331)))&gt;0,"Yes","No")</f>
        <v>No</v>
      </c>
      <c r="R1331" s="2" t="str">
        <f>IF(COUNTIFS(Calibration!$A:$A,A1331,Calibration!$B:$B,B1331)&gt;0,"Yes","No")</f>
        <v>No</v>
      </c>
      <c r="S1331" s="6"/>
    </row>
    <row r="1332" spans="1:19" ht="34.5" customHeight="1" x14ac:dyDescent="0.2">
      <c r="A1332" s="2">
        <v>258</v>
      </c>
      <c r="B1332" s="2">
        <v>10</v>
      </c>
      <c r="C1332" s="2" t="s">
        <v>431</v>
      </c>
      <c r="D1332" s="2" t="s">
        <v>29</v>
      </c>
      <c r="E1332" s="2">
        <v>20220101</v>
      </c>
      <c r="F1332" s="2">
        <v>20221231</v>
      </c>
      <c r="G1332" s="2">
        <v>23480.6</v>
      </c>
      <c r="H1332" s="2">
        <v>20965</v>
      </c>
      <c r="I1332" s="2">
        <v>136</v>
      </c>
      <c r="J1332" s="2" t="s">
        <v>69</v>
      </c>
      <c r="K1332" s="2" t="s">
        <v>70</v>
      </c>
      <c r="L1332" s="2" t="s">
        <v>4346</v>
      </c>
      <c r="M1332" s="7" t="s">
        <v>4347</v>
      </c>
      <c r="N1332" s="7" t="s">
        <v>4348</v>
      </c>
      <c r="O1332" s="2"/>
      <c r="P1332" s="2"/>
      <c r="Q1332" s="2" t="str">
        <f>IF(SUMPRODUCT(--ISNUMBER(SEARCH('National Domains'!$A$2:$A$48,L1332)))&gt;0,"Yes","No")</f>
        <v>No</v>
      </c>
      <c r="R1332" s="2" t="str">
        <f>IF(COUNTIFS(Calibration!$A:$A,A1332,Calibration!$B:$B,B1332)&gt;0,"Yes","No")</f>
        <v>No</v>
      </c>
      <c r="S1332" s="6"/>
    </row>
    <row r="1333" spans="1:19" ht="34.5" customHeight="1" x14ac:dyDescent="0.2">
      <c r="A1333" s="2">
        <v>258</v>
      </c>
      <c r="B1333" s="2">
        <v>11</v>
      </c>
      <c r="C1333" s="2" t="s">
        <v>431</v>
      </c>
      <c r="D1333" s="2" t="s">
        <v>29</v>
      </c>
      <c r="E1333" s="2">
        <v>20220101</v>
      </c>
      <c r="F1333" s="2">
        <v>20221231</v>
      </c>
      <c r="G1333" s="2">
        <v>23480.6</v>
      </c>
      <c r="H1333" s="2">
        <v>20965</v>
      </c>
      <c r="I1333" s="2">
        <v>136</v>
      </c>
      <c r="J1333" s="2" t="s">
        <v>69</v>
      </c>
      <c r="K1333" s="2" t="s">
        <v>70</v>
      </c>
      <c r="L1333" s="2" t="s">
        <v>4430</v>
      </c>
      <c r="M1333" s="7" t="s">
        <v>4431</v>
      </c>
      <c r="N1333" s="7" t="s">
        <v>4432</v>
      </c>
      <c r="O1333" s="2"/>
      <c r="P1333" s="2"/>
      <c r="Q1333" s="2" t="str">
        <f>IF(SUMPRODUCT(--ISNUMBER(SEARCH('National Domains'!$A$2:$A$48,L1333)))&gt;0,"Yes","No")</f>
        <v>No</v>
      </c>
      <c r="R1333" s="2" t="str">
        <f>IF(COUNTIFS(Calibration!$A:$A,A1333,Calibration!$B:$B,B1333)&gt;0,"Yes","No")</f>
        <v>No</v>
      </c>
      <c r="S1333" s="6"/>
    </row>
    <row r="1334" spans="1:19" ht="34.5" customHeight="1" x14ac:dyDescent="0.2">
      <c r="A1334" s="2">
        <v>258</v>
      </c>
      <c r="B1334" s="2">
        <v>12</v>
      </c>
      <c r="C1334" s="2" t="s">
        <v>431</v>
      </c>
      <c r="D1334" s="2" t="s">
        <v>29</v>
      </c>
      <c r="E1334" s="2">
        <v>20220101</v>
      </c>
      <c r="F1334" s="2">
        <v>20221231</v>
      </c>
      <c r="G1334" s="2">
        <v>23480.6</v>
      </c>
      <c r="H1334" s="2">
        <v>20965</v>
      </c>
      <c r="I1334" s="2">
        <v>136</v>
      </c>
      <c r="J1334" s="2" t="s">
        <v>69</v>
      </c>
      <c r="K1334" s="2" t="s">
        <v>70</v>
      </c>
      <c r="L1334" s="2" t="s">
        <v>4433</v>
      </c>
      <c r="M1334" s="7" t="s">
        <v>4434</v>
      </c>
      <c r="N1334" s="7" t="s">
        <v>4435</v>
      </c>
      <c r="O1334" s="2"/>
      <c r="P1334" s="2"/>
      <c r="Q1334" s="2" t="str">
        <f>IF(SUMPRODUCT(--ISNUMBER(SEARCH('National Domains'!$A$2:$A$48,L1334)))&gt;0,"Yes","No")</f>
        <v>No</v>
      </c>
      <c r="R1334" s="2" t="str">
        <f>IF(COUNTIFS(Calibration!$A:$A,A1334,Calibration!$B:$B,B1334)&gt;0,"Yes","No")</f>
        <v>No</v>
      </c>
      <c r="S1334" s="6"/>
    </row>
    <row r="1335" spans="1:19" ht="34.5" customHeight="1" x14ac:dyDescent="0.2">
      <c r="A1335" s="2">
        <v>258</v>
      </c>
      <c r="B1335" s="2">
        <v>13</v>
      </c>
      <c r="C1335" s="2" t="s">
        <v>431</v>
      </c>
      <c r="D1335" s="2" t="s">
        <v>29</v>
      </c>
      <c r="E1335" s="2">
        <v>20220101</v>
      </c>
      <c r="F1335" s="2">
        <v>20221231</v>
      </c>
      <c r="G1335" s="2">
        <v>23480.6</v>
      </c>
      <c r="H1335" s="2">
        <v>20965</v>
      </c>
      <c r="I1335" s="2">
        <v>136</v>
      </c>
      <c r="J1335" s="2" t="s">
        <v>69</v>
      </c>
      <c r="K1335" s="2" t="s">
        <v>70</v>
      </c>
      <c r="L1335" s="2" t="s">
        <v>4436</v>
      </c>
      <c r="M1335" s="7" t="s">
        <v>4437</v>
      </c>
      <c r="N1335" s="7" t="s">
        <v>4438</v>
      </c>
      <c r="O1335" s="2"/>
      <c r="P1335" s="2"/>
      <c r="Q1335" s="2" t="str">
        <f>IF(SUMPRODUCT(--ISNUMBER(SEARCH('National Domains'!$A$2:$A$48,L1335)))&gt;0,"Yes","No")</f>
        <v>No</v>
      </c>
      <c r="R1335" s="2" t="str">
        <f>IF(COUNTIFS(Calibration!$A:$A,A1335,Calibration!$B:$B,B1335)&gt;0,"Yes","No")</f>
        <v>No</v>
      </c>
      <c r="S1335" s="6"/>
    </row>
    <row r="1336" spans="1:19" ht="34.5" customHeight="1" x14ac:dyDescent="0.2">
      <c r="A1336" s="2">
        <v>258</v>
      </c>
      <c r="B1336" s="2">
        <v>14</v>
      </c>
      <c r="C1336" s="2" t="s">
        <v>431</v>
      </c>
      <c r="D1336" s="2" t="s">
        <v>29</v>
      </c>
      <c r="E1336" s="2">
        <v>20220101</v>
      </c>
      <c r="F1336" s="2">
        <v>20221231</v>
      </c>
      <c r="G1336" s="2">
        <v>23480.6</v>
      </c>
      <c r="H1336" s="2">
        <v>20965</v>
      </c>
      <c r="I1336" s="2">
        <v>136</v>
      </c>
      <c r="J1336" s="2" t="s">
        <v>69</v>
      </c>
      <c r="K1336" s="2" t="s">
        <v>70</v>
      </c>
      <c r="L1336" s="2" t="s">
        <v>4439</v>
      </c>
      <c r="M1336" s="7" t="s">
        <v>4440</v>
      </c>
      <c r="N1336" s="7" t="s">
        <v>4441</v>
      </c>
      <c r="O1336" s="2"/>
      <c r="P1336" s="2"/>
      <c r="Q1336" s="2" t="str">
        <f>IF(SUMPRODUCT(--ISNUMBER(SEARCH('National Domains'!$A$2:$A$48,L1336)))&gt;0,"Yes","No")</f>
        <v>No</v>
      </c>
      <c r="R1336" s="2" t="str">
        <f>IF(COUNTIFS(Calibration!$A:$A,A1336,Calibration!$B:$B,B1336)&gt;0,"Yes","No")</f>
        <v>No</v>
      </c>
      <c r="S1336" s="6"/>
    </row>
    <row r="1337" spans="1:19" ht="34.5" customHeight="1" x14ac:dyDescent="0.2">
      <c r="A1337" s="2">
        <v>258</v>
      </c>
      <c r="B1337" s="2">
        <v>15</v>
      </c>
      <c r="C1337" s="2" t="s">
        <v>431</v>
      </c>
      <c r="D1337" s="2" t="s">
        <v>29</v>
      </c>
      <c r="E1337" s="2">
        <v>20220101</v>
      </c>
      <c r="F1337" s="2">
        <v>20221231</v>
      </c>
      <c r="G1337" s="2">
        <v>23480.6</v>
      </c>
      <c r="H1337" s="2">
        <v>20965</v>
      </c>
      <c r="I1337" s="2">
        <v>136</v>
      </c>
      <c r="J1337" s="2" t="s">
        <v>69</v>
      </c>
      <c r="K1337" s="2" t="s">
        <v>70</v>
      </c>
      <c r="L1337" s="2" t="s">
        <v>4364</v>
      </c>
      <c r="M1337" s="7" t="s">
        <v>4365</v>
      </c>
      <c r="N1337" s="7" t="s">
        <v>4442</v>
      </c>
      <c r="O1337" s="2"/>
      <c r="P1337" s="2"/>
      <c r="Q1337" s="2" t="str">
        <f>IF(SUMPRODUCT(--ISNUMBER(SEARCH('National Domains'!$A$2:$A$48,L1337)))&gt;0,"Yes","No")</f>
        <v>No</v>
      </c>
      <c r="R1337" s="2" t="str">
        <f>IF(COUNTIFS(Calibration!$A:$A,A1337,Calibration!$B:$B,B1337)&gt;0,"Yes","No")</f>
        <v>No</v>
      </c>
      <c r="S1337" s="6"/>
    </row>
    <row r="1338" spans="1:19" ht="34.5" customHeight="1" x14ac:dyDescent="0.2">
      <c r="A1338" s="2">
        <v>258</v>
      </c>
      <c r="B1338" s="2">
        <v>16</v>
      </c>
      <c r="C1338" s="2" t="s">
        <v>431</v>
      </c>
      <c r="D1338" s="2" t="s">
        <v>29</v>
      </c>
      <c r="E1338" s="2">
        <v>20220101</v>
      </c>
      <c r="F1338" s="2">
        <v>20221231</v>
      </c>
      <c r="G1338" s="2">
        <v>23480.6</v>
      </c>
      <c r="H1338" s="2">
        <v>20965</v>
      </c>
      <c r="I1338" s="2">
        <v>136</v>
      </c>
      <c r="J1338" s="2" t="s">
        <v>69</v>
      </c>
      <c r="K1338" s="2" t="s">
        <v>70</v>
      </c>
      <c r="L1338" s="2" t="s">
        <v>4443</v>
      </c>
      <c r="M1338" s="7" t="s">
        <v>4444</v>
      </c>
      <c r="N1338" s="7" t="s">
        <v>4445</v>
      </c>
      <c r="O1338" s="2"/>
      <c r="P1338" s="2"/>
      <c r="Q1338" s="2" t="str">
        <f>IF(SUMPRODUCT(--ISNUMBER(SEARCH('National Domains'!$A$2:$A$48,L1338)))&gt;0,"Yes","No")</f>
        <v>No</v>
      </c>
      <c r="R1338" s="2" t="str">
        <f>IF(COUNTIFS(Calibration!$A:$A,A1338,Calibration!$B:$B,B1338)&gt;0,"Yes","No")</f>
        <v>No</v>
      </c>
      <c r="S1338" s="6"/>
    </row>
    <row r="1339" spans="1:19" ht="34.5" customHeight="1" x14ac:dyDescent="0.2">
      <c r="A1339" s="2">
        <v>258</v>
      </c>
      <c r="B1339" s="2">
        <v>17</v>
      </c>
      <c r="C1339" s="2" t="s">
        <v>431</v>
      </c>
      <c r="D1339" s="2" t="s">
        <v>29</v>
      </c>
      <c r="E1339" s="2">
        <v>20220101</v>
      </c>
      <c r="F1339" s="2">
        <v>20221231</v>
      </c>
      <c r="G1339" s="2">
        <v>23480.6</v>
      </c>
      <c r="H1339" s="2">
        <v>20965</v>
      </c>
      <c r="I1339" s="2">
        <v>136</v>
      </c>
      <c r="J1339" s="2" t="s">
        <v>69</v>
      </c>
      <c r="K1339" s="2" t="s">
        <v>70</v>
      </c>
      <c r="L1339" s="2" t="s">
        <v>4446</v>
      </c>
      <c r="M1339" s="7" t="s">
        <v>4447</v>
      </c>
      <c r="N1339" s="7" t="s">
        <v>4448</v>
      </c>
      <c r="O1339" s="2"/>
      <c r="P1339" s="2"/>
      <c r="Q1339" s="2" t="str">
        <f>IF(SUMPRODUCT(--ISNUMBER(SEARCH('National Domains'!$A$2:$A$48,L1339)))&gt;0,"Yes","No")</f>
        <v>No</v>
      </c>
      <c r="R1339" s="2" t="str">
        <f>IF(COUNTIFS(Calibration!$A:$A,A1339,Calibration!$B:$B,B1339)&gt;0,"Yes","No")</f>
        <v>No</v>
      </c>
      <c r="S1339" s="6"/>
    </row>
    <row r="1340" spans="1:19" ht="34.5" customHeight="1" x14ac:dyDescent="0.2">
      <c r="A1340" s="2">
        <v>258</v>
      </c>
      <c r="B1340" s="2">
        <v>18</v>
      </c>
      <c r="C1340" s="2" t="s">
        <v>431</v>
      </c>
      <c r="D1340" s="2" t="s">
        <v>29</v>
      </c>
      <c r="E1340" s="2">
        <v>20220101</v>
      </c>
      <c r="F1340" s="2">
        <v>20221231</v>
      </c>
      <c r="G1340" s="2">
        <v>23480.6</v>
      </c>
      <c r="H1340" s="2">
        <v>20965</v>
      </c>
      <c r="I1340" s="2">
        <v>136</v>
      </c>
      <c r="J1340" s="2" t="s">
        <v>69</v>
      </c>
      <c r="K1340" s="2" t="s">
        <v>70</v>
      </c>
      <c r="L1340" s="2" t="s">
        <v>4449</v>
      </c>
      <c r="M1340" s="7" t="s">
        <v>4450</v>
      </c>
      <c r="N1340" s="7" t="s">
        <v>4451</v>
      </c>
      <c r="O1340" s="2"/>
      <c r="P1340" s="2"/>
      <c r="Q1340" s="2" t="str">
        <f>IF(SUMPRODUCT(--ISNUMBER(SEARCH('National Domains'!$A$2:$A$48,L1340)))&gt;0,"Yes","No")</f>
        <v>Yes</v>
      </c>
      <c r="R1340" s="2" t="str">
        <f>IF(COUNTIFS(Calibration!$A:$A,A1340,Calibration!$B:$B,B1340)&gt;0,"Yes","No")</f>
        <v>No</v>
      </c>
      <c r="S1340" s="6"/>
    </row>
    <row r="1341" spans="1:19" ht="34.5" customHeight="1" x14ac:dyDescent="0.2">
      <c r="A1341" s="2">
        <v>258</v>
      </c>
      <c r="B1341" s="2">
        <v>19</v>
      </c>
      <c r="C1341" s="2" t="s">
        <v>431</v>
      </c>
      <c r="D1341" s="2" t="s">
        <v>29</v>
      </c>
      <c r="E1341" s="2">
        <v>20220101</v>
      </c>
      <c r="F1341" s="2">
        <v>20221231</v>
      </c>
      <c r="G1341" s="2">
        <v>23480.6</v>
      </c>
      <c r="H1341" s="2">
        <v>20965</v>
      </c>
      <c r="I1341" s="2">
        <v>136</v>
      </c>
      <c r="J1341" s="2" t="s">
        <v>69</v>
      </c>
      <c r="K1341" s="2" t="s">
        <v>70</v>
      </c>
      <c r="L1341" s="2" t="s">
        <v>4452</v>
      </c>
      <c r="M1341" s="7" t="s">
        <v>4453</v>
      </c>
      <c r="N1341" s="7" t="s">
        <v>4454</v>
      </c>
      <c r="O1341" s="2"/>
      <c r="P1341" s="2"/>
      <c r="Q1341" s="2" t="str">
        <f>IF(SUMPRODUCT(--ISNUMBER(SEARCH('National Domains'!$A$2:$A$48,L1341)))&gt;0,"Yes","No")</f>
        <v>Yes</v>
      </c>
      <c r="R1341" s="2" t="str">
        <f>IF(COUNTIFS(Calibration!$A:$A,A1341,Calibration!$B:$B,B1341)&gt;0,"Yes","No")</f>
        <v>No</v>
      </c>
      <c r="S1341" s="6"/>
    </row>
    <row r="1342" spans="1:19" ht="34.5" customHeight="1" x14ac:dyDescent="0.2">
      <c r="A1342" s="2">
        <v>258</v>
      </c>
      <c r="B1342" s="2">
        <v>20</v>
      </c>
      <c r="C1342" s="2" t="s">
        <v>431</v>
      </c>
      <c r="D1342" s="2" t="s">
        <v>29</v>
      </c>
      <c r="E1342" s="2">
        <v>20220101</v>
      </c>
      <c r="F1342" s="2">
        <v>20221231</v>
      </c>
      <c r="G1342" s="2">
        <v>23480.6</v>
      </c>
      <c r="H1342" s="2">
        <v>20965</v>
      </c>
      <c r="I1342" s="2">
        <v>136</v>
      </c>
      <c r="J1342" s="2" t="s">
        <v>69</v>
      </c>
      <c r="K1342" s="2" t="s">
        <v>70</v>
      </c>
      <c r="L1342" s="2" t="s">
        <v>4455</v>
      </c>
      <c r="M1342" s="7" t="s">
        <v>4456</v>
      </c>
      <c r="N1342" s="7" t="s">
        <v>4457</v>
      </c>
      <c r="O1342" s="2"/>
      <c r="P1342" s="2"/>
      <c r="Q1342" s="2" t="str">
        <f>IF(SUMPRODUCT(--ISNUMBER(SEARCH('National Domains'!$A$2:$A$48,L1342)))&gt;0,"Yes","No")</f>
        <v>Yes</v>
      </c>
      <c r="R1342" s="2" t="str">
        <f>IF(COUNTIFS(Calibration!$A:$A,A1342,Calibration!$B:$B,B1342)&gt;0,"Yes","No")</f>
        <v>No</v>
      </c>
      <c r="S1342" s="6"/>
    </row>
    <row r="1343" spans="1:19" ht="34.5" customHeight="1" x14ac:dyDescent="0.2">
      <c r="A1343" s="2">
        <v>258</v>
      </c>
      <c r="B1343" s="2">
        <v>21</v>
      </c>
      <c r="C1343" s="2" t="s">
        <v>431</v>
      </c>
      <c r="D1343" s="2" t="s">
        <v>29</v>
      </c>
      <c r="E1343" s="2">
        <v>20220101</v>
      </c>
      <c r="F1343" s="2">
        <v>20221231</v>
      </c>
      <c r="G1343" s="2">
        <v>23480.6</v>
      </c>
      <c r="H1343" s="2">
        <v>20965</v>
      </c>
      <c r="I1343" s="2">
        <v>136</v>
      </c>
      <c r="J1343" s="2" t="s">
        <v>69</v>
      </c>
      <c r="K1343" s="2" t="s">
        <v>70</v>
      </c>
      <c r="L1343" s="2" t="s">
        <v>4458</v>
      </c>
      <c r="M1343" s="7" t="s">
        <v>4459</v>
      </c>
      <c r="N1343" s="7" t="s">
        <v>4460</v>
      </c>
      <c r="O1343" s="2"/>
      <c r="P1343" s="2"/>
      <c r="Q1343" s="2" t="str">
        <f>IF(SUMPRODUCT(--ISNUMBER(SEARCH('National Domains'!$A$2:$A$48,L1343)))&gt;0,"Yes","No")</f>
        <v>Yes</v>
      </c>
      <c r="R1343" s="2" t="str">
        <f>IF(COUNTIFS(Calibration!$A:$A,A1343,Calibration!$B:$B,B1343)&gt;0,"Yes","No")</f>
        <v>No</v>
      </c>
      <c r="S1343" s="6"/>
    </row>
    <row r="1344" spans="1:19" ht="34.5" customHeight="1" x14ac:dyDescent="0.2">
      <c r="A1344" s="2">
        <v>258</v>
      </c>
      <c r="B1344" s="2">
        <v>22</v>
      </c>
      <c r="C1344" s="2" t="s">
        <v>431</v>
      </c>
      <c r="D1344" s="2" t="s">
        <v>29</v>
      </c>
      <c r="E1344" s="2">
        <v>20220101</v>
      </c>
      <c r="F1344" s="2">
        <v>20221231</v>
      </c>
      <c r="G1344" s="2">
        <v>23480.6</v>
      </c>
      <c r="H1344" s="2">
        <v>20965</v>
      </c>
      <c r="I1344" s="2">
        <v>136</v>
      </c>
      <c r="J1344" s="2" t="s">
        <v>69</v>
      </c>
      <c r="K1344" s="2" t="s">
        <v>70</v>
      </c>
      <c r="L1344" s="2" t="s">
        <v>4461</v>
      </c>
      <c r="M1344" s="7" t="s">
        <v>4462</v>
      </c>
      <c r="N1344" s="7" t="s">
        <v>4463</v>
      </c>
      <c r="O1344" s="2"/>
      <c r="P1344" s="2"/>
      <c r="Q1344" s="2" t="str">
        <f>IF(SUMPRODUCT(--ISNUMBER(SEARCH('National Domains'!$A$2:$A$48,L1344)))&gt;0,"Yes","No")</f>
        <v>Yes</v>
      </c>
      <c r="R1344" s="2" t="str">
        <f>IF(COUNTIFS(Calibration!$A:$A,A1344,Calibration!$B:$B,B1344)&gt;0,"Yes","No")</f>
        <v>No</v>
      </c>
      <c r="S1344" s="6"/>
    </row>
    <row r="1345" spans="1:19" ht="34.5" customHeight="1" x14ac:dyDescent="0.2">
      <c r="A1345" s="2">
        <v>258</v>
      </c>
      <c r="B1345" s="2">
        <v>23</v>
      </c>
      <c r="C1345" s="2" t="s">
        <v>431</v>
      </c>
      <c r="D1345" s="2" t="s">
        <v>29</v>
      </c>
      <c r="E1345" s="2">
        <v>20220101</v>
      </c>
      <c r="F1345" s="2">
        <v>20221231</v>
      </c>
      <c r="G1345" s="2">
        <v>23480.6</v>
      </c>
      <c r="H1345" s="2">
        <v>20965</v>
      </c>
      <c r="I1345" s="2">
        <v>136</v>
      </c>
      <c r="J1345" s="2" t="s">
        <v>69</v>
      </c>
      <c r="K1345" s="2" t="s">
        <v>70</v>
      </c>
      <c r="L1345" s="2" t="s">
        <v>4464</v>
      </c>
      <c r="M1345" s="7" t="s">
        <v>4465</v>
      </c>
      <c r="N1345" s="7" t="s">
        <v>4466</v>
      </c>
      <c r="O1345" s="2"/>
      <c r="P1345" s="2"/>
      <c r="Q1345" s="2" t="str">
        <f>IF(SUMPRODUCT(--ISNUMBER(SEARCH('National Domains'!$A$2:$A$48,L1345)))&gt;0,"Yes","No")</f>
        <v>No</v>
      </c>
      <c r="R1345" s="2" t="str">
        <f>IF(COUNTIFS(Calibration!$A:$A,A1345,Calibration!$B:$B,B1345)&gt;0,"Yes","No")</f>
        <v>No</v>
      </c>
      <c r="S1345" s="6"/>
    </row>
    <row r="1346" spans="1:19" ht="34.5" customHeight="1" x14ac:dyDescent="0.2">
      <c r="A1346" s="4">
        <v>258</v>
      </c>
      <c r="B1346" s="4">
        <v>24</v>
      </c>
      <c r="C1346" s="4" t="s">
        <v>431</v>
      </c>
      <c r="D1346" s="4" t="s">
        <v>29</v>
      </c>
      <c r="E1346" s="4">
        <v>20220101</v>
      </c>
      <c r="F1346" s="4">
        <v>20221231</v>
      </c>
      <c r="G1346" s="4">
        <v>23480.6</v>
      </c>
      <c r="H1346" s="4">
        <v>20965</v>
      </c>
      <c r="I1346" s="4">
        <v>136</v>
      </c>
      <c r="J1346" s="4" t="s">
        <v>69</v>
      </c>
      <c r="K1346" s="4" t="s">
        <v>70</v>
      </c>
      <c r="L1346" s="4" t="s">
        <v>4467</v>
      </c>
      <c r="M1346" s="5" t="s">
        <v>4468</v>
      </c>
      <c r="N1346" s="5" t="s">
        <v>4469</v>
      </c>
      <c r="O1346" s="4"/>
      <c r="P1346" s="4"/>
      <c r="Q1346" s="4" t="str">
        <f>IF(SUMPRODUCT(--ISNUMBER(SEARCH('National Domains'!$A$2:$A$48,L1346)))&gt;0,"Yes","No")</f>
        <v>No</v>
      </c>
      <c r="R1346" s="4" t="str">
        <f>IF(COUNTIFS(Calibration!$A:$A,A1346,Calibration!$B:$B,B1346)&gt;0,"Yes","No")</f>
        <v>Yes</v>
      </c>
      <c r="S1346" s="6"/>
    </row>
    <row r="1347" spans="1:19" ht="34.5" customHeight="1" x14ac:dyDescent="0.2">
      <c r="A1347" s="2">
        <v>258</v>
      </c>
      <c r="B1347" s="2">
        <v>25</v>
      </c>
      <c r="C1347" s="2" t="s">
        <v>431</v>
      </c>
      <c r="D1347" s="2" t="s">
        <v>29</v>
      </c>
      <c r="E1347" s="2">
        <v>20220101</v>
      </c>
      <c r="F1347" s="2">
        <v>20221231</v>
      </c>
      <c r="G1347" s="2">
        <v>23480.6</v>
      </c>
      <c r="H1347" s="2">
        <v>20965</v>
      </c>
      <c r="I1347" s="2">
        <v>136</v>
      </c>
      <c r="J1347" s="2" t="s">
        <v>69</v>
      </c>
      <c r="K1347" s="2" t="s">
        <v>70</v>
      </c>
      <c r="L1347" s="2" t="s">
        <v>4470</v>
      </c>
      <c r="M1347" s="7" t="s">
        <v>4471</v>
      </c>
      <c r="N1347" s="7" t="s">
        <v>4472</v>
      </c>
      <c r="O1347" s="2"/>
      <c r="P1347" s="2"/>
      <c r="Q1347" s="2" t="str">
        <f>IF(SUMPRODUCT(--ISNUMBER(SEARCH('National Domains'!$A$2:$A$48,L1347)))&gt;0,"Yes","No")</f>
        <v>No</v>
      </c>
      <c r="R1347" s="2" t="str">
        <f>IF(COUNTIFS(Calibration!$A:$A,A1347,Calibration!$B:$B,B1347)&gt;0,"Yes","No")</f>
        <v>No</v>
      </c>
      <c r="S1347" s="6"/>
    </row>
    <row r="1348" spans="1:19" ht="34.5" customHeight="1" x14ac:dyDescent="0.2">
      <c r="A1348" s="2">
        <v>258</v>
      </c>
      <c r="B1348" s="2">
        <v>26</v>
      </c>
      <c r="C1348" s="2" t="s">
        <v>431</v>
      </c>
      <c r="D1348" s="2" t="s">
        <v>29</v>
      </c>
      <c r="E1348" s="2">
        <v>20220101</v>
      </c>
      <c r="F1348" s="2">
        <v>20221231</v>
      </c>
      <c r="G1348" s="2">
        <v>23480.6</v>
      </c>
      <c r="H1348" s="2">
        <v>20965</v>
      </c>
      <c r="I1348" s="2">
        <v>136</v>
      </c>
      <c r="J1348" s="2" t="s">
        <v>69</v>
      </c>
      <c r="K1348" s="2" t="s">
        <v>70</v>
      </c>
      <c r="L1348" s="2" t="s">
        <v>4473</v>
      </c>
      <c r="M1348" s="7" t="s">
        <v>4474</v>
      </c>
      <c r="N1348" s="7" t="s">
        <v>4475</v>
      </c>
      <c r="O1348" s="2"/>
      <c r="P1348" s="2"/>
      <c r="Q1348" s="2" t="str">
        <f>IF(SUMPRODUCT(--ISNUMBER(SEARCH('National Domains'!$A$2:$A$48,L1348)))&gt;0,"Yes","No")</f>
        <v>No</v>
      </c>
      <c r="R1348" s="2" t="str">
        <f>IF(COUNTIFS(Calibration!$A:$A,A1348,Calibration!$B:$B,B1348)&gt;0,"Yes","No")</f>
        <v>No</v>
      </c>
      <c r="S1348" s="6"/>
    </row>
    <row r="1349" spans="1:19" ht="34.5" customHeight="1" x14ac:dyDescent="0.2">
      <c r="A1349" s="2">
        <v>258</v>
      </c>
      <c r="B1349" s="2">
        <v>27</v>
      </c>
      <c r="C1349" s="2" t="s">
        <v>431</v>
      </c>
      <c r="D1349" s="2" t="s">
        <v>29</v>
      </c>
      <c r="E1349" s="2">
        <v>20220101</v>
      </c>
      <c r="F1349" s="2">
        <v>20221231</v>
      </c>
      <c r="G1349" s="2">
        <v>23480.6</v>
      </c>
      <c r="H1349" s="2">
        <v>20965</v>
      </c>
      <c r="I1349" s="2">
        <v>136</v>
      </c>
      <c r="J1349" s="2" t="s">
        <v>69</v>
      </c>
      <c r="K1349" s="2" t="s">
        <v>70</v>
      </c>
      <c r="L1349" s="2" t="s">
        <v>4476</v>
      </c>
      <c r="M1349" s="7" t="s">
        <v>4477</v>
      </c>
      <c r="N1349" s="7" t="s">
        <v>4478</v>
      </c>
      <c r="O1349" s="2"/>
      <c r="P1349" s="2"/>
      <c r="Q1349" s="2" t="str">
        <f>IF(SUMPRODUCT(--ISNUMBER(SEARCH('National Domains'!$A$2:$A$48,L1349)))&gt;0,"Yes","No")</f>
        <v>No</v>
      </c>
      <c r="R1349" s="2" t="str">
        <f>IF(COUNTIFS(Calibration!$A:$A,A1349,Calibration!$B:$B,B1349)&gt;0,"Yes","No")</f>
        <v>No</v>
      </c>
      <c r="S1349" s="6"/>
    </row>
    <row r="1350" spans="1:19" ht="34.5" customHeight="1" x14ac:dyDescent="0.2">
      <c r="A1350" s="2">
        <v>258</v>
      </c>
      <c r="B1350" s="2">
        <v>28</v>
      </c>
      <c r="C1350" s="2" t="s">
        <v>431</v>
      </c>
      <c r="D1350" s="2" t="s">
        <v>29</v>
      </c>
      <c r="E1350" s="2">
        <v>20220101</v>
      </c>
      <c r="F1350" s="2">
        <v>20221231</v>
      </c>
      <c r="G1350" s="2">
        <v>23480.6</v>
      </c>
      <c r="H1350" s="2">
        <v>20965</v>
      </c>
      <c r="I1350" s="2">
        <v>136</v>
      </c>
      <c r="J1350" s="2" t="s">
        <v>69</v>
      </c>
      <c r="K1350" s="2" t="s">
        <v>70</v>
      </c>
      <c r="L1350" s="2" t="s">
        <v>4479</v>
      </c>
      <c r="M1350" s="7" t="s">
        <v>4480</v>
      </c>
      <c r="N1350" s="7" t="s">
        <v>4481</v>
      </c>
      <c r="O1350" s="2"/>
      <c r="P1350" s="2"/>
      <c r="Q1350" s="2" t="str">
        <f>IF(SUMPRODUCT(--ISNUMBER(SEARCH('National Domains'!$A$2:$A$48,L1350)))&gt;0,"Yes","No")</f>
        <v>No</v>
      </c>
      <c r="R1350" s="2" t="str">
        <f>IF(COUNTIFS(Calibration!$A:$A,A1350,Calibration!$B:$B,B1350)&gt;0,"Yes","No")</f>
        <v>No</v>
      </c>
      <c r="S1350" s="6"/>
    </row>
    <row r="1351" spans="1:19" ht="34.5" customHeight="1" x14ac:dyDescent="0.2">
      <c r="A1351" s="2">
        <v>258</v>
      </c>
      <c r="B1351" s="2">
        <v>29</v>
      </c>
      <c r="C1351" s="2" t="s">
        <v>431</v>
      </c>
      <c r="D1351" s="2" t="s">
        <v>29</v>
      </c>
      <c r="E1351" s="2">
        <v>20220101</v>
      </c>
      <c r="F1351" s="2">
        <v>20221231</v>
      </c>
      <c r="G1351" s="2">
        <v>23480.6</v>
      </c>
      <c r="H1351" s="2">
        <v>20965</v>
      </c>
      <c r="I1351" s="2">
        <v>136</v>
      </c>
      <c r="J1351" s="2" t="s">
        <v>69</v>
      </c>
      <c r="K1351" s="2" t="s">
        <v>70</v>
      </c>
      <c r="L1351" s="2" t="s">
        <v>4482</v>
      </c>
      <c r="M1351" s="7" t="s">
        <v>4483</v>
      </c>
      <c r="N1351" s="7" t="s">
        <v>4484</v>
      </c>
      <c r="O1351" s="2"/>
      <c r="P1351" s="2"/>
      <c r="Q1351" s="2" t="str">
        <f>IF(SUMPRODUCT(--ISNUMBER(SEARCH('National Domains'!$A$2:$A$48,L1351)))&gt;0,"Yes","No")</f>
        <v>No</v>
      </c>
      <c r="R1351" s="2" t="str">
        <f>IF(COUNTIFS(Calibration!$A:$A,A1351,Calibration!$B:$B,B1351)&gt;0,"Yes","No")</f>
        <v>No</v>
      </c>
      <c r="S1351" s="6"/>
    </row>
    <row r="1352" spans="1:19" ht="34.5" customHeight="1" x14ac:dyDescent="0.2">
      <c r="A1352" s="2">
        <v>258</v>
      </c>
      <c r="B1352" s="2">
        <v>30</v>
      </c>
      <c r="C1352" s="2" t="s">
        <v>431</v>
      </c>
      <c r="D1352" s="2" t="s">
        <v>29</v>
      </c>
      <c r="E1352" s="2">
        <v>20220101</v>
      </c>
      <c r="F1352" s="2">
        <v>20221231</v>
      </c>
      <c r="G1352" s="2">
        <v>23480.6</v>
      </c>
      <c r="H1352" s="2">
        <v>20965</v>
      </c>
      <c r="I1352" s="2">
        <v>136</v>
      </c>
      <c r="J1352" s="2" t="s">
        <v>69</v>
      </c>
      <c r="K1352" s="2" t="s">
        <v>70</v>
      </c>
      <c r="L1352" s="2" t="s">
        <v>4485</v>
      </c>
      <c r="M1352" s="7" t="s">
        <v>4486</v>
      </c>
      <c r="N1352" s="7" t="s">
        <v>4487</v>
      </c>
      <c r="O1352" s="2"/>
      <c r="P1352" s="2"/>
      <c r="Q1352" s="2" t="str">
        <f>IF(SUMPRODUCT(--ISNUMBER(SEARCH('National Domains'!$A$2:$A$48,L1352)))&gt;0,"Yes","No")</f>
        <v>No</v>
      </c>
      <c r="R1352" s="2" t="str">
        <f>IF(COUNTIFS(Calibration!$A:$A,A1352,Calibration!$B:$B,B1352)&gt;0,"Yes","No")</f>
        <v>No</v>
      </c>
      <c r="S1352" s="6"/>
    </row>
    <row r="1353" spans="1:19" ht="34.5" customHeight="1" x14ac:dyDescent="0.2">
      <c r="A1353" s="2">
        <v>259</v>
      </c>
      <c r="B1353" s="2">
        <v>1</v>
      </c>
      <c r="C1353" s="2" t="s">
        <v>432</v>
      </c>
      <c r="D1353" s="2" t="s">
        <v>13</v>
      </c>
      <c r="E1353" s="2">
        <v>20230202</v>
      </c>
      <c r="F1353" s="2">
        <v>20230205</v>
      </c>
      <c r="G1353" s="2">
        <v>1838.8</v>
      </c>
      <c r="H1353" s="2">
        <v>1751</v>
      </c>
      <c r="I1353" s="2">
        <v>1</v>
      </c>
      <c r="J1353" s="2" t="s">
        <v>95</v>
      </c>
      <c r="K1353" s="2" t="s">
        <v>96</v>
      </c>
      <c r="L1353" s="2" t="s">
        <v>4488</v>
      </c>
      <c r="M1353" s="7" t="s">
        <v>4489</v>
      </c>
      <c r="N1353" s="7" t="s">
        <v>4490</v>
      </c>
      <c r="O1353" s="2"/>
      <c r="P1353" s="2"/>
      <c r="Q1353" s="2" t="str">
        <f>IF(SUMPRODUCT(--ISNUMBER(SEARCH('National Domains'!$A$2:$A$48,L1353)))&gt;0,"Yes","No")</f>
        <v>Yes</v>
      </c>
      <c r="R1353" s="2" t="str">
        <f>IF(COUNTIFS(Calibration!$A:$A,A1353,Calibration!$B:$B,B1353)&gt;0,"Yes","No")</f>
        <v>No</v>
      </c>
      <c r="S1353" s="6"/>
    </row>
    <row r="1354" spans="1:19" ht="34.5" customHeight="1" x14ac:dyDescent="0.2">
      <c r="A1354" s="2">
        <v>260</v>
      </c>
      <c r="B1354" s="2">
        <v>1</v>
      </c>
      <c r="C1354" s="2" t="s">
        <v>433</v>
      </c>
      <c r="D1354" s="2" t="s">
        <v>17</v>
      </c>
      <c r="E1354" s="2">
        <v>20230302</v>
      </c>
      <c r="F1354" s="2">
        <v>20230303</v>
      </c>
      <c r="G1354" s="2">
        <v>6170</v>
      </c>
      <c r="H1354" s="2">
        <v>5876</v>
      </c>
      <c r="I1354" s="2">
        <v>13</v>
      </c>
      <c r="J1354" s="2" t="s">
        <v>61</v>
      </c>
      <c r="K1354" s="2" t="s">
        <v>62</v>
      </c>
      <c r="L1354" s="2" t="s">
        <v>4491</v>
      </c>
      <c r="M1354" s="7" t="s">
        <v>4492</v>
      </c>
      <c r="N1354" s="7" t="s">
        <v>4493</v>
      </c>
      <c r="O1354" s="2"/>
      <c r="P1354" s="2"/>
      <c r="Q1354" s="2" t="str">
        <f>IF(SUMPRODUCT(--ISNUMBER(SEARCH('National Domains'!$A$2:$A$48,L1354)))&gt;0,"Yes","No")</f>
        <v>Yes</v>
      </c>
      <c r="R1354" s="2" t="str">
        <f>IF(COUNTIFS(Calibration!$A:$A,A1354,Calibration!$B:$B,B1354)&gt;0,"Yes","No")</f>
        <v>No</v>
      </c>
      <c r="S1354" s="6"/>
    </row>
    <row r="1355" spans="1:19" ht="34.5" customHeight="1" x14ac:dyDescent="0.2">
      <c r="A1355" s="2">
        <v>261</v>
      </c>
      <c r="B1355" s="2">
        <v>1</v>
      </c>
      <c r="C1355" s="2" t="s">
        <v>434</v>
      </c>
      <c r="D1355" s="2" t="s">
        <v>25</v>
      </c>
      <c r="E1355" s="2">
        <v>20221226</v>
      </c>
      <c r="F1355" s="2">
        <v>20230319</v>
      </c>
      <c r="G1355" s="2">
        <v>4725</v>
      </c>
      <c r="H1355" s="2">
        <v>4500</v>
      </c>
      <c r="I1355" s="2">
        <v>22</v>
      </c>
      <c r="J1355" s="2" t="s">
        <v>66</v>
      </c>
      <c r="K1355" s="2" t="s">
        <v>67</v>
      </c>
      <c r="L1355" s="2" t="s">
        <v>4494</v>
      </c>
      <c r="M1355" s="7" t="s">
        <v>4495</v>
      </c>
      <c r="N1355" s="7" t="s">
        <v>4496</v>
      </c>
      <c r="O1355" s="2"/>
      <c r="P1355" s="2"/>
      <c r="Q1355" s="2" t="str">
        <f>IF(SUMPRODUCT(--ISNUMBER(SEARCH('National Domains'!$A$2:$A$48,L1355)))&gt;0,"Yes","No")</f>
        <v>No</v>
      </c>
      <c r="R1355" s="2" t="str">
        <f>IF(COUNTIFS(Calibration!$A:$A,A1355,Calibration!$B:$B,B1355)&gt;0,"Yes","No")</f>
        <v>No</v>
      </c>
      <c r="S1355" s="6"/>
    </row>
    <row r="1356" spans="1:19" ht="34.5" customHeight="1" x14ac:dyDescent="0.2">
      <c r="A1356" s="2">
        <v>261</v>
      </c>
      <c r="B1356" s="2">
        <v>2</v>
      </c>
      <c r="C1356" s="2" t="s">
        <v>434</v>
      </c>
      <c r="D1356" s="2" t="s">
        <v>25</v>
      </c>
      <c r="E1356" s="2">
        <v>20221226</v>
      </c>
      <c r="F1356" s="2">
        <v>20230319</v>
      </c>
      <c r="G1356" s="2">
        <v>4725</v>
      </c>
      <c r="H1356" s="2">
        <v>4500</v>
      </c>
      <c r="I1356" s="2">
        <v>22</v>
      </c>
      <c r="J1356" s="2" t="s">
        <v>66</v>
      </c>
      <c r="K1356" s="2" t="s">
        <v>67</v>
      </c>
      <c r="L1356" s="2" t="s">
        <v>4497</v>
      </c>
      <c r="M1356" s="7" t="s">
        <v>4498</v>
      </c>
      <c r="N1356" s="7" t="s">
        <v>4499</v>
      </c>
      <c r="O1356" s="2"/>
      <c r="P1356" s="2"/>
      <c r="Q1356" s="2" t="str">
        <f>IF(SUMPRODUCT(--ISNUMBER(SEARCH('National Domains'!$A$2:$A$48,L1356)))&gt;0,"Yes","No")</f>
        <v>Yes</v>
      </c>
      <c r="R1356" s="2" t="str">
        <f>IF(COUNTIFS(Calibration!$A:$A,A1356,Calibration!$B:$B,B1356)&gt;0,"Yes","No")</f>
        <v>No</v>
      </c>
      <c r="S1356" s="6"/>
    </row>
    <row r="1357" spans="1:19" ht="34.5" customHeight="1" x14ac:dyDescent="0.2">
      <c r="A1357" s="2">
        <v>261</v>
      </c>
      <c r="B1357" s="2">
        <v>3</v>
      </c>
      <c r="C1357" s="2" t="s">
        <v>434</v>
      </c>
      <c r="D1357" s="2" t="s">
        <v>25</v>
      </c>
      <c r="E1357" s="2">
        <v>20221226</v>
      </c>
      <c r="F1357" s="2">
        <v>20230319</v>
      </c>
      <c r="G1357" s="2">
        <v>4725</v>
      </c>
      <c r="H1357" s="2">
        <v>4500</v>
      </c>
      <c r="I1357" s="2">
        <v>22</v>
      </c>
      <c r="J1357" s="2" t="s">
        <v>66</v>
      </c>
      <c r="K1357" s="2" t="s">
        <v>67</v>
      </c>
      <c r="L1357" s="2" t="s">
        <v>4500</v>
      </c>
      <c r="M1357" s="7" t="s">
        <v>4501</v>
      </c>
      <c r="N1357" s="7" t="s">
        <v>4502</v>
      </c>
      <c r="O1357" s="2"/>
      <c r="P1357" s="2"/>
      <c r="Q1357" s="2" t="str">
        <f>IF(SUMPRODUCT(--ISNUMBER(SEARCH('National Domains'!$A$2:$A$48,L1357)))&gt;0,"Yes","No")</f>
        <v>Yes</v>
      </c>
      <c r="R1357" s="2" t="str">
        <f>IF(COUNTIFS(Calibration!$A:$A,A1357,Calibration!$B:$B,B1357)&gt;0,"Yes","No")</f>
        <v>No</v>
      </c>
      <c r="S1357" s="6"/>
    </row>
    <row r="1358" spans="1:19" ht="34.5" customHeight="1" x14ac:dyDescent="0.2">
      <c r="A1358" s="2">
        <v>261</v>
      </c>
      <c r="B1358" s="2">
        <v>4</v>
      </c>
      <c r="C1358" s="2" t="s">
        <v>434</v>
      </c>
      <c r="D1358" s="2" t="s">
        <v>25</v>
      </c>
      <c r="E1358" s="2">
        <v>20221226</v>
      </c>
      <c r="F1358" s="2">
        <v>20230319</v>
      </c>
      <c r="G1358" s="2">
        <v>4725</v>
      </c>
      <c r="H1358" s="2">
        <v>4500</v>
      </c>
      <c r="I1358" s="2">
        <v>22</v>
      </c>
      <c r="J1358" s="2" t="s">
        <v>66</v>
      </c>
      <c r="K1358" s="2" t="s">
        <v>67</v>
      </c>
      <c r="L1358" s="2" t="s">
        <v>4503</v>
      </c>
      <c r="M1358" s="7" t="s">
        <v>4504</v>
      </c>
      <c r="N1358" s="7" t="s">
        <v>4505</v>
      </c>
      <c r="O1358" s="2"/>
      <c r="P1358" s="2"/>
      <c r="Q1358" s="2" t="str">
        <f>IF(SUMPRODUCT(--ISNUMBER(SEARCH('National Domains'!$A$2:$A$48,L1358)))&gt;0,"Yes","No")</f>
        <v>Yes</v>
      </c>
      <c r="R1358" s="2" t="str">
        <f>IF(COUNTIFS(Calibration!$A:$A,A1358,Calibration!$B:$B,B1358)&gt;0,"Yes","No")</f>
        <v>No</v>
      </c>
      <c r="S1358" s="6"/>
    </row>
    <row r="1359" spans="1:19" ht="34.5" customHeight="1" x14ac:dyDescent="0.2">
      <c r="A1359" s="2">
        <v>261</v>
      </c>
      <c r="B1359" s="2">
        <v>5</v>
      </c>
      <c r="C1359" s="2" t="s">
        <v>434</v>
      </c>
      <c r="D1359" s="2" t="s">
        <v>25</v>
      </c>
      <c r="E1359" s="2">
        <v>20221226</v>
      </c>
      <c r="F1359" s="2">
        <v>20230319</v>
      </c>
      <c r="G1359" s="2">
        <v>4725</v>
      </c>
      <c r="H1359" s="2">
        <v>4500</v>
      </c>
      <c r="I1359" s="2">
        <v>22</v>
      </c>
      <c r="J1359" s="2" t="s">
        <v>66</v>
      </c>
      <c r="K1359" s="2" t="s">
        <v>67</v>
      </c>
      <c r="L1359" s="2" t="s">
        <v>4506</v>
      </c>
      <c r="M1359" s="7" t="s">
        <v>4507</v>
      </c>
      <c r="N1359" s="7" t="s">
        <v>4508</v>
      </c>
      <c r="O1359" s="2"/>
      <c r="P1359" s="2"/>
      <c r="Q1359" s="2" t="str">
        <f>IF(SUMPRODUCT(--ISNUMBER(SEARCH('National Domains'!$A$2:$A$48,L1359)))&gt;0,"Yes","No")</f>
        <v>Yes</v>
      </c>
      <c r="R1359" s="2" t="str">
        <f>IF(COUNTIFS(Calibration!$A:$A,A1359,Calibration!$B:$B,B1359)&gt;0,"Yes","No")</f>
        <v>No</v>
      </c>
      <c r="S1359" s="6"/>
    </row>
    <row r="1360" spans="1:19" ht="34.5" customHeight="1" x14ac:dyDescent="0.2">
      <c r="A1360" s="2">
        <v>261</v>
      </c>
      <c r="B1360" s="2">
        <v>6</v>
      </c>
      <c r="C1360" s="2" t="s">
        <v>434</v>
      </c>
      <c r="D1360" s="2" t="s">
        <v>25</v>
      </c>
      <c r="E1360" s="2">
        <v>20221226</v>
      </c>
      <c r="F1360" s="2">
        <v>20230319</v>
      </c>
      <c r="G1360" s="2">
        <v>4725</v>
      </c>
      <c r="H1360" s="2">
        <v>4500</v>
      </c>
      <c r="I1360" s="2">
        <v>22</v>
      </c>
      <c r="J1360" s="2" t="s">
        <v>66</v>
      </c>
      <c r="K1360" s="2" t="s">
        <v>67</v>
      </c>
      <c r="L1360" s="2" t="s">
        <v>4509</v>
      </c>
      <c r="M1360" s="7" t="s">
        <v>4510</v>
      </c>
      <c r="N1360" s="7" t="s">
        <v>4511</v>
      </c>
      <c r="O1360" s="2"/>
      <c r="P1360" s="2"/>
      <c r="Q1360" s="2" t="str">
        <f>IF(SUMPRODUCT(--ISNUMBER(SEARCH('National Domains'!$A$2:$A$48,L1360)))&gt;0,"Yes","No")</f>
        <v>Yes</v>
      </c>
      <c r="R1360" s="2" t="str">
        <f>IF(COUNTIFS(Calibration!$A:$A,A1360,Calibration!$B:$B,B1360)&gt;0,"Yes","No")</f>
        <v>No</v>
      </c>
      <c r="S1360" s="6"/>
    </row>
    <row r="1361" spans="1:19" ht="34.5" customHeight="1" x14ac:dyDescent="0.2">
      <c r="A1361" s="2">
        <v>262</v>
      </c>
      <c r="B1361" s="2">
        <v>1</v>
      </c>
      <c r="C1361" s="2" t="s">
        <v>435</v>
      </c>
      <c r="D1361" s="2" t="s">
        <v>17</v>
      </c>
      <c r="E1361" s="2">
        <v>20230324</v>
      </c>
      <c r="F1361" s="2">
        <v>20230326</v>
      </c>
      <c r="G1361" s="2">
        <v>2956</v>
      </c>
      <c r="H1361" s="2">
        <v>2815</v>
      </c>
      <c r="I1361" s="2">
        <v>23</v>
      </c>
      <c r="J1361" s="2" t="s">
        <v>61</v>
      </c>
      <c r="K1361" s="2" t="s">
        <v>62</v>
      </c>
      <c r="L1361" s="2" t="s">
        <v>4512</v>
      </c>
      <c r="M1361" s="7" t="s">
        <v>4513</v>
      </c>
      <c r="N1361" s="7" t="s">
        <v>4514</v>
      </c>
      <c r="O1361" s="2"/>
      <c r="P1361" s="2"/>
      <c r="Q1361" s="2" t="str">
        <f>IF(SUMPRODUCT(--ISNUMBER(SEARCH('National Domains'!$A$2:$A$48,L1361)))&gt;0,"Yes","No")</f>
        <v>No</v>
      </c>
      <c r="R1361" s="2" t="str">
        <f>IF(COUNTIFS(Calibration!$A:$A,A1361,Calibration!$B:$B,B1361)&gt;0,"Yes","No")</f>
        <v>No</v>
      </c>
      <c r="S1361" s="6"/>
    </row>
    <row r="1362" spans="1:19" ht="34.5" customHeight="1" x14ac:dyDescent="0.2">
      <c r="A1362" s="2">
        <v>262</v>
      </c>
      <c r="B1362" s="2">
        <v>2</v>
      </c>
      <c r="C1362" s="2" t="s">
        <v>435</v>
      </c>
      <c r="D1362" s="2" t="s">
        <v>17</v>
      </c>
      <c r="E1362" s="2">
        <v>20230324</v>
      </c>
      <c r="F1362" s="2">
        <v>20230326</v>
      </c>
      <c r="G1362" s="2">
        <v>2956</v>
      </c>
      <c r="H1362" s="2">
        <v>2815</v>
      </c>
      <c r="I1362" s="2">
        <v>23</v>
      </c>
      <c r="J1362" s="2" t="s">
        <v>61</v>
      </c>
      <c r="K1362" s="2" t="s">
        <v>62</v>
      </c>
      <c r="L1362" s="2" t="s">
        <v>4515</v>
      </c>
      <c r="M1362" s="7" t="s">
        <v>4516</v>
      </c>
      <c r="N1362" s="7" t="s">
        <v>4517</v>
      </c>
      <c r="O1362" s="2"/>
      <c r="P1362" s="2"/>
      <c r="Q1362" s="2" t="str">
        <f>IF(SUMPRODUCT(--ISNUMBER(SEARCH('National Domains'!$A$2:$A$48,L1362)))&gt;0,"Yes","No")</f>
        <v>No</v>
      </c>
      <c r="R1362" s="2" t="str">
        <f>IF(COUNTIFS(Calibration!$A:$A,A1362,Calibration!$B:$B,B1362)&gt;0,"Yes","No")</f>
        <v>No</v>
      </c>
      <c r="S1362" s="6"/>
    </row>
    <row r="1363" spans="1:19" ht="34.5" customHeight="1" x14ac:dyDescent="0.2">
      <c r="A1363" s="2">
        <v>262</v>
      </c>
      <c r="B1363" s="2">
        <v>3</v>
      </c>
      <c r="C1363" s="2" t="s">
        <v>435</v>
      </c>
      <c r="D1363" s="2" t="s">
        <v>17</v>
      </c>
      <c r="E1363" s="2">
        <v>20230324</v>
      </c>
      <c r="F1363" s="2">
        <v>20230326</v>
      </c>
      <c r="G1363" s="2">
        <v>2956</v>
      </c>
      <c r="H1363" s="2">
        <v>2815</v>
      </c>
      <c r="I1363" s="2">
        <v>23</v>
      </c>
      <c r="J1363" s="2" t="s">
        <v>61</v>
      </c>
      <c r="K1363" s="2" t="s">
        <v>62</v>
      </c>
      <c r="L1363" s="2" t="s">
        <v>4518</v>
      </c>
      <c r="M1363" s="7" t="s">
        <v>4519</v>
      </c>
      <c r="N1363" s="7" t="s">
        <v>4520</v>
      </c>
      <c r="O1363" s="2"/>
      <c r="P1363" s="2"/>
      <c r="Q1363" s="2" t="str">
        <f>IF(SUMPRODUCT(--ISNUMBER(SEARCH('National Domains'!$A$2:$A$48,L1363)))&gt;0,"Yes","No")</f>
        <v>No</v>
      </c>
      <c r="R1363" s="2" t="str">
        <f>IF(COUNTIFS(Calibration!$A:$A,A1363,Calibration!$B:$B,B1363)&gt;0,"Yes","No")</f>
        <v>No</v>
      </c>
      <c r="S1363" s="6"/>
    </row>
    <row r="1364" spans="1:19" ht="34.5" customHeight="1" x14ac:dyDescent="0.2">
      <c r="A1364" s="2">
        <v>262</v>
      </c>
      <c r="B1364" s="2">
        <v>4</v>
      </c>
      <c r="C1364" s="2" t="s">
        <v>435</v>
      </c>
      <c r="D1364" s="2" t="s">
        <v>17</v>
      </c>
      <c r="E1364" s="2">
        <v>20230324</v>
      </c>
      <c r="F1364" s="2">
        <v>20230326</v>
      </c>
      <c r="G1364" s="2">
        <v>2956</v>
      </c>
      <c r="H1364" s="2">
        <v>2815</v>
      </c>
      <c r="I1364" s="2">
        <v>23</v>
      </c>
      <c r="J1364" s="2" t="s">
        <v>61</v>
      </c>
      <c r="K1364" s="2" t="s">
        <v>62</v>
      </c>
      <c r="L1364" s="2" t="s">
        <v>4521</v>
      </c>
      <c r="M1364" s="7" t="s">
        <v>4522</v>
      </c>
      <c r="N1364" s="7" t="s">
        <v>4517</v>
      </c>
      <c r="O1364" s="2"/>
      <c r="P1364" s="2"/>
      <c r="Q1364" s="2" t="str">
        <f>IF(SUMPRODUCT(--ISNUMBER(SEARCH('National Domains'!$A$2:$A$48,L1364)))&gt;0,"Yes","No")</f>
        <v>Yes</v>
      </c>
      <c r="R1364" s="2" t="str">
        <f>IF(COUNTIFS(Calibration!$A:$A,A1364,Calibration!$B:$B,B1364)&gt;0,"Yes","No")</f>
        <v>No</v>
      </c>
      <c r="S1364" s="6"/>
    </row>
    <row r="1365" spans="1:19" ht="34.5" customHeight="1" x14ac:dyDescent="0.2">
      <c r="A1365" s="2">
        <v>262</v>
      </c>
      <c r="B1365" s="2">
        <v>5</v>
      </c>
      <c r="C1365" s="2" t="s">
        <v>435</v>
      </c>
      <c r="D1365" s="2" t="s">
        <v>17</v>
      </c>
      <c r="E1365" s="2">
        <v>20230324</v>
      </c>
      <c r="F1365" s="2">
        <v>20230326</v>
      </c>
      <c r="G1365" s="2">
        <v>2956</v>
      </c>
      <c r="H1365" s="2">
        <v>2815</v>
      </c>
      <c r="I1365" s="2">
        <v>23</v>
      </c>
      <c r="J1365" s="2" t="s">
        <v>61</v>
      </c>
      <c r="K1365" s="2" t="s">
        <v>62</v>
      </c>
      <c r="L1365" s="2" t="s">
        <v>4523</v>
      </c>
      <c r="M1365" s="7" t="s">
        <v>4524</v>
      </c>
      <c r="N1365" s="7" t="s">
        <v>4525</v>
      </c>
      <c r="O1365" s="2"/>
      <c r="P1365" s="2"/>
      <c r="Q1365" s="2" t="str">
        <f>IF(SUMPRODUCT(--ISNUMBER(SEARCH('National Domains'!$A$2:$A$48,L1365)))&gt;0,"Yes","No")</f>
        <v>Yes</v>
      </c>
      <c r="R1365" s="2" t="str">
        <f>IF(COUNTIFS(Calibration!$A:$A,A1365,Calibration!$B:$B,B1365)&gt;0,"Yes","No")</f>
        <v>No</v>
      </c>
      <c r="S1365" s="6"/>
    </row>
    <row r="1366" spans="1:19" ht="34.5" customHeight="1" x14ac:dyDescent="0.2">
      <c r="A1366" s="2">
        <v>262</v>
      </c>
      <c r="B1366" s="2">
        <v>6</v>
      </c>
      <c r="C1366" s="2" t="s">
        <v>435</v>
      </c>
      <c r="D1366" s="2" t="s">
        <v>17</v>
      </c>
      <c r="E1366" s="2">
        <v>20230324</v>
      </c>
      <c r="F1366" s="2">
        <v>20230326</v>
      </c>
      <c r="G1366" s="2">
        <v>2956</v>
      </c>
      <c r="H1366" s="2">
        <v>2815</v>
      </c>
      <c r="I1366" s="2">
        <v>23</v>
      </c>
      <c r="J1366" s="2" t="s">
        <v>61</v>
      </c>
      <c r="K1366" s="2" t="s">
        <v>62</v>
      </c>
      <c r="L1366" s="2" t="s">
        <v>4526</v>
      </c>
      <c r="M1366" s="7" t="s">
        <v>4527</v>
      </c>
      <c r="N1366" s="7" t="s">
        <v>4528</v>
      </c>
      <c r="O1366" s="2"/>
      <c r="P1366" s="2"/>
      <c r="Q1366" s="2" t="str">
        <f>IF(SUMPRODUCT(--ISNUMBER(SEARCH('National Domains'!$A$2:$A$48,L1366)))&gt;0,"Yes","No")</f>
        <v>Yes</v>
      </c>
      <c r="R1366" s="2" t="str">
        <f>IF(COUNTIFS(Calibration!$A:$A,A1366,Calibration!$B:$B,B1366)&gt;0,"Yes","No")</f>
        <v>No</v>
      </c>
      <c r="S1366" s="6"/>
    </row>
    <row r="1367" spans="1:19" ht="34.5" customHeight="1" x14ac:dyDescent="0.2">
      <c r="A1367" s="2">
        <v>262</v>
      </c>
      <c r="B1367" s="2">
        <v>7</v>
      </c>
      <c r="C1367" s="2" t="s">
        <v>435</v>
      </c>
      <c r="D1367" s="2" t="s">
        <v>17</v>
      </c>
      <c r="E1367" s="2">
        <v>20230324</v>
      </c>
      <c r="F1367" s="2">
        <v>20230326</v>
      </c>
      <c r="G1367" s="2">
        <v>2956</v>
      </c>
      <c r="H1367" s="2">
        <v>2815</v>
      </c>
      <c r="I1367" s="2">
        <v>23</v>
      </c>
      <c r="J1367" s="2" t="s">
        <v>61</v>
      </c>
      <c r="K1367" s="2" t="s">
        <v>62</v>
      </c>
      <c r="L1367" s="2" t="s">
        <v>4529</v>
      </c>
      <c r="M1367" s="7" t="s">
        <v>4530</v>
      </c>
      <c r="N1367" s="7" t="s">
        <v>4531</v>
      </c>
      <c r="O1367" s="2"/>
      <c r="P1367" s="2"/>
      <c r="Q1367" s="2" t="str">
        <f>IF(SUMPRODUCT(--ISNUMBER(SEARCH('National Domains'!$A$2:$A$48,L1367)))&gt;0,"Yes","No")</f>
        <v>Yes</v>
      </c>
      <c r="R1367" s="2" t="str">
        <f>IF(COUNTIFS(Calibration!$A:$A,A1367,Calibration!$B:$B,B1367)&gt;0,"Yes","No")</f>
        <v>No</v>
      </c>
      <c r="S1367" s="6"/>
    </row>
    <row r="1368" spans="1:19" ht="34.5" customHeight="1" x14ac:dyDescent="0.2">
      <c r="A1368" s="2">
        <v>262</v>
      </c>
      <c r="B1368" s="2">
        <v>8</v>
      </c>
      <c r="C1368" s="2" t="s">
        <v>435</v>
      </c>
      <c r="D1368" s="2" t="s">
        <v>17</v>
      </c>
      <c r="E1368" s="2">
        <v>20230324</v>
      </c>
      <c r="F1368" s="2">
        <v>20230326</v>
      </c>
      <c r="G1368" s="2">
        <v>2956</v>
      </c>
      <c r="H1368" s="2">
        <v>2815</v>
      </c>
      <c r="I1368" s="2">
        <v>23</v>
      </c>
      <c r="J1368" s="2" t="s">
        <v>61</v>
      </c>
      <c r="K1368" s="2" t="s">
        <v>62</v>
      </c>
      <c r="L1368" s="2" t="s">
        <v>4532</v>
      </c>
      <c r="M1368" s="7" t="s">
        <v>4533</v>
      </c>
      <c r="N1368" s="7" t="s">
        <v>4534</v>
      </c>
      <c r="O1368" s="2"/>
      <c r="P1368" s="2"/>
      <c r="Q1368" s="2" t="str">
        <f>IF(SUMPRODUCT(--ISNUMBER(SEARCH('National Domains'!$A$2:$A$48,L1368)))&gt;0,"Yes","No")</f>
        <v>Yes</v>
      </c>
      <c r="R1368" s="2" t="str">
        <f>IF(COUNTIFS(Calibration!$A:$A,A1368,Calibration!$B:$B,B1368)&gt;0,"Yes","No")</f>
        <v>No</v>
      </c>
      <c r="S1368" s="6"/>
    </row>
    <row r="1369" spans="1:19" ht="34.5" customHeight="1" x14ac:dyDescent="0.2">
      <c r="A1369" s="2">
        <v>262</v>
      </c>
      <c r="B1369" s="2">
        <v>9</v>
      </c>
      <c r="C1369" s="2" t="s">
        <v>435</v>
      </c>
      <c r="D1369" s="2" t="s">
        <v>17</v>
      </c>
      <c r="E1369" s="2">
        <v>20230324</v>
      </c>
      <c r="F1369" s="2">
        <v>20230326</v>
      </c>
      <c r="G1369" s="2">
        <v>2956</v>
      </c>
      <c r="H1369" s="2">
        <v>2815</v>
      </c>
      <c r="I1369" s="2">
        <v>23</v>
      </c>
      <c r="J1369" s="2" t="s">
        <v>61</v>
      </c>
      <c r="K1369" s="2" t="s">
        <v>62</v>
      </c>
      <c r="L1369" s="2" t="s">
        <v>4535</v>
      </c>
      <c r="M1369" s="7" t="s">
        <v>4536</v>
      </c>
      <c r="N1369" s="7" t="s">
        <v>4537</v>
      </c>
      <c r="O1369" s="2"/>
      <c r="P1369" s="2"/>
      <c r="Q1369" s="2" t="str">
        <f>IF(SUMPRODUCT(--ISNUMBER(SEARCH('National Domains'!$A$2:$A$48,L1369)))&gt;0,"Yes","No")</f>
        <v>Yes</v>
      </c>
      <c r="R1369" s="2" t="str">
        <f>IF(COUNTIFS(Calibration!$A:$A,A1369,Calibration!$B:$B,B1369)&gt;0,"Yes","No")</f>
        <v>No</v>
      </c>
      <c r="S1369" s="6"/>
    </row>
    <row r="1370" spans="1:19" ht="34.5" customHeight="1" x14ac:dyDescent="0.2">
      <c r="A1370" s="2">
        <v>263</v>
      </c>
      <c r="B1370" s="2">
        <v>1</v>
      </c>
      <c r="C1370" s="2" t="s">
        <v>436</v>
      </c>
      <c r="D1370" s="2" t="s">
        <v>17</v>
      </c>
      <c r="E1370" s="2">
        <v>20230331</v>
      </c>
      <c r="F1370" s="2">
        <v>20230401</v>
      </c>
      <c r="G1370" s="2">
        <v>5909.8</v>
      </c>
      <c r="H1370" s="2">
        <v>5628</v>
      </c>
      <c r="I1370" s="2">
        <v>33</v>
      </c>
      <c r="J1370" s="2" t="s">
        <v>250</v>
      </c>
      <c r="K1370" s="2" t="s">
        <v>251</v>
      </c>
      <c r="L1370" s="2" t="s">
        <v>4538</v>
      </c>
      <c r="M1370" s="7" t="s">
        <v>4539</v>
      </c>
      <c r="N1370" s="7" t="s">
        <v>4540</v>
      </c>
      <c r="O1370" s="2"/>
      <c r="P1370" s="2"/>
      <c r="Q1370" s="2" t="str">
        <f>IF(SUMPRODUCT(--ISNUMBER(SEARCH('National Domains'!$A$2:$A$48,L1370)))&gt;0,"Yes","No")</f>
        <v>No</v>
      </c>
      <c r="R1370" s="2" t="str">
        <f>IF(COUNTIFS(Calibration!$A:$A,A1370,Calibration!$B:$B,B1370)&gt;0,"Yes","No")</f>
        <v>No</v>
      </c>
      <c r="S1370" s="6"/>
    </row>
    <row r="1371" spans="1:19" ht="34.5" customHeight="1" x14ac:dyDescent="0.2">
      <c r="A1371" s="2">
        <v>263</v>
      </c>
      <c r="B1371" s="2">
        <v>2</v>
      </c>
      <c r="C1371" s="2" t="s">
        <v>436</v>
      </c>
      <c r="D1371" s="2" t="s">
        <v>17</v>
      </c>
      <c r="E1371" s="2">
        <v>20230331</v>
      </c>
      <c r="F1371" s="2">
        <v>20230401</v>
      </c>
      <c r="G1371" s="2">
        <v>5909.8</v>
      </c>
      <c r="H1371" s="2">
        <v>5628</v>
      </c>
      <c r="I1371" s="2">
        <v>33</v>
      </c>
      <c r="J1371" s="2" t="s">
        <v>250</v>
      </c>
      <c r="K1371" s="2" t="s">
        <v>251</v>
      </c>
      <c r="L1371" s="2" t="s">
        <v>4541</v>
      </c>
      <c r="M1371" s="7" t="s">
        <v>4542</v>
      </c>
      <c r="N1371" s="7" t="s">
        <v>4543</v>
      </c>
      <c r="O1371" s="2"/>
      <c r="P1371" s="2"/>
      <c r="Q1371" s="2" t="str">
        <f>IF(SUMPRODUCT(--ISNUMBER(SEARCH('National Domains'!$A$2:$A$48,L1371)))&gt;0,"Yes","No")</f>
        <v>Yes</v>
      </c>
      <c r="R1371" s="2" t="str">
        <f>IF(COUNTIFS(Calibration!$A:$A,A1371,Calibration!$B:$B,B1371)&gt;0,"Yes","No")</f>
        <v>No</v>
      </c>
      <c r="S1371" s="6"/>
    </row>
    <row r="1372" spans="1:19" ht="34.5" customHeight="1" x14ac:dyDescent="0.2">
      <c r="A1372" s="2">
        <v>263</v>
      </c>
      <c r="B1372" s="2">
        <v>3</v>
      </c>
      <c r="C1372" s="2" t="s">
        <v>436</v>
      </c>
      <c r="D1372" s="2" t="s">
        <v>17</v>
      </c>
      <c r="E1372" s="2">
        <v>20230331</v>
      </c>
      <c r="F1372" s="2">
        <v>20230401</v>
      </c>
      <c r="G1372" s="2">
        <v>5909.8</v>
      </c>
      <c r="H1372" s="2">
        <v>5628</v>
      </c>
      <c r="I1372" s="2">
        <v>33</v>
      </c>
      <c r="J1372" s="2" t="s">
        <v>250</v>
      </c>
      <c r="K1372" s="2" t="s">
        <v>251</v>
      </c>
      <c r="L1372" s="2" t="s">
        <v>4544</v>
      </c>
      <c r="M1372" s="7" t="s">
        <v>4545</v>
      </c>
      <c r="N1372" s="7" t="s">
        <v>4546</v>
      </c>
      <c r="O1372" s="2"/>
      <c r="P1372" s="2"/>
      <c r="Q1372" s="2" t="str">
        <f>IF(SUMPRODUCT(--ISNUMBER(SEARCH('National Domains'!$A$2:$A$48,L1372)))&gt;0,"Yes","No")</f>
        <v>Yes</v>
      </c>
      <c r="R1372" s="2" t="str">
        <f>IF(COUNTIFS(Calibration!$A:$A,A1372,Calibration!$B:$B,B1372)&gt;0,"Yes","No")</f>
        <v>No</v>
      </c>
      <c r="S1372" s="6"/>
    </row>
    <row r="1373" spans="1:19" ht="34.5" customHeight="1" x14ac:dyDescent="0.2">
      <c r="A1373" s="2">
        <v>263</v>
      </c>
      <c r="B1373" s="2">
        <v>4</v>
      </c>
      <c r="C1373" s="2" t="s">
        <v>436</v>
      </c>
      <c r="D1373" s="2" t="s">
        <v>17</v>
      </c>
      <c r="E1373" s="2">
        <v>20230331</v>
      </c>
      <c r="F1373" s="2">
        <v>20230401</v>
      </c>
      <c r="G1373" s="2">
        <v>5909.8</v>
      </c>
      <c r="H1373" s="2">
        <v>5628</v>
      </c>
      <c r="I1373" s="2">
        <v>33</v>
      </c>
      <c r="J1373" s="2" t="s">
        <v>250</v>
      </c>
      <c r="K1373" s="2" t="s">
        <v>251</v>
      </c>
      <c r="L1373" s="2" t="s">
        <v>4547</v>
      </c>
      <c r="M1373" s="7" t="s">
        <v>4548</v>
      </c>
      <c r="N1373" s="7" t="s">
        <v>4549</v>
      </c>
      <c r="O1373" s="2"/>
      <c r="P1373" s="2"/>
      <c r="Q1373" s="2" t="str">
        <f>IF(SUMPRODUCT(--ISNUMBER(SEARCH('National Domains'!$A$2:$A$48,L1373)))&gt;0,"Yes","No")</f>
        <v>Yes</v>
      </c>
      <c r="R1373" s="2" t="str">
        <f>IF(COUNTIFS(Calibration!$A:$A,A1373,Calibration!$B:$B,B1373)&gt;0,"Yes","No")</f>
        <v>No</v>
      </c>
      <c r="S1373" s="6"/>
    </row>
    <row r="1374" spans="1:19" ht="34.5" customHeight="1" x14ac:dyDescent="0.2">
      <c r="A1374" s="2">
        <v>263</v>
      </c>
      <c r="B1374" s="2">
        <v>5</v>
      </c>
      <c r="C1374" s="2" t="s">
        <v>436</v>
      </c>
      <c r="D1374" s="2" t="s">
        <v>17</v>
      </c>
      <c r="E1374" s="2">
        <v>20230331</v>
      </c>
      <c r="F1374" s="2">
        <v>20230401</v>
      </c>
      <c r="G1374" s="2">
        <v>5909.8</v>
      </c>
      <c r="H1374" s="2">
        <v>5628</v>
      </c>
      <c r="I1374" s="2">
        <v>33</v>
      </c>
      <c r="J1374" s="2" t="s">
        <v>250</v>
      </c>
      <c r="K1374" s="2" t="s">
        <v>251</v>
      </c>
      <c r="L1374" s="2" t="s">
        <v>4550</v>
      </c>
      <c r="M1374" s="7" t="s">
        <v>741</v>
      </c>
      <c r="N1374" s="7" t="s">
        <v>4551</v>
      </c>
      <c r="O1374" s="2"/>
      <c r="P1374" s="2"/>
      <c r="Q1374" s="2" t="str">
        <f>IF(SUMPRODUCT(--ISNUMBER(SEARCH('National Domains'!$A$2:$A$48,L1374)))&gt;0,"Yes","No")</f>
        <v>Yes</v>
      </c>
      <c r="R1374" s="2" t="str">
        <f>IF(COUNTIFS(Calibration!$A:$A,A1374,Calibration!$B:$B,B1374)&gt;0,"Yes","No")</f>
        <v>No</v>
      </c>
      <c r="S1374" s="6"/>
    </row>
    <row r="1375" spans="1:19" ht="34.5" customHeight="1" x14ac:dyDescent="0.2">
      <c r="A1375" s="2">
        <v>263</v>
      </c>
      <c r="B1375" s="2">
        <v>6</v>
      </c>
      <c r="C1375" s="2" t="s">
        <v>436</v>
      </c>
      <c r="D1375" s="2" t="s">
        <v>17</v>
      </c>
      <c r="E1375" s="2">
        <v>20230331</v>
      </c>
      <c r="F1375" s="2">
        <v>20230401</v>
      </c>
      <c r="G1375" s="2">
        <v>5909.8</v>
      </c>
      <c r="H1375" s="2">
        <v>5628</v>
      </c>
      <c r="I1375" s="2">
        <v>33</v>
      </c>
      <c r="J1375" s="2" t="s">
        <v>250</v>
      </c>
      <c r="K1375" s="2" t="s">
        <v>251</v>
      </c>
      <c r="L1375" s="2" t="s">
        <v>4552</v>
      </c>
      <c r="M1375" s="7" t="s">
        <v>741</v>
      </c>
      <c r="N1375" s="7" t="s">
        <v>4553</v>
      </c>
      <c r="O1375" s="2"/>
      <c r="P1375" s="2"/>
      <c r="Q1375" s="2" t="str">
        <f>IF(SUMPRODUCT(--ISNUMBER(SEARCH('National Domains'!$A$2:$A$48,L1375)))&gt;0,"Yes","No")</f>
        <v>Yes</v>
      </c>
      <c r="R1375" s="2" t="str">
        <f>IF(COUNTIFS(Calibration!$A:$A,A1375,Calibration!$B:$B,B1375)&gt;0,"Yes","No")</f>
        <v>No</v>
      </c>
      <c r="S1375" s="6"/>
    </row>
    <row r="1376" spans="1:19" ht="34.5" customHeight="1" x14ac:dyDescent="0.2">
      <c r="A1376" s="2">
        <v>263</v>
      </c>
      <c r="B1376" s="2">
        <v>7</v>
      </c>
      <c r="C1376" s="2" t="s">
        <v>436</v>
      </c>
      <c r="D1376" s="2" t="s">
        <v>17</v>
      </c>
      <c r="E1376" s="2">
        <v>20230331</v>
      </c>
      <c r="F1376" s="2">
        <v>20230401</v>
      </c>
      <c r="G1376" s="2">
        <v>5909.8</v>
      </c>
      <c r="H1376" s="2">
        <v>5628</v>
      </c>
      <c r="I1376" s="2">
        <v>33</v>
      </c>
      <c r="J1376" s="2" t="s">
        <v>250</v>
      </c>
      <c r="K1376" s="2" t="s">
        <v>251</v>
      </c>
      <c r="L1376" s="2" t="s">
        <v>4554</v>
      </c>
      <c r="M1376" s="7" t="s">
        <v>4555</v>
      </c>
      <c r="N1376" s="7" t="s">
        <v>4556</v>
      </c>
      <c r="O1376" s="2"/>
      <c r="P1376" s="2"/>
      <c r="Q1376" s="2" t="str">
        <f>IF(SUMPRODUCT(--ISNUMBER(SEARCH('National Domains'!$A$2:$A$48,L1376)))&gt;0,"Yes","No")</f>
        <v>Yes</v>
      </c>
      <c r="R1376" s="2" t="str">
        <f>IF(COUNTIFS(Calibration!$A:$A,A1376,Calibration!$B:$B,B1376)&gt;0,"Yes","No")</f>
        <v>No</v>
      </c>
      <c r="S1376" s="6"/>
    </row>
    <row r="1377" spans="1:19" ht="34.5" customHeight="1" x14ac:dyDescent="0.2">
      <c r="A1377" s="2">
        <v>264</v>
      </c>
      <c r="B1377" s="2">
        <v>1</v>
      </c>
      <c r="C1377" s="2" t="s">
        <v>437</v>
      </c>
      <c r="D1377" s="2" t="s">
        <v>17</v>
      </c>
      <c r="E1377" s="2">
        <v>20230404</v>
      </c>
      <c r="F1377" s="2">
        <v>20230406</v>
      </c>
      <c r="G1377" s="2">
        <v>2956.1</v>
      </c>
      <c r="H1377" s="2">
        <v>2815</v>
      </c>
      <c r="I1377" s="2">
        <v>5</v>
      </c>
      <c r="J1377" s="2" t="s">
        <v>250</v>
      </c>
      <c r="K1377" s="2" t="s">
        <v>251</v>
      </c>
      <c r="L1377" s="2" t="s">
        <v>4557</v>
      </c>
      <c r="M1377" s="7" t="s">
        <v>4558</v>
      </c>
      <c r="N1377" s="7" t="s">
        <v>4559</v>
      </c>
      <c r="O1377" s="2"/>
      <c r="P1377" s="2"/>
      <c r="Q1377" s="2" t="str">
        <f>IF(SUMPRODUCT(--ISNUMBER(SEARCH('National Domains'!$A$2:$A$48,L1377)))&gt;0,"Yes","No")</f>
        <v>No</v>
      </c>
      <c r="R1377" s="2" t="str">
        <f>IF(COUNTIFS(Calibration!$A:$A,A1377,Calibration!$B:$B,B1377)&gt;0,"Yes","No")</f>
        <v>No</v>
      </c>
      <c r="S1377" s="6"/>
    </row>
    <row r="1378" spans="1:19" ht="34.5" customHeight="1" x14ac:dyDescent="0.2">
      <c r="A1378" s="2">
        <v>264</v>
      </c>
      <c r="B1378" s="2">
        <v>2</v>
      </c>
      <c r="C1378" s="2" t="s">
        <v>437</v>
      </c>
      <c r="D1378" s="2" t="s">
        <v>17</v>
      </c>
      <c r="E1378" s="2">
        <v>20230404</v>
      </c>
      <c r="F1378" s="2">
        <v>20230406</v>
      </c>
      <c r="G1378" s="2">
        <v>2956.1</v>
      </c>
      <c r="H1378" s="2">
        <v>2815</v>
      </c>
      <c r="I1378" s="2">
        <v>5</v>
      </c>
      <c r="J1378" s="2" t="s">
        <v>250</v>
      </c>
      <c r="K1378" s="2" t="s">
        <v>251</v>
      </c>
      <c r="L1378" s="2" t="s">
        <v>4560</v>
      </c>
      <c r="M1378" s="7" t="s">
        <v>4561</v>
      </c>
      <c r="N1378" s="7" t="s">
        <v>4562</v>
      </c>
      <c r="O1378" s="2"/>
      <c r="P1378" s="2"/>
      <c r="Q1378" s="2" t="str">
        <f>IF(SUMPRODUCT(--ISNUMBER(SEARCH('National Domains'!$A$2:$A$48,L1378)))&gt;0,"Yes","No")</f>
        <v>Yes</v>
      </c>
      <c r="R1378" s="2" t="str">
        <f>IF(COUNTIFS(Calibration!$A:$A,A1378,Calibration!$B:$B,B1378)&gt;0,"Yes","No")</f>
        <v>No</v>
      </c>
      <c r="S1378" s="6"/>
    </row>
    <row r="1379" spans="1:19" ht="34.5" customHeight="1" x14ac:dyDescent="0.2">
      <c r="A1379" s="2">
        <v>264</v>
      </c>
      <c r="B1379" s="2">
        <v>3</v>
      </c>
      <c r="C1379" s="2" t="s">
        <v>437</v>
      </c>
      <c r="D1379" s="2" t="s">
        <v>17</v>
      </c>
      <c r="E1379" s="2">
        <v>20230404</v>
      </c>
      <c r="F1379" s="2">
        <v>20230406</v>
      </c>
      <c r="G1379" s="2">
        <v>2956.1</v>
      </c>
      <c r="H1379" s="2">
        <v>2815</v>
      </c>
      <c r="I1379" s="2">
        <v>5</v>
      </c>
      <c r="J1379" s="2" t="s">
        <v>250</v>
      </c>
      <c r="K1379" s="2" t="s">
        <v>251</v>
      </c>
      <c r="L1379" s="2" t="s">
        <v>4563</v>
      </c>
      <c r="M1379" s="7" t="s">
        <v>4564</v>
      </c>
      <c r="N1379" s="7" t="s">
        <v>4565</v>
      </c>
      <c r="O1379" s="2"/>
      <c r="P1379" s="2"/>
      <c r="Q1379" s="2" t="str">
        <f>IF(SUMPRODUCT(--ISNUMBER(SEARCH('National Domains'!$A$2:$A$48,L1379)))&gt;0,"Yes","No")</f>
        <v>Yes</v>
      </c>
      <c r="R1379" s="2" t="str">
        <f>IF(COUNTIFS(Calibration!$A:$A,A1379,Calibration!$B:$B,B1379)&gt;0,"Yes","No")</f>
        <v>No</v>
      </c>
      <c r="S1379" s="6"/>
    </row>
    <row r="1380" spans="1:19" ht="34.5" customHeight="1" x14ac:dyDescent="0.2">
      <c r="A1380" s="2">
        <v>264</v>
      </c>
      <c r="B1380" s="2">
        <v>4</v>
      </c>
      <c r="C1380" s="2" t="s">
        <v>437</v>
      </c>
      <c r="D1380" s="2" t="s">
        <v>17</v>
      </c>
      <c r="E1380" s="2">
        <v>20230404</v>
      </c>
      <c r="F1380" s="2">
        <v>20230406</v>
      </c>
      <c r="G1380" s="2">
        <v>2956.1</v>
      </c>
      <c r="H1380" s="2">
        <v>2815</v>
      </c>
      <c r="I1380" s="2">
        <v>5</v>
      </c>
      <c r="J1380" s="2" t="s">
        <v>250</v>
      </c>
      <c r="K1380" s="2" t="s">
        <v>251</v>
      </c>
      <c r="L1380" s="2" t="s">
        <v>4566</v>
      </c>
      <c r="M1380" s="7" t="s">
        <v>4567</v>
      </c>
      <c r="N1380" s="7" t="s">
        <v>4568</v>
      </c>
      <c r="O1380" s="2"/>
      <c r="P1380" s="2"/>
      <c r="Q1380" s="2" t="str">
        <f>IF(SUMPRODUCT(--ISNUMBER(SEARCH('National Domains'!$A$2:$A$48,L1380)))&gt;0,"Yes","No")</f>
        <v>No</v>
      </c>
      <c r="R1380" s="2" t="str">
        <f>IF(COUNTIFS(Calibration!$A:$A,A1380,Calibration!$B:$B,B1380)&gt;0,"Yes","No")</f>
        <v>No</v>
      </c>
      <c r="S1380" s="6"/>
    </row>
    <row r="1381" spans="1:19" ht="34.5" customHeight="1" x14ac:dyDescent="0.2">
      <c r="A1381" s="2">
        <v>264</v>
      </c>
      <c r="B1381" s="2">
        <v>5</v>
      </c>
      <c r="C1381" s="2" t="s">
        <v>437</v>
      </c>
      <c r="D1381" s="2" t="s">
        <v>17</v>
      </c>
      <c r="E1381" s="2">
        <v>20230404</v>
      </c>
      <c r="F1381" s="2">
        <v>20230406</v>
      </c>
      <c r="G1381" s="2">
        <v>2956.1</v>
      </c>
      <c r="H1381" s="2">
        <v>2815</v>
      </c>
      <c r="I1381" s="2">
        <v>5</v>
      </c>
      <c r="J1381" s="2" t="s">
        <v>250</v>
      </c>
      <c r="K1381" s="2" t="s">
        <v>251</v>
      </c>
      <c r="L1381" s="2" t="s">
        <v>4569</v>
      </c>
      <c r="M1381" s="7" t="s">
        <v>4570</v>
      </c>
      <c r="N1381" s="7" t="s">
        <v>4571</v>
      </c>
      <c r="O1381" s="2"/>
      <c r="P1381" s="2"/>
      <c r="Q1381" s="2" t="str">
        <f>IF(SUMPRODUCT(--ISNUMBER(SEARCH('National Domains'!$A$2:$A$48,L1381)))&gt;0,"Yes","No")</f>
        <v>Yes</v>
      </c>
      <c r="R1381" s="2" t="str">
        <f>IF(COUNTIFS(Calibration!$A:$A,A1381,Calibration!$B:$B,B1381)&gt;0,"Yes","No")</f>
        <v>No</v>
      </c>
      <c r="S1381" s="6"/>
    </row>
    <row r="1382" spans="1:19" ht="34.5" customHeight="1" x14ac:dyDescent="0.2">
      <c r="A1382" s="2">
        <v>265</v>
      </c>
      <c r="B1382" s="2">
        <v>1</v>
      </c>
      <c r="C1382" s="2" t="s">
        <v>438</v>
      </c>
      <c r="D1382" s="2" t="s">
        <v>25</v>
      </c>
      <c r="E1382" s="2">
        <v>20230412</v>
      </c>
      <c r="F1382" s="2">
        <v>20230413</v>
      </c>
      <c r="G1382" s="2">
        <v>1144</v>
      </c>
      <c r="H1382" s="2">
        <v>1100</v>
      </c>
      <c r="I1382" s="2">
        <v>0</v>
      </c>
      <c r="J1382" s="2" t="s">
        <v>26</v>
      </c>
      <c r="K1382" s="2" t="s">
        <v>27</v>
      </c>
      <c r="L1382" s="2" t="s">
        <v>4572</v>
      </c>
      <c r="M1382" s="7" t="s">
        <v>4573</v>
      </c>
      <c r="N1382" s="7" t="s">
        <v>4574</v>
      </c>
      <c r="O1382" s="2"/>
      <c r="P1382" s="2"/>
      <c r="Q1382" s="2" t="str">
        <f>IF(SUMPRODUCT(--ISNUMBER(SEARCH('National Domains'!$A$2:$A$48,L1382)))&gt;0,"Yes","No")</f>
        <v>No</v>
      </c>
      <c r="R1382" s="2" t="str">
        <f>IF(COUNTIFS(Calibration!$A:$A,A1382,Calibration!$B:$B,B1382)&gt;0,"Yes","No")</f>
        <v>No</v>
      </c>
      <c r="S1382" s="6"/>
    </row>
    <row r="1383" spans="1:19" ht="34.5" customHeight="1" x14ac:dyDescent="0.2">
      <c r="A1383" s="2">
        <v>265</v>
      </c>
      <c r="B1383" s="2">
        <v>2</v>
      </c>
      <c r="C1383" s="2" t="s">
        <v>438</v>
      </c>
      <c r="D1383" s="2" t="s">
        <v>25</v>
      </c>
      <c r="E1383" s="2">
        <v>20230412</v>
      </c>
      <c r="F1383" s="2">
        <v>20230413</v>
      </c>
      <c r="G1383" s="2">
        <v>1144</v>
      </c>
      <c r="H1383" s="2">
        <v>1100</v>
      </c>
      <c r="I1383" s="2">
        <v>0</v>
      </c>
      <c r="J1383" s="2" t="s">
        <v>26</v>
      </c>
      <c r="K1383" s="2" t="s">
        <v>27</v>
      </c>
      <c r="L1383" s="2" t="s">
        <v>4575</v>
      </c>
      <c r="M1383" s="7" t="s">
        <v>4576</v>
      </c>
      <c r="N1383" s="7" t="s">
        <v>4577</v>
      </c>
      <c r="O1383" s="2"/>
      <c r="P1383" s="2"/>
      <c r="Q1383" s="2" t="str">
        <f>IF(SUMPRODUCT(--ISNUMBER(SEARCH('National Domains'!$A$2:$A$48,L1383)))&gt;0,"Yes","No")</f>
        <v>No</v>
      </c>
      <c r="R1383" s="2" t="str">
        <f>IF(COUNTIFS(Calibration!$A:$A,A1383,Calibration!$B:$B,B1383)&gt;0,"Yes","No")</f>
        <v>No</v>
      </c>
      <c r="S1383" s="6"/>
    </row>
    <row r="1384" spans="1:19" ht="34.5" customHeight="1" x14ac:dyDescent="0.2">
      <c r="A1384" s="2">
        <v>265</v>
      </c>
      <c r="B1384" s="2">
        <v>3</v>
      </c>
      <c r="C1384" s="2" t="s">
        <v>438</v>
      </c>
      <c r="D1384" s="2" t="s">
        <v>25</v>
      </c>
      <c r="E1384" s="2">
        <v>20230412</v>
      </c>
      <c r="F1384" s="2">
        <v>20230413</v>
      </c>
      <c r="G1384" s="2">
        <v>1144</v>
      </c>
      <c r="H1384" s="2">
        <v>1100</v>
      </c>
      <c r="I1384" s="2">
        <v>0</v>
      </c>
      <c r="J1384" s="2" t="s">
        <v>26</v>
      </c>
      <c r="K1384" s="2" t="s">
        <v>27</v>
      </c>
      <c r="L1384" s="2" t="s">
        <v>4578</v>
      </c>
      <c r="M1384" s="7" t="s">
        <v>4579</v>
      </c>
      <c r="N1384" s="7" t="s">
        <v>4580</v>
      </c>
      <c r="O1384" s="2"/>
      <c r="P1384" s="2"/>
      <c r="Q1384" s="2" t="str">
        <f>IF(SUMPRODUCT(--ISNUMBER(SEARCH('National Domains'!$A$2:$A$48,L1384)))&gt;0,"Yes","No")</f>
        <v>No</v>
      </c>
      <c r="R1384" s="2" t="str">
        <f>IF(COUNTIFS(Calibration!$A:$A,A1384,Calibration!$B:$B,B1384)&gt;0,"Yes","No")</f>
        <v>No</v>
      </c>
      <c r="S1384" s="6"/>
    </row>
    <row r="1385" spans="1:19" ht="34.5" customHeight="1" x14ac:dyDescent="0.2">
      <c r="A1385" s="2">
        <v>265</v>
      </c>
      <c r="B1385" s="2">
        <v>4</v>
      </c>
      <c r="C1385" s="2" t="s">
        <v>438</v>
      </c>
      <c r="D1385" s="2" t="s">
        <v>25</v>
      </c>
      <c r="E1385" s="2">
        <v>20230412</v>
      </c>
      <c r="F1385" s="2">
        <v>20230413</v>
      </c>
      <c r="G1385" s="2">
        <v>1144</v>
      </c>
      <c r="H1385" s="2">
        <v>1100</v>
      </c>
      <c r="I1385" s="2">
        <v>0</v>
      </c>
      <c r="J1385" s="2" t="s">
        <v>26</v>
      </c>
      <c r="K1385" s="2" t="s">
        <v>27</v>
      </c>
      <c r="L1385" s="2" t="s">
        <v>4581</v>
      </c>
      <c r="M1385" s="7" t="s">
        <v>4582</v>
      </c>
      <c r="N1385" s="7" t="s">
        <v>4583</v>
      </c>
      <c r="O1385" s="2"/>
      <c r="P1385" s="2"/>
      <c r="Q1385" s="2" t="str">
        <f>IF(SUMPRODUCT(--ISNUMBER(SEARCH('National Domains'!$A$2:$A$48,L1385)))&gt;0,"Yes","No")</f>
        <v>No</v>
      </c>
      <c r="R1385" s="2" t="str">
        <f>IF(COUNTIFS(Calibration!$A:$A,A1385,Calibration!$B:$B,B1385)&gt;0,"Yes","No")</f>
        <v>No</v>
      </c>
      <c r="S1385" s="6"/>
    </row>
    <row r="1386" spans="1:19" ht="34.5" customHeight="1" x14ac:dyDescent="0.2">
      <c r="A1386" s="2">
        <v>265</v>
      </c>
      <c r="B1386" s="2">
        <v>5</v>
      </c>
      <c r="C1386" s="2" t="s">
        <v>438</v>
      </c>
      <c r="D1386" s="2" t="s">
        <v>25</v>
      </c>
      <c r="E1386" s="2">
        <v>20230412</v>
      </c>
      <c r="F1386" s="2">
        <v>20230413</v>
      </c>
      <c r="G1386" s="2">
        <v>1144</v>
      </c>
      <c r="H1386" s="2">
        <v>1100</v>
      </c>
      <c r="I1386" s="2">
        <v>0</v>
      </c>
      <c r="J1386" s="2" t="s">
        <v>26</v>
      </c>
      <c r="K1386" s="2" t="s">
        <v>27</v>
      </c>
      <c r="L1386" s="2" t="s">
        <v>4584</v>
      </c>
      <c r="M1386" s="7" t="s">
        <v>4585</v>
      </c>
      <c r="N1386" s="7" t="s">
        <v>4586</v>
      </c>
      <c r="O1386" s="2"/>
      <c r="P1386" s="2"/>
      <c r="Q1386" s="2" t="str">
        <f>IF(SUMPRODUCT(--ISNUMBER(SEARCH('National Domains'!$A$2:$A$48,L1386)))&gt;0,"Yes","No")</f>
        <v>No</v>
      </c>
      <c r="R1386" s="2" t="str">
        <f>IF(COUNTIFS(Calibration!$A:$A,A1386,Calibration!$B:$B,B1386)&gt;0,"Yes","No")</f>
        <v>No</v>
      </c>
      <c r="S1386" s="6"/>
    </row>
    <row r="1387" spans="1:19" ht="34.5" customHeight="1" x14ac:dyDescent="0.2">
      <c r="A1387" s="2">
        <v>265</v>
      </c>
      <c r="B1387" s="2">
        <v>6</v>
      </c>
      <c r="C1387" s="2" t="s">
        <v>438</v>
      </c>
      <c r="D1387" s="2" t="s">
        <v>25</v>
      </c>
      <c r="E1387" s="2">
        <v>20230412</v>
      </c>
      <c r="F1387" s="2">
        <v>20230413</v>
      </c>
      <c r="G1387" s="2">
        <v>1144</v>
      </c>
      <c r="H1387" s="2">
        <v>1100</v>
      </c>
      <c r="I1387" s="2">
        <v>0</v>
      </c>
      <c r="J1387" s="2" t="s">
        <v>26</v>
      </c>
      <c r="K1387" s="2" t="s">
        <v>27</v>
      </c>
      <c r="L1387" s="2" t="s">
        <v>4587</v>
      </c>
      <c r="M1387" s="7" t="s">
        <v>4588</v>
      </c>
      <c r="N1387" s="7" t="s">
        <v>4589</v>
      </c>
      <c r="O1387" s="2"/>
      <c r="P1387" s="2"/>
      <c r="Q1387" s="2" t="str">
        <f>IF(SUMPRODUCT(--ISNUMBER(SEARCH('National Domains'!$A$2:$A$48,L1387)))&gt;0,"Yes","No")</f>
        <v>Yes</v>
      </c>
      <c r="R1387" s="2" t="str">
        <f>IF(COUNTIFS(Calibration!$A:$A,A1387,Calibration!$B:$B,B1387)&gt;0,"Yes","No")</f>
        <v>No</v>
      </c>
      <c r="S1387" s="6"/>
    </row>
    <row r="1388" spans="1:19" ht="34.5" customHeight="1" x14ac:dyDescent="0.2">
      <c r="A1388" s="2">
        <v>265</v>
      </c>
      <c r="B1388" s="2">
        <v>7</v>
      </c>
      <c r="C1388" s="2" t="s">
        <v>438</v>
      </c>
      <c r="D1388" s="2" t="s">
        <v>25</v>
      </c>
      <c r="E1388" s="2">
        <v>20230412</v>
      </c>
      <c r="F1388" s="2">
        <v>20230413</v>
      </c>
      <c r="G1388" s="2">
        <v>1144</v>
      </c>
      <c r="H1388" s="2">
        <v>1100</v>
      </c>
      <c r="I1388" s="2">
        <v>0</v>
      </c>
      <c r="J1388" s="2" t="s">
        <v>26</v>
      </c>
      <c r="K1388" s="2" t="s">
        <v>27</v>
      </c>
      <c r="L1388" s="2" t="s">
        <v>4590</v>
      </c>
      <c r="M1388" s="7" t="s">
        <v>4591</v>
      </c>
      <c r="N1388" s="7" t="s">
        <v>4592</v>
      </c>
      <c r="O1388" s="2"/>
      <c r="P1388" s="2"/>
      <c r="Q1388" s="2" t="str">
        <f>IF(SUMPRODUCT(--ISNUMBER(SEARCH('National Domains'!$A$2:$A$48,L1388)))&gt;0,"Yes","No")</f>
        <v>Yes</v>
      </c>
      <c r="R1388" s="2" t="str">
        <f>IF(COUNTIFS(Calibration!$A:$A,A1388,Calibration!$B:$B,B1388)&gt;0,"Yes","No")</f>
        <v>No</v>
      </c>
      <c r="S1388" s="6"/>
    </row>
    <row r="1389" spans="1:19" ht="34.5" customHeight="1" x14ac:dyDescent="0.2">
      <c r="A1389" s="2">
        <v>265</v>
      </c>
      <c r="B1389" s="2">
        <v>8</v>
      </c>
      <c r="C1389" s="2" t="s">
        <v>438</v>
      </c>
      <c r="D1389" s="2" t="s">
        <v>25</v>
      </c>
      <c r="E1389" s="2">
        <v>20230412</v>
      </c>
      <c r="F1389" s="2">
        <v>20230413</v>
      </c>
      <c r="G1389" s="2">
        <v>1144</v>
      </c>
      <c r="H1389" s="2">
        <v>1100</v>
      </c>
      <c r="I1389" s="2">
        <v>0</v>
      </c>
      <c r="J1389" s="2" t="s">
        <v>26</v>
      </c>
      <c r="K1389" s="2" t="s">
        <v>27</v>
      </c>
      <c r="L1389" s="2" t="s">
        <v>4593</v>
      </c>
      <c r="M1389" s="7" t="s">
        <v>4594</v>
      </c>
      <c r="N1389" s="7" t="s">
        <v>4595</v>
      </c>
      <c r="O1389" s="2"/>
      <c r="P1389" s="2"/>
      <c r="Q1389" s="2" t="str">
        <f>IF(SUMPRODUCT(--ISNUMBER(SEARCH('National Domains'!$A$2:$A$48,L1389)))&gt;0,"Yes","No")</f>
        <v>Yes</v>
      </c>
      <c r="R1389" s="2" t="str">
        <f>IF(COUNTIFS(Calibration!$A:$A,A1389,Calibration!$B:$B,B1389)&gt;0,"Yes","No")</f>
        <v>No</v>
      </c>
      <c r="S1389" s="6"/>
    </row>
    <row r="1390" spans="1:19" ht="34.5" customHeight="1" x14ac:dyDescent="0.2">
      <c r="A1390" s="2">
        <v>265</v>
      </c>
      <c r="B1390" s="2">
        <v>9</v>
      </c>
      <c r="C1390" s="2" t="s">
        <v>438</v>
      </c>
      <c r="D1390" s="2" t="s">
        <v>25</v>
      </c>
      <c r="E1390" s="2">
        <v>20230412</v>
      </c>
      <c r="F1390" s="2">
        <v>20230413</v>
      </c>
      <c r="G1390" s="2">
        <v>1144</v>
      </c>
      <c r="H1390" s="2">
        <v>1100</v>
      </c>
      <c r="I1390" s="2">
        <v>0</v>
      </c>
      <c r="J1390" s="2" t="s">
        <v>26</v>
      </c>
      <c r="K1390" s="2" t="s">
        <v>27</v>
      </c>
      <c r="L1390" s="2" t="s">
        <v>4596</v>
      </c>
      <c r="M1390" s="7" t="s">
        <v>4597</v>
      </c>
      <c r="N1390" s="7" t="s">
        <v>4598</v>
      </c>
      <c r="O1390" s="2"/>
      <c r="P1390" s="2"/>
      <c r="Q1390" s="2" t="str">
        <f>IF(SUMPRODUCT(--ISNUMBER(SEARCH('National Domains'!$A$2:$A$48,L1390)))&gt;0,"Yes","No")</f>
        <v>No</v>
      </c>
      <c r="R1390" s="2" t="str">
        <f>IF(COUNTIFS(Calibration!$A:$A,A1390,Calibration!$B:$B,B1390)&gt;0,"Yes","No")</f>
        <v>No</v>
      </c>
      <c r="S1390" s="6"/>
    </row>
    <row r="1391" spans="1:19" ht="34.5" customHeight="1" x14ac:dyDescent="0.2">
      <c r="A1391" s="2">
        <v>265</v>
      </c>
      <c r="B1391" s="2">
        <v>10</v>
      </c>
      <c r="C1391" s="2" t="s">
        <v>438</v>
      </c>
      <c r="D1391" s="2" t="s">
        <v>25</v>
      </c>
      <c r="E1391" s="2">
        <v>20230412</v>
      </c>
      <c r="F1391" s="2">
        <v>20230413</v>
      </c>
      <c r="G1391" s="2">
        <v>1144</v>
      </c>
      <c r="H1391" s="2">
        <v>1100</v>
      </c>
      <c r="I1391" s="2">
        <v>0</v>
      </c>
      <c r="J1391" s="2" t="s">
        <v>26</v>
      </c>
      <c r="K1391" s="2" t="s">
        <v>27</v>
      </c>
      <c r="L1391" s="2" t="s">
        <v>4599</v>
      </c>
      <c r="M1391" s="7" t="s">
        <v>4600</v>
      </c>
      <c r="N1391" s="7" t="s">
        <v>4601</v>
      </c>
      <c r="O1391" s="2"/>
      <c r="P1391" s="2"/>
      <c r="Q1391" s="2" t="str">
        <f>IF(SUMPRODUCT(--ISNUMBER(SEARCH('National Domains'!$A$2:$A$48,L1391)))&gt;0,"Yes","No")</f>
        <v>Yes</v>
      </c>
      <c r="R1391" s="2" t="str">
        <f>IF(COUNTIFS(Calibration!$A:$A,A1391,Calibration!$B:$B,B1391)&gt;0,"Yes","No")</f>
        <v>No</v>
      </c>
      <c r="S1391" s="6"/>
    </row>
    <row r="1392" spans="1:19" ht="34.5" customHeight="1" x14ac:dyDescent="0.2">
      <c r="A1392" s="2">
        <v>265</v>
      </c>
      <c r="B1392" s="2">
        <v>11</v>
      </c>
      <c r="C1392" s="2" t="s">
        <v>438</v>
      </c>
      <c r="D1392" s="2" t="s">
        <v>25</v>
      </c>
      <c r="E1392" s="2">
        <v>20230412</v>
      </c>
      <c r="F1392" s="2">
        <v>20230413</v>
      </c>
      <c r="G1392" s="2">
        <v>1144</v>
      </c>
      <c r="H1392" s="2">
        <v>1100</v>
      </c>
      <c r="I1392" s="2">
        <v>0</v>
      </c>
      <c r="J1392" s="2" t="s">
        <v>26</v>
      </c>
      <c r="K1392" s="2" t="s">
        <v>27</v>
      </c>
      <c r="L1392" s="2" t="s">
        <v>4602</v>
      </c>
      <c r="M1392" s="7" t="s">
        <v>4603</v>
      </c>
      <c r="N1392" s="7" t="s">
        <v>4604</v>
      </c>
      <c r="O1392" s="2"/>
      <c r="P1392" s="2"/>
      <c r="Q1392" s="2" t="str">
        <f>IF(SUMPRODUCT(--ISNUMBER(SEARCH('National Domains'!$A$2:$A$48,L1392)))&gt;0,"Yes","No")</f>
        <v>Yes</v>
      </c>
      <c r="R1392" s="2" t="str">
        <f>IF(COUNTIFS(Calibration!$A:$A,A1392,Calibration!$B:$B,B1392)&gt;0,"Yes","No")</f>
        <v>No</v>
      </c>
      <c r="S1392" s="6"/>
    </row>
    <row r="1393" spans="1:19" ht="34.5" customHeight="1" x14ac:dyDescent="0.2">
      <c r="A1393" s="2">
        <v>265</v>
      </c>
      <c r="B1393" s="2">
        <v>12</v>
      </c>
      <c r="C1393" s="2" t="s">
        <v>438</v>
      </c>
      <c r="D1393" s="2" t="s">
        <v>25</v>
      </c>
      <c r="E1393" s="2">
        <v>20230412</v>
      </c>
      <c r="F1393" s="2">
        <v>20230413</v>
      </c>
      <c r="G1393" s="2">
        <v>1144</v>
      </c>
      <c r="H1393" s="2">
        <v>1100</v>
      </c>
      <c r="I1393" s="2">
        <v>0</v>
      </c>
      <c r="J1393" s="2" t="s">
        <v>26</v>
      </c>
      <c r="K1393" s="2" t="s">
        <v>27</v>
      </c>
      <c r="L1393" s="2" t="s">
        <v>4605</v>
      </c>
      <c r="M1393" s="7" t="s">
        <v>4606</v>
      </c>
      <c r="N1393" s="7" t="s">
        <v>4607</v>
      </c>
      <c r="O1393" s="2"/>
      <c r="P1393" s="2"/>
      <c r="Q1393" s="2" t="str">
        <f>IF(SUMPRODUCT(--ISNUMBER(SEARCH('National Domains'!$A$2:$A$48,L1393)))&gt;0,"Yes","No")</f>
        <v>Yes</v>
      </c>
      <c r="R1393" s="2" t="str">
        <f>IF(COUNTIFS(Calibration!$A:$A,A1393,Calibration!$B:$B,B1393)&gt;0,"Yes","No")</f>
        <v>No</v>
      </c>
      <c r="S1393" s="6"/>
    </row>
    <row r="1394" spans="1:19" ht="34.5" customHeight="1" x14ac:dyDescent="0.2">
      <c r="A1394" s="4">
        <v>266</v>
      </c>
      <c r="B1394" s="4">
        <v>1</v>
      </c>
      <c r="C1394" s="4" t="s">
        <v>439</v>
      </c>
      <c r="D1394" s="4" t="s">
        <v>17</v>
      </c>
      <c r="E1394" s="4">
        <v>20230415</v>
      </c>
      <c r="F1394" s="4">
        <v>20230415</v>
      </c>
      <c r="G1394" s="4">
        <v>1401.9</v>
      </c>
      <c r="H1394" s="4">
        <v>1335</v>
      </c>
      <c r="I1394" s="4">
        <v>0</v>
      </c>
      <c r="J1394" s="4" t="s">
        <v>351</v>
      </c>
      <c r="K1394" s="4" t="s">
        <v>109</v>
      </c>
      <c r="L1394" s="4" t="s">
        <v>4608</v>
      </c>
      <c r="M1394" s="5" t="s">
        <v>4609</v>
      </c>
      <c r="N1394" s="5" t="s">
        <v>4610</v>
      </c>
      <c r="O1394" s="4"/>
      <c r="P1394" s="4"/>
      <c r="Q1394" s="4" t="str">
        <f>IF(SUMPRODUCT(--ISNUMBER(SEARCH('National Domains'!$A$2:$A$48,L1394)))&gt;0,"Yes","No")</f>
        <v>Yes</v>
      </c>
      <c r="R1394" s="4" t="str">
        <f>IF(COUNTIFS(Calibration!$A:$A,A1394,Calibration!$B:$B,B1394)&gt;0,"Yes","No")</f>
        <v>Yes</v>
      </c>
      <c r="S1394" s="6"/>
    </row>
    <row r="1395" spans="1:19" ht="34.5" customHeight="1" x14ac:dyDescent="0.2">
      <c r="A1395" s="2">
        <v>267</v>
      </c>
      <c r="B1395" s="2">
        <v>1</v>
      </c>
      <c r="C1395" s="2" t="s">
        <v>440</v>
      </c>
      <c r="D1395" s="2" t="s">
        <v>17</v>
      </c>
      <c r="E1395" s="2">
        <v>20230419</v>
      </c>
      <c r="F1395" s="2">
        <v>20230420</v>
      </c>
      <c r="G1395" s="2">
        <v>3108.3</v>
      </c>
      <c r="H1395" s="2">
        <v>2960</v>
      </c>
      <c r="I1395" s="2">
        <v>1</v>
      </c>
      <c r="J1395" s="2" t="s">
        <v>102</v>
      </c>
      <c r="K1395" s="2" t="s">
        <v>103</v>
      </c>
      <c r="L1395" s="2" t="s">
        <v>4611</v>
      </c>
      <c r="M1395" s="7" t="s">
        <v>4612</v>
      </c>
      <c r="N1395" s="7" t="s">
        <v>4613</v>
      </c>
      <c r="O1395" s="2"/>
      <c r="P1395" s="2"/>
      <c r="Q1395" s="2" t="str">
        <f>IF(SUMPRODUCT(--ISNUMBER(SEARCH('National Domains'!$A$2:$A$48,L1395)))&gt;0,"Yes","No")</f>
        <v>No</v>
      </c>
      <c r="R1395" s="2" t="str">
        <f>IF(COUNTIFS(Calibration!$A:$A,A1395,Calibration!$B:$B,B1395)&gt;0,"Yes","No")</f>
        <v>No</v>
      </c>
      <c r="S1395" s="6"/>
    </row>
    <row r="1396" spans="1:19" ht="34.5" customHeight="1" x14ac:dyDescent="0.2">
      <c r="A1396" s="2">
        <v>267</v>
      </c>
      <c r="B1396" s="2">
        <v>2</v>
      </c>
      <c r="C1396" s="2" t="s">
        <v>440</v>
      </c>
      <c r="D1396" s="2" t="s">
        <v>17</v>
      </c>
      <c r="E1396" s="2">
        <v>20230419</v>
      </c>
      <c r="F1396" s="2">
        <v>20230420</v>
      </c>
      <c r="G1396" s="2">
        <v>3108.3</v>
      </c>
      <c r="H1396" s="2">
        <v>2960</v>
      </c>
      <c r="I1396" s="2">
        <v>1</v>
      </c>
      <c r="J1396" s="2" t="s">
        <v>102</v>
      </c>
      <c r="K1396" s="2" t="s">
        <v>103</v>
      </c>
      <c r="L1396" s="2" t="s">
        <v>4614</v>
      </c>
      <c r="M1396" s="7" t="s">
        <v>4615</v>
      </c>
      <c r="N1396" s="7" t="s">
        <v>4616</v>
      </c>
      <c r="O1396" s="2"/>
      <c r="P1396" s="2"/>
      <c r="Q1396" s="2" t="str">
        <f>IF(SUMPRODUCT(--ISNUMBER(SEARCH('National Domains'!$A$2:$A$48,L1396)))&gt;0,"Yes","No")</f>
        <v>Yes</v>
      </c>
      <c r="R1396" s="2" t="str">
        <f>IF(COUNTIFS(Calibration!$A:$A,A1396,Calibration!$B:$B,B1396)&gt;0,"Yes","No")</f>
        <v>No</v>
      </c>
      <c r="S1396" s="6"/>
    </row>
    <row r="1397" spans="1:19" ht="34.5" customHeight="1" x14ac:dyDescent="0.2">
      <c r="A1397" s="2">
        <v>267</v>
      </c>
      <c r="B1397" s="2">
        <v>3</v>
      </c>
      <c r="C1397" s="2" t="s">
        <v>440</v>
      </c>
      <c r="D1397" s="2" t="s">
        <v>17</v>
      </c>
      <c r="E1397" s="2">
        <v>20230419</v>
      </c>
      <c r="F1397" s="2">
        <v>20230420</v>
      </c>
      <c r="G1397" s="2">
        <v>3108.3</v>
      </c>
      <c r="H1397" s="2">
        <v>2960</v>
      </c>
      <c r="I1397" s="2">
        <v>1</v>
      </c>
      <c r="J1397" s="2" t="s">
        <v>102</v>
      </c>
      <c r="K1397" s="2" t="s">
        <v>103</v>
      </c>
      <c r="L1397" s="2" t="s">
        <v>4617</v>
      </c>
      <c r="M1397" s="7" t="s">
        <v>4618</v>
      </c>
      <c r="N1397" s="7" t="s">
        <v>4619</v>
      </c>
      <c r="O1397" s="2"/>
      <c r="P1397" s="2"/>
      <c r="Q1397" s="2" t="str">
        <f>IF(SUMPRODUCT(--ISNUMBER(SEARCH('National Domains'!$A$2:$A$48,L1397)))&gt;0,"Yes","No")</f>
        <v>No</v>
      </c>
      <c r="R1397" s="2" t="str">
        <f>IF(COUNTIFS(Calibration!$A:$A,A1397,Calibration!$B:$B,B1397)&gt;0,"Yes","No")</f>
        <v>No</v>
      </c>
      <c r="S1397" s="6"/>
    </row>
    <row r="1398" spans="1:19" ht="34.5" customHeight="1" x14ac:dyDescent="0.2">
      <c r="A1398" s="2">
        <v>267</v>
      </c>
      <c r="B1398" s="2">
        <v>4</v>
      </c>
      <c r="C1398" s="2" t="s">
        <v>440</v>
      </c>
      <c r="D1398" s="2" t="s">
        <v>17</v>
      </c>
      <c r="E1398" s="2">
        <v>20230419</v>
      </c>
      <c r="F1398" s="2">
        <v>20230420</v>
      </c>
      <c r="G1398" s="2">
        <v>3108.3</v>
      </c>
      <c r="H1398" s="2">
        <v>2960</v>
      </c>
      <c r="I1398" s="2">
        <v>1</v>
      </c>
      <c r="J1398" s="2" t="s">
        <v>102</v>
      </c>
      <c r="K1398" s="2" t="s">
        <v>103</v>
      </c>
      <c r="L1398" s="2" t="s">
        <v>4620</v>
      </c>
      <c r="M1398" s="7" t="s">
        <v>4621</v>
      </c>
      <c r="N1398" s="7" t="s">
        <v>4622</v>
      </c>
      <c r="O1398" s="2"/>
      <c r="P1398" s="2"/>
      <c r="Q1398" s="2" t="str">
        <f>IF(SUMPRODUCT(--ISNUMBER(SEARCH('National Domains'!$A$2:$A$48,L1398)))&gt;0,"Yes","No")</f>
        <v>Yes</v>
      </c>
      <c r="R1398" s="2" t="str">
        <f>IF(COUNTIFS(Calibration!$A:$A,A1398,Calibration!$B:$B,B1398)&gt;0,"Yes","No")</f>
        <v>No</v>
      </c>
      <c r="S1398" s="6"/>
    </row>
    <row r="1399" spans="1:19" ht="34.5" customHeight="1" x14ac:dyDescent="0.2">
      <c r="A1399" s="2">
        <v>268</v>
      </c>
      <c r="B1399" s="2">
        <v>1</v>
      </c>
      <c r="C1399" s="2" t="s">
        <v>441</v>
      </c>
      <c r="D1399" s="2" t="s">
        <v>17</v>
      </c>
      <c r="E1399" s="2">
        <v>20230425</v>
      </c>
      <c r="F1399" s="2">
        <v>20230427</v>
      </c>
      <c r="G1399" s="2">
        <v>1372.8</v>
      </c>
      <c r="H1399" s="2">
        <v>1320</v>
      </c>
      <c r="I1399" s="2">
        <v>0</v>
      </c>
      <c r="J1399" s="2" t="s">
        <v>18</v>
      </c>
      <c r="K1399" s="2" t="s">
        <v>19</v>
      </c>
      <c r="L1399" s="2" t="s">
        <v>4623</v>
      </c>
      <c r="M1399" s="7" t="s">
        <v>4624</v>
      </c>
      <c r="N1399" s="7" t="s">
        <v>4625</v>
      </c>
      <c r="O1399" s="2"/>
      <c r="P1399" s="2"/>
      <c r="Q1399" s="2" t="str">
        <f>IF(SUMPRODUCT(--ISNUMBER(SEARCH('National Domains'!$A$2:$A$48,L1399)))&gt;0,"Yes","No")</f>
        <v>Yes</v>
      </c>
      <c r="R1399" s="2" t="str">
        <f>IF(COUNTIFS(Calibration!$A:$A,A1399,Calibration!$B:$B,B1399)&gt;0,"Yes","No")</f>
        <v>No</v>
      </c>
      <c r="S1399" s="6"/>
    </row>
    <row r="1400" spans="1:19" ht="34.5" customHeight="1" x14ac:dyDescent="0.2">
      <c r="A1400" s="2">
        <v>268</v>
      </c>
      <c r="B1400" s="2">
        <v>2</v>
      </c>
      <c r="C1400" s="2" t="s">
        <v>441</v>
      </c>
      <c r="D1400" s="2" t="s">
        <v>17</v>
      </c>
      <c r="E1400" s="2">
        <v>20230425</v>
      </c>
      <c r="F1400" s="2">
        <v>20230427</v>
      </c>
      <c r="G1400" s="2">
        <v>1372.8</v>
      </c>
      <c r="H1400" s="2">
        <v>1320</v>
      </c>
      <c r="I1400" s="2">
        <v>0</v>
      </c>
      <c r="J1400" s="2" t="s">
        <v>18</v>
      </c>
      <c r="K1400" s="2" t="s">
        <v>19</v>
      </c>
      <c r="L1400" s="2" t="s">
        <v>4626</v>
      </c>
      <c r="M1400" s="7" t="s">
        <v>4627</v>
      </c>
      <c r="N1400" s="7" t="s">
        <v>4628</v>
      </c>
      <c r="O1400" s="2"/>
      <c r="P1400" s="2"/>
      <c r="Q1400" s="2" t="str">
        <f>IF(SUMPRODUCT(--ISNUMBER(SEARCH('National Domains'!$A$2:$A$48,L1400)))&gt;0,"Yes","No")</f>
        <v>Yes</v>
      </c>
      <c r="R1400" s="2" t="str">
        <f>IF(COUNTIFS(Calibration!$A:$A,A1400,Calibration!$B:$B,B1400)&gt;0,"Yes","No")</f>
        <v>No</v>
      </c>
      <c r="S1400" s="6"/>
    </row>
    <row r="1401" spans="1:19" ht="34.5" customHeight="1" x14ac:dyDescent="0.2">
      <c r="A1401" s="2">
        <v>268</v>
      </c>
      <c r="B1401" s="2">
        <v>3</v>
      </c>
      <c r="C1401" s="2" t="s">
        <v>441</v>
      </c>
      <c r="D1401" s="2" t="s">
        <v>17</v>
      </c>
      <c r="E1401" s="2">
        <v>20230425</v>
      </c>
      <c r="F1401" s="2">
        <v>20230427</v>
      </c>
      <c r="G1401" s="2">
        <v>1372.8</v>
      </c>
      <c r="H1401" s="2">
        <v>1320</v>
      </c>
      <c r="I1401" s="2">
        <v>0</v>
      </c>
      <c r="J1401" s="2" t="s">
        <v>18</v>
      </c>
      <c r="K1401" s="2" t="s">
        <v>19</v>
      </c>
      <c r="L1401" s="2" t="s">
        <v>4629</v>
      </c>
      <c r="M1401" s="7" t="s">
        <v>4630</v>
      </c>
      <c r="N1401" s="7" t="s">
        <v>4631</v>
      </c>
      <c r="O1401" s="2"/>
      <c r="P1401" s="2"/>
      <c r="Q1401" s="2" t="str">
        <f>IF(SUMPRODUCT(--ISNUMBER(SEARCH('National Domains'!$A$2:$A$48,L1401)))&gt;0,"Yes","No")</f>
        <v>Yes</v>
      </c>
      <c r="R1401" s="2" t="str">
        <f>IF(COUNTIFS(Calibration!$A:$A,A1401,Calibration!$B:$B,B1401)&gt;0,"Yes","No")</f>
        <v>No</v>
      </c>
      <c r="S1401" s="6"/>
    </row>
    <row r="1402" spans="1:19" ht="34.5" customHeight="1" x14ac:dyDescent="0.2">
      <c r="A1402" s="2">
        <v>268</v>
      </c>
      <c r="B1402" s="2">
        <v>4</v>
      </c>
      <c r="C1402" s="2" t="s">
        <v>441</v>
      </c>
      <c r="D1402" s="2" t="s">
        <v>17</v>
      </c>
      <c r="E1402" s="2">
        <v>20230425</v>
      </c>
      <c r="F1402" s="2">
        <v>20230427</v>
      </c>
      <c r="G1402" s="2">
        <v>1372.8</v>
      </c>
      <c r="H1402" s="2">
        <v>1320</v>
      </c>
      <c r="I1402" s="2">
        <v>0</v>
      </c>
      <c r="J1402" s="2" t="s">
        <v>18</v>
      </c>
      <c r="K1402" s="2" t="s">
        <v>19</v>
      </c>
      <c r="L1402" s="2" t="s">
        <v>4632</v>
      </c>
      <c r="M1402" s="7" t="s">
        <v>4633</v>
      </c>
      <c r="N1402" s="7" t="s">
        <v>4634</v>
      </c>
      <c r="O1402" s="2"/>
      <c r="P1402" s="2"/>
      <c r="Q1402" s="2" t="str">
        <f>IF(SUMPRODUCT(--ISNUMBER(SEARCH('National Domains'!$A$2:$A$48,L1402)))&gt;0,"Yes","No")</f>
        <v>Yes</v>
      </c>
      <c r="R1402" s="2" t="str">
        <f>IF(COUNTIFS(Calibration!$A:$A,A1402,Calibration!$B:$B,B1402)&gt;0,"Yes","No")</f>
        <v>No</v>
      </c>
      <c r="S1402" s="6"/>
    </row>
    <row r="1403" spans="1:19" ht="34.5" customHeight="1" x14ac:dyDescent="0.2">
      <c r="A1403" s="2">
        <v>268</v>
      </c>
      <c r="B1403" s="2">
        <v>5</v>
      </c>
      <c r="C1403" s="2" t="s">
        <v>441</v>
      </c>
      <c r="D1403" s="2" t="s">
        <v>17</v>
      </c>
      <c r="E1403" s="2">
        <v>20230425</v>
      </c>
      <c r="F1403" s="2">
        <v>20230427</v>
      </c>
      <c r="G1403" s="2">
        <v>1372.8</v>
      </c>
      <c r="H1403" s="2">
        <v>1320</v>
      </c>
      <c r="I1403" s="2">
        <v>0</v>
      </c>
      <c r="J1403" s="2" t="s">
        <v>18</v>
      </c>
      <c r="K1403" s="2" t="s">
        <v>19</v>
      </c>
      <c r="L1403" s="2" t="s">
        <v>4635</v>
      </c>
      <c r="M1403" s="7" t="s">
        <v>4636</v>
      </c>
      <c r="N1403" s="7" t="s">
        <v>4637</v>
      </c>
      <c r="O1403" s="2"/>
      <c r="P1403" s="2"/>
      <c r="Q1403" s="2" t="str">
        <f>IF(SUMPRODUCT(--ISNUMBER(SEARCH('National Domains'!$A$2:$A$48,L1403)))&gt;0,"Yes","No")</f>
        <v>Yes</v>
      </c>
      <c r="R1403" s="2" t="str">
        <f>IF(COUNTIFS(Calibration!$A:$A,A1403,Calibration!$B:$B,B1403)&gt;0,"Yes","No")</f>
        <v>No</v>
      </c>
      <c r="S1403" s="6"/>
    </row>
    <row r="1404" spans="1:19" ht="34.5" customHeight="1" x14ac:dyDescent="0.2">
      <c r="A1404" s="2">
        <v>270</v>
      </c>
      <c r="B1404" s="2">
        <v>1</v>
      </c>
      <c r="C1404" s="2" t="s">
        <v>443</v>
      </c>
      <c r="D1404" s="2" t="s">
        <v>17</v>
      </c>
      <c r="E1404" s="2">
        <v>20230510</v>
      </c>
      <c r="F1404" s="2">
        <v>20230512</v>
      </c>
      <c r="G1404" s="2">
        <v>3563</v>
      </c>
      <c r="H1404" s="2">
        <v>3426</v>
      </c>
      <c r="I1404" s="2">
        <v>1</v>
      </c>
      <c r="J1404" s="2" t="s">
        <v>250</v>
      </c>
      <c r="K1404" s="2" t="s">
        <v>251</v>
      </c>
      <c r="L1404" s="2" t="s">
        <v>4638</v>
      </c>
      <c r="M1404" s="7" t="s">
        <v>4639</v>
      </c>
      <c r="N1404" s="7" t="s">
        <v>4640</v>
      </c>
      <c r="O1404" s="2"/>
      <c r="P1404" s="2"/>
      <c r="Q1404" s="2" t="str">
        <f>IF(SUMPRODUCT(--ISNUMBER(SEARCH('National Domains'!$A$2:$A$48,L1404)))&gt;0,"Yes","No")</f>
        <v>No</v>
      </c>
      <c r="R1404" s="2" t="str">
        <f>IF(COUNTIFS(Calibration!$A:$A,A1404,Calibration!$B:$B,B1404)&gt;0,"Yes","No")</f>
        <v>No</v>
      </c>
      <c r="S1404" s="6"/>
    </row>
    <row r="1405" spans="1:19" ht="34.5" customHeight="1" x14ac:dyDescent="0.2">
      <c r="A1405" s="2">
        <v>270</v>
      </c>
      <c r="B1405" s="2">
        <v>2</v>
      </c>
      <c r="C1405" s="2" t="s">
        <v>443</v>
      </c>
      <c r="D1405" s="2" t="s">
        <v>17</v>
      </c>
      <c r="E1405" s="2">
        <v>20230510</v>
      </c>
      <c r="F1405" s="2">
        <v>20230512</v>
      </c>
      <c r="G1405" s="2">
        <v>3563</v>
      </c>
      <c r="H1405" s="2">
        <v>3426</v>
      </c>
      <c r="I1405" s="2">
        <v>1</v>
      </c>
      <c r="J1405" s="2" t="s">
        <v>250</v>
      </c>
      <c r="K1405" s="2" t="s">
        <v>251</v>
      </c>
      <c r="L1405" s="2" t="s">
        <v>4641</v>
      </c>
      <c r="M1405" s="7" t="s">
        <v>4642</v>
      </c>
      <c r="N1405" s="7" t="s">
        <v>4643</v>
      </c>
      <c r="O1405" s="2"/>
      <c r="P1405" s="2"/>
      <c r="Q1405" s="2" t="str">
        <f>IF(SUMPRODUCT(--ISNUMBER(SEARCH('National Domains'!$A$2:$A$48,L1405)))&gt;0,"Yes","No")</f>
        <v>Yes</v>
      </c>
      <c r="R1405" s="2" t="str">
        <f>IF(COUNTIFS(Calibration!$A:$A,A1405,Calibration!$B:$B,B1405)&gt;0,"Yes","No")</f>
        <v>No</v>
      </c>
      <c r="S1405" s="6"/>
    </row>
    <row r="1406" spans="1:19" ht="34.5" customHeight="1" x14ac:dyDescent="0.2">
      <c r="A1406" s="2">
        <v>270</v>
      </c>
      <c r="B1406" s="2">
        <v>3</v>
      </c>
      <c r="C1406" s="2" t="s">
        <v>443</v>
      </c>
      <c r="D1406" s="2" t="s">
        <v>17</v>
      </c>
      <c r="E1406" s="2">
        <v>20230510</v>
      </c>
      <c r="F1406" s="2">
        <v>20230512</v>
      </c>
      <c r="G1406" s="2">
        <v>3563</v>
      </c>
      <c r="H1406" s="2">
        <v>3426</v>
      </c>
      <c r="I1406" s="2">
        <v>1</v>
      </c>
      <c r="J1406" s="2" t="s">
        <v>250</v>
      </c>
      <c r="K1406" s="2" t="s">
        <v>251</v>
      </c>
      <c r="L1406" s="2" t="s">
        <v>4644</v>
      </c>
      <c r="M1406" s="7" t="s">
        <v>4645</v>
      </c>
      <c r="N1406" s="7" t="s">
        <v>4646</v>
      </c>
      <c r="O1406" s="2"/>
      <c r="P1406" s="2"/>
      <c r="Q1406" s="2" t="str">
        <f>IF(SUMPRODUCT(--ISNUMBER(SEARCH('National Domains'!$A$2:$A$48,L1406)))&gt;0,"Yes","No")</f>
        <v>Yes</v>
      </c>
      <c r="R1406" s="2" t="str">
        <f>IF(COUNTIFS(Calibration!$A:$A,A1406,Calibration!$B:$B,B1406)&gt;0,"Yes","No")</f>
        <v>No</v>
      </c>
      <c r="S1406" s="6"/>
    </row>
    <row r="1407" spans="1:19" ht="34.5" customHeight="1" x14ac:dyDescent="0.2">
      <c r="A1407" s="2">
        <v>271</v>
      </c>
      <c r="B1407" s="2">
        <v>1</v>
      </c>
      <c r="C1407" s="2" t="s">
        <v>444</v>
      </c>
      <c r="D1407" s="2" t="s">
        <v>17</v>
      </c>
      <c r="E1407" s="2">
        <v>20230518</v>
      </c>
      <c r="F1407" s="2">
        <v>20230519</v>
      </c>
      <c r="G1407" s="2">
        <v>1690</v>
      </c>
      <c r="H1407" s="2">
        <v>1625</v>
      </c>
      <c r="I1407" s="2">
        <v>0</v>
      </c>
      <c r="J1407" s="2" t="s">
        <v>125</v>
      </c>
      <c r="K1407" s="2" t="s">
        <v>41</v>
      </c>
      <c r="L1407" s="2" t="s">
        <v>4647</v>
      </c>
      <c r="M1407" s="7" t="s">
        <v>4648</v>
      </c>
      <c r="N1407" s="7" t="s">
        <v>4649</v>
      </c>
      <c r="O1407" s="2"/>
      <c r="P1407" s="2"/>
      <c r="Q1407" s="2" t="str">
        <f>IF(SUMPRODUCT(--ISNUMBER(SEARCH('National Domains'!$A$2:$A$48,L1407)))&gt;0,"Yes","No")</f>
        <v>Yes</v>
      </c>
      <c r="R1407" s="2" t="str">
        <f>IF(COUNTIFS(Calibration!$A:$A,A1407,Calibration!$B:$B,B1407)&gt;0,"Yes","No")</f>
        <v>No</v>
      </c>
      <c r="S1407" s="6"/>
    </row>
    <row r="1408" spans="1:19" ht="34.5" customHeight="1" x14ac:dyDescent="0.2">
      <c r="A1408" s="2">
        <v>273</v>
      </c>
      <c r="B1408" s="2">
        <v>1</v>
      </c>
      <c r="C1408" s="2" t="s">
        <v>447</v>
      </c>
      <c r="D1408" s="2" t="s">
        <v>17</v>
      </c>
      <c r="E1408" s="2">
        <v>20230611</v>
      </c>
      <c r="F1408" s="2">
        <v>20230614</v>
      </c>
      <c r="G1408" s="2">
        <v>4193.2</v>
      </c>
      <c r="H1408" s="2">
        <v>4032</v>
      </c>
      <c r="I1408" s="2">
        <v>0</v>
      </c>
      <c r="J1408" s="2" t="s">
        <v>18</v>
      </c>
      <c r="K1408" s="2" t="s">
        <v>19</v>
      </c>
      <c r="L1408" s="2" t="s">
        <v>4650</v>
      </c>
      <c r="M1408" s="7" t="s">
        <v>4651</v>
      </c>
      <c r="N1408" s="7" t="s">
        <v>4652</v>
      </c>
      <c r="O1408" s="2"/>
      <c r="P1408" s="2"/>
      <c r="Q1408" s="2" t="str">
        <f>IF(SUMPRODUCT(--ISNUMBER(SEARCH('National Domains'!$A$2:$A$48,L1408)))&gt;0,"Yes","No")</f>
        <v>Yes</v>
      </c>
      <c r="R1408" s="2" t="str">
        <f>IF(COUNTIFS(Calibration!$A:$A,A1408,Calibration!$B:$B,B1408)&gt;0,"Yes","No")</f>
        <v>No</v>
      </c>
      <c r="S1408" s="6"/>
    </row>
    <row r="1409" spans="1:19" ht="34.5" customHeight="1" x14ac:dyDescent="0.2">
      <c r="A1409" s="2">
        <v>274</v>
      </c>
      <c r="B1409" s="2">
        <v>1</v>
      </c>
      <c r="C1409" s="2" t="s">
        <v>448</v>
      </c>
      <c r="D1409" s="2" t="s">
        <v>17</v>
      </c>
      <c r="E1409" s="2">
        <v>20230615</v>
      </c>
      <c r="F1409" s="2">
        <v>20230618</v>
      </c>
      <c r="G1409" s="2">
        <v>3918.7</v>
      </c>
      <c r="H1409" s="2">
        <v>3768</v>
      </c>
      <c r="I1409" s="2">
        <v>5</v>
      </c>
      <c r="J1409" s="2" t="s">
        <v>351</v>
      </c>
      <c r="K1409" s="2" t="s">
        <v>109</v>
      </c>
      <c r="L1409" s="2" t="s">
        <v>4653</v>
      </c>
      <c r="M1409" s="7" t="s">
        <v>4654</v>
      </c>
      <c r="N1409" s="7" t="s">
        <v>4655</v>
      </c>
      <c r="O1409" s="2"/>
      <c r="P1409" s="2"/>
      <c r="Q1409" s="2" t="str">
        <f>IF(SUMPRODUCT(--ISNUMBER(SEARCH('National Domains'!$A$2:$A$48,L1409)))&gt;0,"Yes","No")</f>
        <v>No</v>
      </c>
      <c r="R1409" s="2" t="str">
        <f>IF(COUNTIFS(Calibration!$A:$A,A1409,Calibration!$B:$B,B1409)&gt;0,"Yes","No")</f>
        <v>No</v>
      </c>
      <c r="S1409" s="6"/>
    </row>
    <row r="1410" spans="1:19" ht="34.5" customHeight="1" x14ac:dyDescent="0.2">
      <c r="A1410" s="2">
        <v>274</v>
      </c>
      <c r="B1410" s="2">
        <v>2</v>
      </c>
      <c r="C1410" s="2" t="s">
        <v>448</v>
      </c>
      <c r="D1410" s="2" t="s">
        <v>17</v>
      </c>
      <c r="E1410" s="2">
        <v>20230615</v>
      </c>
      <c r="F1410" s="2">
        <v>20230618</v>
      </c>
      <c r="G1410" s="2">
        <v>3918.7</v>
      </c>
      <c r="H1410" s="2">
        <v>3768</v>
      </c>
      <c r="I1410" s="2">
        <v>5</v>
      </c>
      <c r="J1410" s="2" t="s">
        <v>351</v>
      </c>
      <c r="K1410" s="2" t="s">
        <v>109</v>
      </c>
      <c r="L1410" s="2" t="s">
        <v>4656</v>
      </c>
      <c r="M1410" s="7" t="s">
        <v>4657</v>
      </c>
      <c r="N1410" s="7" t="s">
        <v>4658</v>
      </c>
      <c r="O1410" s="2"/>
      <c r="P1410" s="2"/>
      <c r="Q1410" s="2" t="str">
        <f>IF(SUMPRODUCT(--ISNUMBER(SEARCH('National Domains'!$A$2:$A$48,L1410)))&gt;0,"Yes","No")</f>
        <v>No</v>
      </c>
      <c r="R1410" s="2" t="str">
        <f>IF(COUNTIFS(Calibration!$A:$A,A1410,Calibration!$B:$B,B1410)&gt;0,"Yes","No")</f>
        <v>No</v>
      </c>
      <c r="S1410" s="6"/>
    </row>
    <row r="1411" spans="1:19" ht="34.5" customHeight="1" x14ac:dyDescent="0.2">
      <c r="A1411" s="4">
        <v>274</v>
      </c>
      <c r="B1411" s="4">
        <v>3</v>
      </c>
      <c r="C1411" s="4" t="s">
        <v>448</v>
      </c>
      <c r="D1411" s="4" t="s">
        <v>17</v>
      </c>
      <c r="E1411" s="4">
        <v>20230615</v>
      </c>
      <c r="F1411" s="4">
        <v>20230618</v>
      </c>
      <c r="G1411" s="4">
        <v>3918.7</v>
      </c>
      <c r="H1411" s="4">
        <v>3768</v>
      </c>
      <c r="I1411" s="4">
        <v>5</v>
      </c>
      <c r="J1411" s="4" t="s">
        <v>351</v>
      </c>
      <c r="K1411" s="4" t="s">
        <v>109</v>
      </c>
      <c r="L1411" s="4" t="s">
        <v>4659</v>
      </c>
      <c r="M1411" s="5" t="s">
        <v>4660</v>
      </c>
      <c r="N1411" s="5" t="s">
        <v>4661</v>
      </c>
      <c r="O1411" s="4"/>
      <c r="P1411" s="4"/>
      <c r="Q1411" s="4" t="str">
        <f>IF(SUMPRODUCT(--ISNUMBER(SEARCH('National Domains'!$A$2:$A$48,L1411)))&gt;0,"Yes","No")</f>
        <v>No</v>
      </c>
      <c r="R1411" s="4" t="str">
        <f>IF(COUNTIFS(Calibration!$A:$A,A1411,Calibration!$B:$B,B1411)&gt;0,"Yes","No")</f>
        <v>Yes</v>
      </c>
      <c r="S1411" s="6"/>
    </row>
    <row r="1412" spans="1:19" ht="23.25" customHeight="1" x14ac:dyDescent="0.2">
      <c r="A1412" s="2">
        <v>274</v>
      </c>
      <c r="B1412" s="2">
        <v>4</v>
      </c>
      <c r="C1412" s="2" t="s">
        <v>448</v>
      </c>
      <c r="D1412" s="2" t="s">
        <v>17</v>
      </c>
      <c r="E1412" s="2">
        <v>20230615</v>
      </c>
      <c r="F1412" s="2">
        <v>20230618</v>
      </c>
      <c r="G1412" s="2">
        <v>3918.7</v>
      </c>
      <c r="H1412" s="2">
        <v>3768</v>
      </c>
      <c r="I1412" s="2">
        <v>5</v>
      </c>
      <c r="J1412" s="2" t="s">
        <v>351</v>
      </c>
      <c r="K1412" s="2" t="s">
        <v>109</v>
      </c>
      <c r="L1412" s="2" t="s">
        <v>4662</v>
      </c>
      <c r="M1412" s="7" t="s">
        <v>4663</v>
      </c>
      <c r="N1412" s="7" t="s">
        <v>4664</v>
      </c>
      <c r="O1412" s="2"/>
      <c r="P1412" s="2"/>
      <c r="Q1412" s="2" t="str">
        <f>IF(SUMPRODUCT(--ISNUMBER(SEARCH('National Domains'!$A$2:$A$48,L1412)))&gt;0,"Yes","No")</f>
        <v>Yes</v>
      </c>
      <c r="R1412" s="2" t="str">
        <f>IF(COUNTIFS(Calibration!$A:$A,A1412,Calibration!$B:$B,B1412)&gt;0,"Yes","No")</f>
        <v>No</v>
      </c>
      <c r="S1412" s="6"/>
    </row>
    <row r="1413" spans="1:19" ht="34.5" customHeight="1" x14ac:dyDescent="0.2">
      <c r="A1413" s="2">
        <v>274</v>
      </c>
      <c r="B1413" s="2">
        <v>5</v>
      </c>
      <c r="C1413" s="2" t="s">
        <v>448</v>
      </c>
      <c r="D1413" s="2" t="s">
        <v>17</v>
      </c>
      <c r="E1413" s="2">
        <v>20230615</v>
      </c>
      <c r="F1413" s="2">
        <v>20230618</v>
      </c>
      <c r="G1413" s="2">
        <v>3918.7</v>
      </c>
      <c r="H1413" s="2">
        <v>3768</v>
      </c>
      <c r="I1413" s="2">
        <v>5</v>
      </c>
      <c r="J1413" s="2" t="s">
        <v>351</v>
      </c>
      <c r="K1413" s="2" t="s">
        <v>109</v>
      </c>
      <c r="L1413" s="2" t="s">
        <v>4665</v>
      </c>
      <c r="M1413" s="7" t="s">
        <v>4666</v>
      </c>
      <c r="N1413" s="7" t="s">
        <v>4667</v>
      </c>
      <c r="O1413" s="2"/>
      <c r="P1413" s="2"/>
      <c r="Q1413" s="2" t="str">
        <f>IF(SUMPRODUCT(--ISNUMBER(SEARCH('National Domains'!$A$2:$A$48,L1413)))&gt;0,"Yes","No")</f>
        <v>Yes</v>
      </c>
      <c r="R1413" s="2" t="str">
        <f>IF(COUNTIFS(Calibration!$A:$A,A1413,Calibration!$B:$B,B1413)&gt;0,"Yes","No")</f>
        <v>No</v>
      </c>
      <c r="S1413" s="6"/>
    </row>
    <row r="1414" spans="1:19" ht="34.5" customHeight="1" x14ac:dyDescent="0.2">
      <c r="A1414" s="2">
        <v>274</v>
      </c>
      <c r="B1414" s="2">
        <v>6</v>
      </c>
      <c r="C1414" s="2" t="s">
        <v>448</v>
      </c>
      <c r="D1414" s="2" t="s">
        <v>17</v>
      </c>
      <c r="E1414" s="2">
        <v>20230615</v>
      </c>
      <c r="F1414" s="2">
        <v>20230618</v>
      </c>
      <c r="G1414" s="2">
        <v>3918.7</v>
      </c>
      <c r="H1414" s="2">
        <v>3768</v>
      </c>
      <c r="I1414" s="2">
        <v>5</v>
      </c>
      <c r="J1414" s="2" t="s">
        <v>351</v>
      </c>
      <c r="K1414" s="2" t="s">
        <v>109</v>
      </c>
      <c r="L1414" s="2" t="s">
        <v>4668</v>
      </c>
      <c r="M1414" s="7" t="s">
        <v>741</v>
      </c>
      <c r="N1414" s="7" t="s">
        <v>4669</v>
      </c>
      <c r="O1414" s="2"/>
      <c r="P1414" s="2"/>
      <c r="Q1414" s="2" t="str">
        <f>IF(SUMPRODUCT(--ISNUMBER(SEARCH('National Domains'!$A$2:$A$48,L1414)))&gt;0,"Yes","No")</f>
        <v>Yes</v>
      </c>
      <c r="R1414" s="2" t="str">
        <f>IF(COUNTIFS(Calibration!$A:$A,A1414,Calibration!$B:$B,B1414)&gt;0,"Yes","No")</f>
        <v>No</v>
      </c>
      <c r="S1414" s="6"/>
    </row>
    <row r="1415" spans="1:19" ht="34.5" customHeight="1" x14ac:dyDescent="0.2">
      <c r="A1415" s="2">
        <v>274</v>
      </c>
      <c r="B1415" s="2">
        <v>7</v>
      </c>
      <c r="C1415" s="2" t="s">
        <v>448</v>
      </c>
      <c r="D1415" s="2" t="s">
        <v>17</v>
      </c>
      <c r="E1415" s="2">
        <v>20230615</v>
      </c>
      <c r="F1415" s="2">
        <v>20230618</v>
      </c>
      <c r="G1415" s="2">
        <v>3918.7</v>
      </c>
      <c r="H1415" s="2">
        <v>3768</v>
      </c>
      <c r="I1415" s="2">
        <v>5</v>
      </c>
      <c r="J1415" s="2" t="s">
        <v>351</v>
      </c>
      <c r="K1415" s="2" t="s">
        <v>109</v>
      </c>
      <c r="L1415" s="2" t="s">
        <v>4670</v>
      </c>
      <c r="M1415" s="7" t="s">
        <v>4657</v>
      </c>
      <c r="N1415" s="7" t="s">
        <v>4671</v>
      </c>
      <c r="O1415" s="2"/>
      <c r="P1415" s="2"/>
      <c r="Q1415" s="2" t="str">
        <f>IF(SUMPRODUCT(--ISNUMBER(SEARCH('National Domains'!$A$2:$A$48,L1415)))&gt;0,"Yes","No")</f>
        <v>Yes</v>
      </c>
      <c r="R1415" s="2" t="str">
        <f>IF(COUNTIFS(Calibration!$A:$A,A1415,Calibration!$B:$B,B1415)&gt;0,"Yes","No")</f>
        <v>No</v>
      </c>
      <c r="S1415" s="6"/>
    </row>
    <row r="1416" spans="1:19" ht="34.5" customHeight="1" x14ac:dyDescent="0.2">
      <c r="A1416" s="2">
        <v>275</v>
      </c>
      <c r="B1416" s="2">
        <v>1</v>
      </c>
      <c r="C1416" s="2" t="s">
        <v>449</v>
      </c>
      <c r="D1416" s="2" t="s">
        <v>17</v>
      </c>
      <c r="E1416" s="2">
        <v>20230621</v>
      </c>
      <c r="F1416" s="2">
        <v>20230626</v>
      </c>
      <c r="G1416" s="2">
        <v>5453.9</v>
      </c>
      <c r="H1416" s="2">
        <v>5244</v>
      </c>
      <c r="I1416" s="2">
        <v>8</v>
      </c>
      <c r="J1416" s="2" t="s">
        <v>154</v>
      </c>
      <c r="K1416" s="2" t="s">
        <v>155</v>
      </c>
      <c r="L1416" s="2" t="s">
        <v>4672</v>
      </c>
      <c r="M1416" s="7" t="s">
        <v>4673</v>
      </c>
      <c r="N1416" s="7" t="s">
        <v>4674</v>
      </c>
      <c r="O1416" s="2"/>
      <c r="P1416" s="2"/>
      <c r="Q1416" s="2" t="str">
        <f>IF(SUMPRODUCT(--ISNUMBER(SEARCH('National Domains'!$A$2:$A$48,L1416)))&gt;0,"Yes","No")</f>
        <v>Yes</v>
      </c>
      <c r="R1416" s="2" t="str">
        <f>IF(COUNTIFS(Calibration!$A:$A,A1416,Calibration!$B:$B,B1416)&gt;0,"Yes","No")</f>
        <v>No</v>
      </c>
      <c r="S1416" s="6"/>
    </row>
    <row r="1417" spans="1:19" ht="34.5" customHeight="1" x14ac:dyDescent="0.2">
      <c r="A1417" s="2">
        <v>275</v>
      </c>
      <c r="B1417" s="2">
        <v>2</v>
      </c>
      <c r="C1417" s="2" t="s">
        <v>449</v>
      </c>
      <c r="D1417" s="2" t="s">
        <v>17</v>
      </c>
      <c r="E1417" s="2">
        <v>20230621</v>
      </c>
      <c r="F1417" s="2">
        <v>20230626</v>
      </c>
      <c r="G1417" s="2">
        <v>5453.9</v>
      </c>
      <c r="H1417" s="2">
        <v>5244</v>
      </c>
      <c r="I1417" s="2">
        <v>8</v>
      </c>
      <c r="J1417" s="2" t="s">
        <v>154</v>
      </c>
      <c r="K1417" s="2" t="s">
        <v>155</v>
      </c>
      <c r="L1417" s="2" t="s">
        <v>4675</v>
      </c>
      <c r="M1417" s="7" t="s">
        <v>4676</v>
      </c>
      <c r="N1417" s="7" t="s">
        <v>4677</v>
      </c>
      <c r="O1417" s="2"/>
      <c r="P1417" s="2"/>
      <c r="Q1417" s="2" t="str">
        <f>IF(SUMPRODUCT(--ISNUMBER(SEARCH('National Domains'!$A$2:$A$48,L1417)))&gt;0,"Yes","No")</f>
        <v>No</v>
      </c>
      <c r="R1417" s="2" t="str">
        <f>IF(COUNTIFS(Calibration!$A:$A,A1417,Calibration!$B:$B,B1417)&gt;0,"Yes","No")</f>
        <v>No</v>
      </c>
      <c r="S1417" s="6"/>
    </row>
    <row r="1418" spans="1:19" ht="34.5" customHeight="1" x14ac:dyDescent="0.2">
      <c r="A1418" s="2">
        <v>276</v>
      </c>
      <c r="B1418" s="2">
        <v>1</v>
      </c>
      <c r="C1418" s="2" t="s">
        <v>450</v>
      </c>
      <c r="D1418" s="2" t="s">
        <v>17</v>
      </c>
      <c r="E1418" s="2">
        <v>20230628</v>
      </c>
      <c r="F1418" s="2">
        <v>20230702</v>
      </c>
      <c r="G1418" s="2">
        <v>1976.8</v>
      </c>
      <c r="H1418" s="2">
        <v>1919</v>
      </c>
      <c r="I1418" s="2">
        <v>3</v>
      </c>
      <c r="J1418" s="2" t="s">
        <v>102</v>
      </c>
      <c r="K1418" s="2" t="s">
        <v>103</v>
      </c>
      <c r="L1418" s="2" t="s">
        <v>4678</v>
      </c>
      <c r="M1418" s="7" t="s">
        <v>4679</v>
      </c>
      <c r="N1418" s="7" t="s">
        <v>4680</v>
      </c>
      <c r="O1418" s="2"/>
      <c r="P1418" s="2"/>
      <c r="Q1418" s="2" t="str">
        <f>IF(SUMPRODUCT(--ISNUMBER(SEARCH('National Domains'!$A$2:$A$48,L1418)))&gt;0,"Yes","No")</f>
        <v>No</v>
      </c>
      <c r="R1418" s="2" t="str">
        <f>IF(COUNTIFS(Calibration!$A:$A,A1418,Calibration!$B:$B,B1418)&gt;0,"Yes","No")</f>
        <v>No</v>
      </c>
      <c r="S1418" s="6"/>
    </row>
    <row r="1419" spans="1:19" ht="34.5" customHeight="1" x14ac:dyDescent="0.2">
      <c r="A1419" s="2">
        <v>276</v>
      </c>
      <c r="B1419" s="2">
        <v>2</v>
      </c>
      <c r="C1419" s="2" t="s">
        <v>450</v>
      </c>
      <c r="D1419" s="2" t="s">
        <v>17</v>
      </c>
      <c r="E1419" s="2">
        <v>20230628</v>
      </c>
      <c r="F1419" s="2">
        <v>20230702</v>
      </c>
      <c r="G1419" s="2">
        <v>1976.8</v>
      </c>
      <c r="H1419" s="2">
        <v>1919</v>
      </c>
      <c r="I1419" s="2">
        <v>3</v>
      </c>
      <c r="J1419" s="2" t="s">
        <v>102</v>
      </c>
      <c r="K1419" s="2" t="s">
        <v>103</v>
      </c>
      <c r="L1419" s="2" t="s">
        <v>4681</v>
      </c>
      <c r="M1419" s="7" t="s">
        <v>4679</v>
      </c>
      <c r="N1419" s="7" t="s">
        <v>4682</v>
      </c>
      <c r="O1419" s="2"/>
      <c r="P1419" s="2"/>
      <c r="Q1419" s="2" t="str">
        <f>IF(SUMPRODUCT(--ISNUMBER(SEARCH('National Domains'!$A$2:$A$48,L1419)))&gt;0,"Yes","No")</f>
        <v>No</v>
      </c>
      <c r="R1419" s="2" t="str">
        <f>IF(COUNTIFS(Calibration!$A:$A,A1419,Calibration!$B:$B,B1419)&gt;0,"Yes","No")</f>
        <v>No</v>
      </c>
      <c r="S1419" s="6"/>
    </row>
    <row r="1420" spans="1:19" ht="34.5" customHeight="1" x14ac:dyDescent="0.2">
      <c r="A1420" s="2">
        <v>276</v>
      </c>
      <c r="B1420" s="2">
        <v>3</v>
      </c>
      <c r="C1420" s="2" t="s">
        <v>450</v>
      </c>
      <c r="D1420" s="2" t="s">
        <v>17</v>
      </c>
      <c r="E1420" s="2">
        <v>20230628</v>
      </c>
      <c r="F1420" s="2">
        <v>20230702</v>
      </c>
      <c r="G1420" s="2">
        <v>1976.8</v>
      </c>
      <c r="H1420" s="2">
        <v>1919</v>
      </c>
      <c r="I1420" s="2">
        <v>3</v>
      </c>
      <c r="J1420" s="2" t="s">
        <v>102</v>
      </c>
      <c r="K1420" s="2" t="s">
        <v>103</v>
      </c>
      <c r="L1420" s="2" t="s">
        <v>4683</v>
      </c>
      <c r="M1420" s="7" t="s">
        <v>4684</v>
      </c>
      <c r="N1420" s="7" t="s">
        <v>4685</v>
      </c>
      <c r="O1420" s="2"/>
      <c r="P1420" s="2"/>
      <c r="Q1420" s="2" t="str">
        <f>IF(SUMPRODUCT(--ISNUMBER(SEARCH('National Domains'!$A$2:$A$48,L1420)))&gt;0,"Yes","No")</f>
        <v>No</v>
      </c>
      <c r="R1420" s="2" t="str">
        <f>IF(COUNTIFS(Calibration!$A:$A,A1420,Calibration!$B:$B,B1420)&gt;0,"Yes","No")</f>
        <v>No</v>
      </c>
      <c r="S1420" s="6"/>
    </row>
    <row r="1421" spans="1:19" ht="34.5" customHeight="1" x14ac:dyDescent="0.2">
      <c r="A1421" s="2">
        <v>277</v>
      </c>
      <c r="B1421" s="2">
        <v>1</v>
      </c>
      <c r="C1421" s="2" t="s">
        <v>451</v>
      </c>
      <c r="D1421" s="2" t="s">
        <v>25</v>
      </c>
      <c r="E1421" s="2">
        <v>20230709</v>
      </c>
      <c r="F1421" s="2">
        <v>20230715</v>
      </c>
      <c r="G1421" s="2">
        <v>2230.4</v>
      </c>
      <c r="H1421" s="2">
        <v>2165</v>
      </c>
      <c r="I1421" s="2">
        <v>10</v>
      </c>
      <c r="J1421" s="2" t="s">
        <v>157</v>
      </c>
      <c r="K1421" s="2" t="s">
        <v>158</v>
      </c>
      <c r="L1421" s="2" t="s">
        <v>4686</v>
      </c>
      <c r="M1421" s="7" t="s">
        <v>4687</v>
      </c>
      <c r="N1421" s="7" t="s">
        <v>4688</v>
      </c>
      <c r="O1421" s="2"/>
      <c r="P1421" s="2"/>
      <c r="Q1421" s="2" t="str">
        <f>IF(SUMPRODUCT(--ISNUMBER(SEARCH('National Domains'!$A$2:$A$48,L1421)))&gt;0,"Yes","No")</f>
        <v>No</v>
      </c>
      <c r="R1421" s="2" t="str">
        <f>IF(COUNTIFS(Calibration!$A:$A,A1421,Calibration!$B:$B,B1421)&gt;0,"Yes","No")</f>
        <v>No</v>
      </c>
      <c r="S1421" s="6"/>
    </row>
    <row r="1422" spans="1:19" ht="34.5" customHeight="1" x14ac:dyDescent="0.2">
      <c r="A1422" s="2">
        <v>277</v>
      </c>
      <c r="B1422" s="2">
        <v>2</v>
      </c>
      <c r="C1422" s="2" t="s">
        <v>451</v>
      </c>
      <c r="D1422" s="2" t="s">
        <v>25</v>
      </c>
      <c r="E1422" s="2">
        <v>20230709</v>
      </c>
      <c r="F1422" s="2">
        <v>20230715</v>
      </c>
      <c r="G1422" s="2">
        <v>2230.4</v>
      </c>
      <c r="H1422" s="2">
        <v>2165</v>
      </c>
      <c r="I1422" s="2">
        <v>10</v>
      </c>
      <c r="J1422" s="2" t="s">
        <v>157</v>
      </c>
      <c r="K1422" s="2" t="s">
        <v>158</v>
      </c>
      <c r="L1422" s="2" t="s">
        <v>4689</v>
      </c>
      <c r="M1422" s="7" t="s">
        <v>4690</v>
      </c>
      <c r="N1422" s="7" t="s">
        <v>4691</v>
      </c>
      <c r="O1422" s="2"/>
      <c r="P1422" s="2"/>
      <c r="Q1422" s="2" t="str">
        <f>IF(SUMPRODUCT(--ISNUMBER(SEARCH('National Domains'!$A$2:$A$48,L1422)))&gt;0,"Yes","No")</f>
        <v>Yes</v>
      </c>
      <c r="R1422" s="2" t="str">
        <f>IF(COUNTIFS(Calibration!$A:$A,A1422,Calibration!$B:$B,B1422)&gt;0,"Yes","No")</f>
        <v>No</v>
      </c>
      <c r="S1422" s="6"/>
    </row>
    <row r="1423" spans="1:19" ht="34.5" customHeight="1" x14ac:dyDescent="0.2">
      <c r="A1423" s="2">
        <v>277</v>
      </c>
      <c r="B1423" s="2">
        <v>3</v>
      </c>
      <c r="C1423" s="2" t="s">
        <v>451</v>
      </c>
      <c r="D1423" s="2" t="s">
        <v>25</v>
      </c>
      <c r="E1423" s="2">
        <v>20230709</v>
      </c>
      <c r="F1423" s="2">
        <v>20230715</v>
      </c>
      <c r="G1423" s="2">
        <v>2230.4</v>
      </c>
      <c r="H1423" s="2">
        <v>2165</v>
      </c>
      <c r="I1423" s="2">
        <v>10</v>
      </c>
      <c r="J1423" s="2" t="s">
        <v>157</v>
      </c>
      <c r="K1423" s="2" t="s">
        <v>158</v>
      </c>
      <c r="L1423" s="2" t="s">
        <v>4692</v>
      </c>
      <c r="M1423" s="7" t="s">
        <v>4693</v>
      </c>
      <c r="N1423" s="7" t="s">
        <v>4694</v>
      </c>
      <c r="O1423" s="2"/>
      <c r="P1423" s="2"/>
      <c r="Q1423" s="2" t="str">
        <f>IF(SUMPRODUCT(--ISNUMBER(SEARCH('National Domains'!$A$2:$A$48,L1423)))&gt;0,"Yes","No")</f>
        <v>Yes</v>
      </c>
      <c r="R1423" s="2" t="str">
        <f>IF(COUNTIFS(Calibration!$A:$A,A1423,Calibration!$B:$B,B1423)&gt;0,"Yes","No")</f>
        <v>No</v>
      </c>
      <c r="S1423" s="6"/>
    </row>
    <row r="1424" spans="1:19" ht="34.5" customHeight="1" x14ac:dyDescent="0.2">
      <c r="A1424" s="2">
        <v>277</v>
      </c>
      <c r="B1424" s="2">
        <v>4</v>
      </c>
      <c r="C1424" s="2" t="s">
        <v>451</v>
      </c>
      <c r="D1424" s="2" t="s">
        <v>25</v>
      </c>
      <c r="E1424" s="2">
        <v>20230709</v>
      </c>
      <c r="F1424" s="2">
        <v>20230715</v>
      </c>
      <c r="G1424" s="2">
        <v>2230.4</v>
      </c>
      <c r="H1424" s="2">
        <v>2165</v>
      </c>
      <c r="I1424" s="2">
        <v>10</v>
      </c>
      <c r="J1424" s="2" t="s">
        <v>157</v>
      </c>
      <c r="K1424" s="2" t="s">
        <v>158</v>
      </c>
      <c r="L1424" s="2" t="s">
        <v>4695</v>
      </c>
      <c r="M1424" s="7" t="s">
        <v>4696</v>
      </c>
      <c r="N1424" s="7" t="s">
        <v>4697</v>
      </c>
      <c r="O1424" s="2"/>
      <c r="P1424" s="2"/>
      <c r="Q1424" s="2" t="str">
        <f>IF(SUMPRODUCT(--ISNUMBER(SEARCH('National Domains'!$A$2:$A$48,L1424)))&gt;0,"Yes","No")</f>
        <v>Yes</v>
      </c>
      <c r="R1424" s="2" t="str">
        <f>IF(COUNTIFS(Calibration!$A:$A,A1424,Calibration!$B:$B,B1424)&gt;0,"Yes","No")</f>
        <v>No</v>
      </c>
      <c r="S1424" s="6"/>
    </row>
    <row r="1425" spans="1:19" ht="34.5" customHeight="1" x14ac:dyDescent="0.2">
      <c r="A1425" s="2">
        <v>277</v>
      </c>
      <c r="B1425" s="2">
        <v>5</v>
      </c>
      <c r="C1425" s="2" t="s">
        <v>451</v>
      </c>
      <c r="D1425" s="2" t="s">
        <v>25</v>
      </c>
      <c r="E1425" s="2">
        <v>20230709</v>
      </c>
      <c r="F1425" s="2">
        <v>20230715</v>
      </c>
      <c r="G1425" s="2">
        <v>2230.4</v>
      </c>
      <c r="H1425" s="2">
        <v>2165</v>
      </c>
      <c r="I1425" s="2">
        <v>10</v>
      </c>
      <c r="J1425" s="2" t="s">
        <v>157</v>
      </c>
      <c r="K1425" s="2" t="s">
        <v>158</v>
      </c>
      <c r="L1425" s="2" t="s">
        <v>4698</v>
      </c>
      <c r="M1425" s="7" t="s">
        <v>4699</v>
      </c>
      <c r="N1425" s="7" t="s">
        <v>4700</v>
      </c>
      <c r="O1425" s="2"/>
      <c r="P1425" s="2"/>
      <c r="Q1425" s="2" t="str">
        <f>IF(SUMPRODUCT(--ISNUMBER(SEARCH('National Domains'!$A$2:$A$48,L1425)))&gt;0,"Yes","No")</f>
        <v>Yes</v>
      </c>
      <c r="R1425" s="2" t="str">
        <f>IF(COUNTIFS(Calibration!$A:$A,A1425,Calibration!$B:$B,B1425)&gt;0,"Yes","No")</f>
        <v>No</v>
      </c>
      <c r="S1425" s="6"/>
    </row>
    <row r="1426" spans="1:19" ht="34.5" customHeight="1" x14ac:dyDescent="0.2">
      <c r="A1426" s="2">
        <v>277</v>
      </c>
      <c r="B1426" s="2">
        <v>6</v>
      </c>
      <c r="C1426" s="2" t="s">
        <v>451</v>
      </c>
      <c r="D1426" s="2" t="s">
        <v>25</v>
      </c>
      <c r="E1426" s="2">
        <v>20230709</v>
      </c>
      <c r="F1426" s="2">
        <v>20230715</v>
      </c>
      <c r="G1426" s="2">
        <v>2230.4</v>
      </c>
      <c r="H1426" s="2">
        <v>2165</v>
      </c>
      <c r="I1426" s="2">
        <v>10</v>
      </c>
      <c r="J1426" s="2" t="s">
        <v>157</v>
      </c>
      <c r="K1426" s="2" t="s">
        <v>158</v>
      </c>
      <c r="L1426" s="2" t="s">
        <v>4701</v>
      </c>
      <c r="M1426" s="7" t="s">
        <v>4702</v>
      </c>
      <c r="N1426" s="7" t="s">
        <v>4703</v>
      </c>
      <c r="O1426" s="2"/>
      <c r="P1426" s="2"/>
      <c r="Q1426" s="2" t="str">
        <f>IF(SUMPRODUCT(--ISNUMBER(SEARCH('National Domains'!$A$2:$A$48,L1426)))&gt;0,"Yes","No")</f>
        <v>Yes</v>
      </c>
      <c r="R1426" s="2" t="str">
        <f>IF(COUNTIFS(Calibration!$A:$A,A1426,Calibration!$B:$B,B1426)&gt;0,"Yes","No")</f>
        <v>No</v>
      </c>
      <c r="S1426" s="6"/>
    </row>
    <row r="1427" spans="1:19" ht="34.5" customHeight="1" x14ac:dyDescent="0.2">
      <c r="A1427" s="2">
        <v>278</v>
      </c>
      <c r="B1427" s="2">
        <v>1</v>
      </c>
      <c r="C1427" s="2" t="s">
        <v>452</v>
      </c>
      <c r="D1427" s="2" t="s">
        <v>17</v>
      </c>
      <c r="E1427" s="2">
        <v>20230719</v>
      </c>
      <c r="F1427" s="2">
        <v>20230721</v>
      </c>
      <c r="G1427" s="2">
        <v>1887</v>
      </c>
      <c r="H1427" s="2">
        <v>1832</v>
      </c>
      <c r="I1427" s="2">
        <v>1</v>
      </c>
      <c r="J1427" s="2" t="s">
        <v>92</v>
      </c>
      <c r="K1427" s="2" t="s">
        <v>34</v>
      </c>
      <c r="L1427" s="2" t="s">
        <v>4704</v>
      </c>
      <c r="M1427" s="7" t="s">
        <v>4705</v>
      </c>
      <c r="N1427" s="7" t="s">
        <v>4706</v>
      </c>
      <c r="O1427" s="2"/>
      <c r="P1427" s="2"/>
      <c r="Q1427" s="2" t="str">
        <f>IF(SUMPRODUCT(--ISNUMBER(SEARCH('National Domains'!$A$2:$A$48,L1427)))&gt;0,"Yes","No")</f>
        <v>Yes</v>
      </c>
      <c r="R1427" s="2" t="str">
        <f>IF(COUNTIFS(Calibration!$A:$A,A1427,Calibration!$B:$B,B1427)&gt;0,"Yes","No")</f>
        <v>No</v>
      </c>
      <c r="S1427" s="6"/>
    </row>
    <row r="1428" spans="1:19" ht="34.5" customHeight="1" x14ac:dyDescent="0.2">
      <c r="A1428" s="2">
        <v>279</v>
      </c>
      <c r="B1428" s="2">
        <v>1</v>
      </c>
      <c r="C1428" s="2" t="s">
        <v>453</v>
      </c>
      <c r="D1428" s="2" t="s">
        <v>17</v>
      </c>
      <c r="E1428" s="2">
        <v>20230728</v>
      </c>
      <c r="F1428" s="2">
        <v>20230729</v>
      </c>
      <c r="G1428" s="2">
        <v>1526.6</v>
      </c>
      <c r="H1428" s="2">
        <v>1482</v>
      </c>
      <c r="I1428" s="2">
        <v>2</v>
      </c>
      <c r="J1428" s="2" t="s">
        <v>420</v>
      </c>
      <c r="K1428" s="2" t="s">
        <v>421</v>
      </c>
      <c r="L1428" s="2" t="s">
        <v>4707</v>
      </c>
      <c r="M1428" s="7" t="s">
        <v>4708</v>
      </c>
      <c r="N1428" s="7" t="s">
        <v>4709</v>
      </c>
      <c r="O1428" s="2"/>
      <c r="P1428" s="2"/>
      <c r="Q1428" s="2" t="str">
        <f>IF(SUMPRODUCT(--ISNUMBER(SEARCH('National Domains'!$A$2:$A$48,L1428)))&gt;0,"Yes","No")</f>
        <v>Yes</v>
      </c>
      <c r="R1428" s="2" t="str">
        <f>IF(COUNTIFS(Calibration!$A:$A,A1428,Calibration!$B:$B,B1428)&gt;0,"Yes","No")</f>
        <v>No</v>
      </c>
      <c r="S1428" s="6"/>
    </row>
    <row r="1429" spans="1:19" ht="34.5" customHeight="1" x14ac:dyDescent="0.2">
      <c r="A1429" s="2">
        <v>279</v>
      </c>
      <c r="B1429" s="2">
        <v>2</v>
      </c>
      <c r="C1429" s="2" t="s">
        <v>453</v>
      </c>
      <c r="D1429" s="2" t="s">
        <v>17</v>
      </c>
      <c r="E1429" s="2">
        <v>20230728</v>
      </c>
      <c r="F1429" s="2">
        <v>20230729</v>
      </c>
      <c r="G1429" s="2">
        <v>1526.6</v>
      </c>
      <c r="H1429" s="2">
        <v>1482</v>
      </c>
      <c r="I1429" s="2">
        <v>2</v>
      </c>
      <c r="J1429" s="2" t="s">
        <v>420</v>
      </c>
      <c r="K1429" s="2" t="s">
        <v>421</v>
      </c>
      <c r="L1429" s="2" t="s">
        <v>4710</v>
      </c>
      <c r="M1429" s="7" t="s">
        <v>4711</v>
      </c>
      <c r="N1429" s="7" t="s">
        <v>4712</v>
      </c>
      <c r="O1429" s="2"/>
      <c r="P1429" s="2"/>
      <c r="Q1429" s="2" t="str">
        <f>IF(SUMPRODUCT(--ISNUMBER(SEARCH('National Domains'!$A$2:$A$48,L1429)))&gt;0,"Yes","No")</f>
        <v>Yes</v>
      </c>
      <c r="R1429" s="2" t="str">
        <f>IF(COUNTIFS(Calibration!$A:$A,A1429,Calibration!$B:$B,B1429)&gt;0,"Yes","No")</f>
        <v>No</v>
      </c>
      <c r="S1429" s="6"/>
    </row>
    <row r="1430" spans="1:19" ht="34.5" customHeight="1" x14ac:dyDescent="0.2">
      <c r="A1430" s="2">
        <v>280</v>
      </c>
      <c r="B1430" s="2">
        <v>1</v>
      </c>
      <c r="C1430" s="2" t="s">
        <v>454</v>
      </c>
      <c r="D1430" s="2" t="s">
        <v>21</v>
      </c>
      <c r="E1430" s="2">
        <v>20230808</v>
      </c>
      <c r="F1430" s="2">
        <v>20230808</v>
      </c>
      <c r="G1430" s="2">
        <v>5665</v>
      </c>
      <c r="H1430" s="2">
        <v>5500</v>
      </c>
      <c r="I1430" s="2">
        <v>100</v>
      </c>
      <c r="J1430" s="2" t="s">
        <v>455</v>
      </c>
      <c r="K1430" s="2" t="s">
        <v>67</v>
      </c>
      <c r="L1430" s="2" t="s">
        <v>4713</v>
      </c>
      <c r="M1430" s="7" t="s">
        <v>4714</v>
      </c>
      <c r="N1430" s="7" t="s">
        <v>4715</v>
      </c>
      <c r="O1430" s="2"/>
      <c r="P1430" s="2"/>
      <c r="Q1430" s="2" t="str">
        <f>IF(SUMPRODUCT(--ISNUMBER(SEARCH('National Domains'!$A$2:$A$48,L1430)))&gt;0,"Yes","No")</f>
        <v>No</v>
      </c>
      <c r="R1430" s="2" t="str">
        <f>IF(COUNTIFS(Calibration!$A:$A,A1430,Calibration!$B:$B,B1430)&gt;0,"Yes","No")</f>
        <v>No</v>
      </c>
      <c r="S1430" s="6"/>
    </row>
    <row r="1431" spans="1:19" ht="34.5" customHeight="1" x14ac:dyDescent="0.2">
      <c r="A1431" s="2">
        <v>280</v>
      </c>
      <c r="B1431" s="2">
        <v>2</v>
      </c>
      <c r="C1431" s="2" t="s">
        <v>454</v>
      </c>
      <c r="D1431" s="2" t="s">
        <v>21</v>
      </c>
      <c r="E1431" s="2">
        <v>20230808</v>
      </c>
      <c r="F1431" s="2">
        <v>20230808</v>
      </c>
      <c r="G1431" s="2">
        <v>5665</v>
      </c>
      <c r="H1431" s="2">
        <v>5500</v>
      </c>
      <c r="I1431" s="2">
        <v>100</v>
      </c>
      <c r="J1431" s="2" t="s">
        <v>455</v>
      </c>
      <c r="K1431" s="2" t="s">
        <v>67</v>
      </c>
      <c r="L1431" s="2" t="s">
        <v>4716</v>
      </c>
      <c r="M1431" s="7" t="s">
        <v>4717</v>
      </c>
      <c r="N1431" s="7" t="s">
        <v>4718</v>
      </c>
      <c r="O1431" s="2"/>
      <c r="P1431" s="2"/>
      <c r="Q1431" s="2" t="str">
        <f>IF(SUMPRODUCT(--ISNUMBER(SEARCH('National Domains'!$A$2:$A$48,L1431)))&gt;0,"Yes","No")</f>
        <v>No</v>
      </c>
      <c r="R1431" s="2" t="str">
        <f>IF(COUNTIFS(Calibration!$A:$A,A1431,Calibration!$B:$B,B1431)&gt;0,"Yes","No")</f>
        <v>No</v>
      </c>
      <c r="S1431" s="6"/>
    </row>
    <row r="1432" spans="1:19" ht="34.5" customHeight="1" x14ac:dyDescent="0.2">
      <c r="A1432" s="2">
        <v>280</v>
      </c>
      <c r="B1432" s="2">
        <v>3</v>
      </c>
      <c r="C1432" s="2" t="s">
        <v>454</v>
      </c>
      <c r="D1432" s="2" t="s">
        <v>21</v>
      </c>
      <c r="E1432" s="2">
        <v>20230808</v>
      </c>
      <c r="F1432" s="2">
        <v>20230808</v>
      </c>
      <c r="G1432" s="2">
        <v>5665</v>
      </c>
      <c r="H1432" s="2">
        <v>5500</v>
      </c>
      <c r="I1432" s="2">
        <v>100</v>
      </c>
      <c r="J1432" s="2" t="s">
        <v>455</v>
      </c>
      <c r="K1432" s="2" t="s">
        <v>67</v>
      </c>
      <c r="L1432" s="2" t="s">
        <v>4719</v>
      </c>
      <c r="M1432" s="7" t="s">
        <v>4720</v>
      </c>
      <c r="N1432" s="7" t="s">
        <v>4721</v>
      </c>
      <c r="O1432" s="2"/>
      <c r="P1432" s="2"/>
      <c r="Q1432" s="2" t="str">
        <f>IF(SUMPRODUCT(--ISNUMBER(SEARCH('National Domains'!$A$2:$A$48,L1432)))&gt;0,"Yes","No")</f>
        <v>No</v>
      </c>
      <c r="R1432" s="2" t="str">
        <f>IF(COUNTIFS(Calibration!$A:$A,A1432,Calibration!$B:$B,B1432)&gt;0,"Yes","No")</f>
        <v>No</v>
      </c>
      <c r="S1432" s="6"/>
    </row>
    <row r="1433" spans="1:19" ht="34.5" customHeight="1" x14ac:dyDescent="0.2">
      <c r="A1433" s="2">
        <v>280</v>
      </c>
      <c r="B1433" s="2">
        <v>4</v>
      </c>
      <c r="C1433" s="2" t="s">
        <v>454</v>
      </c>
      <c r="D1433" s="2" t="s">
        <v>21</v>
      </c>
      <c r="E1433" s="2">
        <v>20230808</v>
      </c>
      <c r="F1433" s="2">
        <v>20230808</v>
      </c>
      <c r="G1433" s="2">
        <v>5665</v>
      </c>
      <c r="H1433" s="2">
        <v>5500</v>
      </c>
      <c r="I1433" s="2">
        <v>100</v>
      </c>
      <c r="J1433" s="2" t="s">
        <v>455</v>
      </c>
      <c r="K1433" s="2" t="s">
        <v>67</v>
      </c>
      <c r="L1433" s="2" t="s">
        <v>4722</v>
      </c>
      <c r="M1433" s="7" t="s">
        <v>4723</v>
      </c>
      <c r="N1433" s="7" t="s">
        <v>4724</v>
      </c>
      <c r="O1433" s="2"/>
      <c r="P1433" s="2"/>
      <c r="Q1433" s="2" t="str">
        <f>IF(SUMPRODUCT(--ISNUMBER(SEARCH('National Domains'!$A$2:$A$48,L1433)))&gt;0,"Yes","No")</f>
        <v>No</v>
      </c>
      <c r="R1433" s="2" t="str">
        <f>IF(COUNTIFS(Calibration!$A:$A,A1433,Calibration!$B:$B,B1433)&gt;0,"Yes","No")</f>
        <v>No</v>
      </c>
      <c r="S1433" s="6"/>
    </row>
    <row r="1434" spans="1:19" ht="34.5" customHeight="1" x14ac:dyDescent="0.2">
      <c r="A1434" s="2">
        <v>280</v>
      </c>
      <c r="B1434" s="2">
        <v>5</v>
      </c>
      <c r="C1434" s="2" t="s">
        <v>454</v>
      </c>
      <c r="D1434" s="2" t="s">
        <v>21</v>
      </c>
      <c r="E1434" s="2">
        <v>20230808</v>
      </c>
      <c r="F1434" s="2">
        <v>20230808</v>
      </c>
      <c r="G1434" s="2">
        <v>5665</v>
      </c>
      <c r="H1434" s="2">
        <v>5500</v>
      </c>
      <c r="I1434" s="2">
        <v>100</v>
      </c>
      <c r="J1434" s="2" t="s">
        <v>455</v>
      </c>
      <c r="K1434" s="2" t="s">
        <v>67</v>
      </c>
      <c r="L1434" s="2" t="s">
        <v>4725</v>
      </c>
      <c r="M1434" s="7" t="s">
        <v>4726</v>
      </c>
      <c r="N1434" s="7" t="s">
        <v>4727</v>
      </c>
      <c r="O1434" s="2"/>
      <c r="P1434" s="2"/>
      <c r="Q1434" s="2" t="str">
        <f>IF(SUMPRODUCT(--ISNUMBER(SEARCH('National Domains'!$A$2:$A$48,L1434)))&gt;0,"Yes","No")</f>
        <v>Yes</v>
      </c>
      <c r="R1434" s="2" t="str">
        <f>IF(COUNTIFS(Calibration!$A:$A,A1434,Calibration!$B:$B,B1434)&gt;0,"Yes","No")</f>
        <v>No</v>
      </c>
      <c r="S1434" s="6"/>
    </row>
    <row r="1435" spans="1:19" ht="34.5" customHeight="1" x14ac:dyDescent="0.2">
      <c r="A1435" s="2">
        <v>280</v>
      </c>
      <c r="B1435" s="2">
        <v>6</v>
      </c>
      <c r="C1435" s="2" t="s">
        <v>454</v>
      </c>
      <c r="D1435" s="2" t="s">
        <v>21</v>
      </c>
      <c r="E1435" s="2">
        <v>20230808</v>
      </c>
      <c r="F1435" s="2">
        <v>20230808</v>
      </c>
      <c r="G1435" s="2">
        <v>5665</v>
      </c>
      <c r="H1435" s="2">
        <v>5500</v>
      </c>
      <c r="I1435" s="2">
        <v>100</v>
      </c>
      <c r="J1435" s="2" t="s">
        <v>455</v>
      </c>
      <c r="K1435" s="2" t="s">
        <v>67</v>
      </c>
      <c r="L1435" s="2" t="s">
        <v>4728</v>
      </c>
      <c r="M1435" s="7" t="s">
        <v>4729</v>
      </c>
      <c r="N1435" s="7" t="s">
        <v>4730</v>
      </c>
      <c r="O1435" s="2"/>
      <c r="P1435" s="2"/>
      <c r="Q1435" s="2" t="str">
        <f>IF(SUMPRODUCT(--ISNUMBER(SEARCH('National Domains'!$A$2:$A$48,L1435)))&gt;0,"Yes","No")</f>
        <v>Yes</v>
      </c>
      <c r="R1435" s="2" t="str">
        <f>IF(COUNTIFS(Calibration!$A:$A,A1435,Calibration!$B:$B,B1435)&gt;0,"Yes","No")</f>
        <v>No</v>
      </c>
      <c r="S1435" s="6"/>
    </row>
    <row r="1436" spans="1:19" ht="34.5" customHeight="1" x14ac:dyDescent="0.2">
      <c r="A1436" s="2">
        <v>280</v>
      </c>
      <c r="B1436" s="2">
        <v>7</v>
      </c>
      <c r="C1436" s="2" t="s">
        <v>454</v>
      </c>
      <c r="D1436" s="2" t="s">
        <v>21</v>
      </c>
      <c r="E1436" s="2">
        <v>20230808</v>
      </c>
      <c r="F1436" s="2">
        <v>20230808</v>
      </c>
      <c r="G1436" s="2">
        <v>5665</v>
      </c>
      <c r="H1436" s="2">
        <v>5500</v>
      </c>
      <c r="I1436" s="2">
        <v>100</v>
      </c>
      <c r="J1436" s="2" t="s">
        <v>455</v>
      </c>
      <c r="K1436" s="2" t="s">
        <v>67</v>
      </c>
      <c r="L1436" s="2" t="s">
        <v>4731</v>
      </c>
      <c r="M1436" s="7" t="s">
        <v>4732</v>
      </c>
      <c r="N1436" s="7" t="s">
        <v>4733</v>
      </c>
      <c r="O1436" s="2"/>
      <c r="P1436" s="2"/>
      <c r="Q1436" s="2" t="str">
        <f>IF(SUMPRODUCT(--ISNUMBER(SEARCH('National Domains'!$A$2:$A$48,L1436)))&gt;0,"Yes","No")</f>
        <v>Yes</v>
      </c>
      <c r="R1436" s="2" t="str">
        <f>IF(COUNTIFS(Calibration!$A:$A,A1436,Calibration!$B:$B,B1436)&gt;0,"Yes","No")</f>
        <v>No</v>
      </c>
      <c r="S1436" s="6"/>
    </row>
    <row r="1437" spans="1:19" ht="34.5" customHeight="1" x14ac:dyDescent="0.2">
      <c r="A1437" s="2">
        <v>280</v>
      </c>
      <c r="B1437" s="2">
        <v>8</v>
      </c>
      <c r="C1437" s="2" t="s">
        <v>454</v>
      </c>
      <c r="D1437" s="2" t="s">
        <v>21</v>
      </c>
      <c r="E1437" s="2">
        <v>20230808</v>
      </c>
      <c r="F1437" s="2">
        <v>20230808</v>
      </c>
      <c r="G1437" s="2">
        <v>5665</v>
      </c>
      <c r="H1437" s="2">
        <v>5500</v>
      </c>
      <c r="I1437" s="2">
        <v>100</v>
      </c>
      <c r="J1437" s="2" t="s">
        <v>455</v>
      </c>
      <c r="K1437" s="2" t="s">
        <v>67</v>
      </c>
      <c r="L1437" s="2" t="s">
        <v>4734</v>
      </c>
      <c r="M1437" s="7" t="s">
        <v>4735</v>
      </c>
      <c r="N1437" s="7" t="s">
        <v>4736</v>
      </c>
      <c r="O1437" s="2"/>
      <c r="P1437" s="2"/>
      <c r="Q1437" s="2" t="str">
        <f>IF(SUMPRODUCT(--ISNUMBER(SEARCH('National Domains'!$A$2:$A$48,L1437)))&gt;0,"Yes","No")</f>
        <v>Yes</v>
      </c>
      <c r="R1437" s="2" t="str">
        <f>IF(COUNTIFS(Calibration!$A:$A,A1437,Calibration!$B:$B,B1437)&gt;0,"Yes","No")</f>
        <v>No</v>
      </c>
      <c r="S1437" s="6"/>
    </row>
    <row r="1438" spans="1:19" ht="34.5" customHeight="1" x14ac:dyDescent="0.2">
      <c r="A1438" s="2">
        <v>280</v>
      </c>
      <c r="B1438" s="2">
        <v>9</v>
      </c>
      <c r="C1438" s="2" t="s">
        <v>454</v>
      </c>
      <c r="D1438" s="2" t="s">
        <v>21</v>
      </c>
      <c r="E1438" s="2">
        <v>20230808</v>
      </c>
      <c r="F1438" s="2">
        <v>20230808</v>
      </c>
      <c r="G1438" s="2">
        <v>5665</v>
      </c>
      <c r="H1438" s="2">
        <v>5500</v>
      </c>
      <c r="I1438" s="2">
        <v>100</v>
      </c>
      <c r="J1438" s="2" t="s">
        <v>455</v>
      </c>
      <c r="K1438" s="2" t="s">
        <v>67</v>
      </c>
      <c r="L1438" s="2" t="s">
        <v>4737</v>
      </c>
      <c r="M1438" s="7" t="s">
        <v>4738</v>
      </c>
      <c r="N1438" s="7" t="s">
        <v>4739</v>
      </c>
      <c r="O1438" s="2"/>
      <c r="P1438" s="2"/>
      <c r="Q1438" s="2" t="str">
        <f>IF(SUMPRODUCT(--ISNUMBER(SEARCH('National Domains'!$A$2:$A$48,L1438)))&gt;0,"Yes","No")</f>
        <v>Yes</v>
      </c>
      <c r="R1438" s="2" t="str">
        <f>IF(COUNTIFS(Calibration!$A:$A,A1438,Calibration!$B:$B,B1438)&gt;0,"Yes","No")</f>
        <v>No</v>
      </c>
      <c r="S1438" s="6"/>
    </row>
    <row r="1439" spans="1:19" ht="34.5" customHeight="1" x14ac:dyDescent="0.2">
      <c r="A1439" s="2">
        <v>281</v>
      </c>
      <c r="B1439" s="2">
        <v>1</v>
      </c>
      <c r="C1439" s="2" t="s">
        <v>456</v>
      </c>
      <c r="D1439" s="2" t="s">
        <v>17</v>
      </c>
      <c r="E1439" s="2">
        <v>20230805</v>
      </c>
      <c r="F1439" s="2">
        <v>20230808</v>
      </c>
      <c r="G1439" s="2">
        <v>1680.2</v>
      </c>
      <c r="H1439" s="2">
        <v>1631</v>
      </c>
      <c r="I1439" s="2">
        <v>4</v>
      </c>
      <c r="J1439" s="2" t="s">
        <v>51</v>
      </c>
      <c r="K1439" s="2" t="s">
        <v>52</v>
      </c>
      <c r="L1439" s="2" t="s">
        <v>4740</v>
      </c>
      <c r="M1439" s="7" t="s">
        <v>4741</v>
      </c>
      <c r="N1439" s="7" t="s">
        <v>4742</v>
      </c>
      <c r="O1439" s="2"/>
      <c r="P1439" s="2"/>
      <c r="Q1439" s="2" t="str">
        <f>IF(SUMPRODUCT(--ISNUMBER(SEARCH('National Domains'!$A$2:$A$48,L1439)))&gt;0,"Yes","No")</f>
        <v>No</v>
      </c>
      <c r="R1439" s="2" t="str">
        <f>IF(COUNTIFS(Calibration!$A:$A,A1439,Calibration!$B:$B,B1439)&gt;0,"Yes","No")</f>
        <v>No</v>
      </c>
      <c r="S1439" s="6"/>
    </row>
    <row r="1440" spans="1:19" ht="34.5" customHeight="1" x14ac:dyDescent="0.2">
      <c r="A1440" s="2">
        <v>282</v>
      </c>
      <c r="B1440" s="2">
        <v>1</v>
      </c>
      <c r="C1440" s="2" t="s">
        <v>457</v>
      </c>
      <c r="D1440" s="2" t="s">
        <v>17</v>
      </c>
      <c r="E1440" s="2">
        <v>20230811</v>
      </c>
      <c r="F1440" s="2">
        <v>20230811</v>
      </c>
      <c r="G1440" s="2">
        <v>1828.3</v>
      </c>
      <c r="H1440" s="2">
        <v>1775</v>
      </c>
      <c r="I1440" s="2">
        <v>0</v>
      </c>
      <c r="J1440" s="2" t="s">
        <v>458</v>
      </c>
      <c r="K1440" s="2" t="s">
        <v>176</v>
      </c>
      <c r="L1440" s="2" t="s">
        <v>4743</v>
      </c>
      <c r="M1440" s="7" t="s">
        <v>4744</v>
      </c>
      <c r="N1440" s="7" t="s">
        <v>4745</v>
      </c>
      <c r="O1440" s="2"/>
      <c r="P1440" s="2"/>
      <c r="Q1440" s="2" t="str">
        <f>IF(SUMPRODUCT(--ISNUMBER(SEARCH('National Domains'!$A$2:$A$48,L1440)))&gt;0,"Yes","No")</f>
        <v>No</v>
      </c>
      <c r="R1440" s="2" t="str">
        <f>IF(COUNTIFS(Calibration!$A:$A,A1440,Calibration!$B:$B,B1440)&gt;0,"Yes","No")</f>
        <v>No</v>
      </c>
      <c r="S1440" s="6"/>
    </row>
    <row r="1441" spans="1:19" ht="34.5" customHeight="1" x14ac:dyDescent="0.2">
      <c r="A1441" s="2">
        <v>283</v>
      </c>
      <c r="B1441" s="2">
        <v>1</v>
      </c>
      <c r="C1441" s="2" t="s">
        <v>459</v>
      </c>
      <c r="D1441" s="2" t="s">
        <v>39</v>
      </c>
      <c r="E1441" s="2">
        <v>20230829</v>
      </c>
      <c r="F1441" s="2">
        <v>20230831</v>
      </c>
      <c r="G1441" s="2">
        <v>3559.7</v>
      </c>
      <c r="H1441" s="2">
        <v>3456</v>
      </c>
      <c r="I1441" s="2">
        <v>5</v>
      </c>
      <c r="J1441" s="2" t="s">
        <v>78</v>
      </c>
      <c r="K1441" s="2" t="s">
        <v>27</v>
      </c>
      <c r="L1441" s="2" t="s">
        <v>4746</v>
      </c>
      <c r="M1441" s="7" t="s">
        <v>4747</v>
      </c>
      <c r="N1441" s="7" t="s">
        <v>4748</v>
      </c>
      <c r="O1441" s="2"/>
      <c r="P1441" s="2"/>
      <c r="Q1441" s="2" t="str">
        <f>IF(SUMPRODUCT(--ISNUMBER(SEARCH('National Domains'!$A$2:$A$48,L1441)))&gt;0,"Yes","No")</f>
        <v>No</v>
      </c>
      <c r="R1441" s="2" t="str">
        <f>IF(COUNTIFS(Calibration!$A:$A,A1441,Calibration!$B:$B,B1441)&gt;0,"Yes","No")</f>
        <v>No</v>
      </c>
      <c r="S1441" s="6"/>
    </row>
    <row r="1442" spans="1:19" ht="23.25" customHeight="1" x14ac:dyDescent="0.2">
      <c r="A1442" s="2">
        <v>283</v>
      </c>
      <c r="B1442" s="2">
        <v>2</v>
      </c>
      <c r="C1442" s="2" t="s">
        <v>459</v>
      </c>
      <c r="D1442" s="2" t="s">
        <v>39</v>
      </c>
      <c r="E1442" s="2">
        <v>20230829</v>
      </c>
      <c r="F1442" s="2">
        <v>20230831</v>
      </c>
      <c r="G1442" s="2">
        <v>3559.7</v>
      </c>
      <c r="H1442" s="2">
        <v>3456</v>
      </c>
      <c r="I1442" s="2">
        <v>5</v>
      </c>
      <c r="J1442" s="2" t="s">
        <v>78</v>
      </c>
      <c r="K1442" s="2" t="s">
        <v>27</v>
      </c>
      <c r="L1442" s="2" t="s">
        <v>4749</v>
      </c>
      <c r="M1442" s="7" t="s">
        <v>4750</v>
      </c>
      <c r="N1442" s="7" t="s">
        <v>4751</v>
      </c>
      <c r="O1442" s="2"/>
      <c r="P1442" s="2"/>
      <c r="Q1442" s="2" t="str">
        <f>IF(SUMPRODUCT(--ISNUMBER(SEARCH('National Domains'!$A$2:$A$48,L1442)))&gt;0,"Yes","No")</f>
        <v>No</v>
      </c>
      <c r="R1442" s="2" t="str">
        <f>IF(COUNTIFS(Calibration!$A:$A,A1442,Calibration!$B:$B,B1442)&gt;0,"Yes","No")</f>
        <v>No</v>
      </c>
      <c r="S1442" s="6"/>
    </row>
    <row r="1443" spans="1:19" ht="34.5" customHeight="1" x14ac:dyDescent="0.2">
      <c r="A1443" s="2">
        <v>283</v>
      </c>
      <c r="B1443" s="2">
        <v>3</v>
      </c>
      <c r="C1443" s="2" t="s">
        <v>459</v>
      </c>
      <c r="D1443" s="2" t="s">
        <v>39</v>
      </c>
      <c r="E1443" s="2">
        <v>20230829</v>
      </c>
      <c r="F1443" s="2">
        <v>20230831</v>
      </c>
      <c r="G1443" s="2">
        <v>3559.7</v>
      </c>
      <c r="H1443" s="2">
        <v>3456</v>
      </c>
      <c r="I1443" s="2">
        <v>5</v>
      </c>
      <c r="J1443" s="2" t="s">
        <v>78</v>
      </c>
      <c r="K1443" s="2" t="s">
        <v>27</v>
      </c>
      <c r="L1443" s="2" t="s">
        <v>4752</v>
      </c>
      <c r="M1443" s="7" t="s">
        <v>4753</v>
      </c>
      <c r="N1443" s="7" t="s">
        <v>4754</v>
      </c>
      <c r="O1443" s="2"/>
      <c r="P1443" s="2"/>
      <c r="Q1443" s="2" t="str">
        <f>IF(SUMPRODUCT(--ISNUMBER(SEARCH('National Domains'!$A$2:$A$48,L1443)))&gt;0,"Yes","No")</f>
        <v>No</v>
      </c>
      <c r="R1443" s="2" t="str">
        <f>IF(COUNTIFS(Calibration!$A:$A,A1443,Calibration!$B:$B,B1443)&gt;0,"Yes","No")</f>
        <v>No</v>
      </c>
      <c r="S1443" s="6"/>
    </row>
    <row r="1444" spans="1:19" ht="34.5" customHeight="1" x14ac:dyDescent="0.2">
      <c r="A1444" s="2">
        <v>283</v>
      </c>
      <c r="B1444" s="2">
        <v>4</v>
      </c>
      <c r="C1444" s="2" t="s">
        <v>459</v>
      </c>
      <c r="D1444" s="2" t="s">
        <v>39</v>
      </c>
      <c r="E1444" s="2">
        <v>20230829</v>
      </c>
      <c r="F1444" s="2">
        <v>20230831</v>
      </c>
      <c r="G1444" s="2">
        <v>3559.7</v>
      </c>
      <c r="H1444" s="2">
        <v>3456</v>
      </c>
      <c r="I1444" s="2">
        <v>5</v>
      </c>
      <c r="J1444" s="2" t="s">
        <v>78</v>
      </c>
      <c r="K1444" s="2" t="s">
        <v>27</v>
      </c>
      <c r="L1444" s="2" t="s">
        <v>4755</v>
      </c>
      <c r="M1444" s="7" t="s">
        <v>4756</v>
      </c>
      <c r="N1444" s="7" t="s">
        <v>4757</v>
      </c>
      <c r="O1444" s="2"/>
      <c r="P1444" s="2"/>
      <c r="Q1444" s="2" t="str">
        <f>IF(SUMPRODUCT(--ISNUMBER(SEARCH('National Domains'!$A$2:$A$48,L1444)))&gt;0,"Yes","No")</f>
        <v>No</v>
      </c>
      <c r="R1444" s="2" t="str">
        <f>IF(COUNTIFS(Calibration!$A:$A,A1444,Calibration!$B:$B,B1444)&gt;0,"Yes","No")</f>
        <v>No</v>
      </c>
      <c r="S1444" s="6"/>
    </row>
    <row r="1445" spans="1:19" ht="34.5" customHeight="1" x14ac:dyDescent="0.2">
      <c r="A1445" s="2">
        <v>283</v>
      </c>
      <c r="B1445" s="2">
        <v>5</v>
      </c>
      <c r="C1445" s="2" t="s">
        <v>459</v>
      </c>
      <c r="D1445" s="2" t="s">
        <v>39</v>
      </c>
      <c r="E1445" s="2">
        <v>20230829</v>
      </c>
      <c r="F1445" s="2">
        <v>20230831</v>
      </c>
      <c r="G1445" s="2">
        <v>3559.7</v>
      </c>
      <c r="H1445" s="2">
        <v>3456</v>
      </c>
      <c r="I1445" s="2">
        <v>5</v>
      </c>
      <c r="J1445" s="2" t="s">
        <v>78</v>
      </c>
      <c r="K1445" s="2" t="s">
        <v>27</v>
      </c>
      <c r="L1445" s="2" t="s">
        <v>4758</v>
      </c>
      <c r="M1445" s="7" t="s">
        <v>4759</v>
      </c>
      <c r="N1445" s="7" t="s">
        <v>4760</v>
      </c>
      <c r="O1445" s="2"/>
      <c r="P1445" s="2"/>
      <c r="Q1445" s="2" t="str">
        <f>IF(SUMPRODUCT(--ISNUMBER(SEARCH('National Domains'!$A$2:$A$48,L1445)))&gt;0,"Yes","No")</f>
        <v>No</v>
      </c>
      <c r="R1445" s="2" t="str">
        <f>IF(COUNTIFS(Calibration!$A:$A,A1445,Calibration!$B:$B,B1445)&gt;0,"Yes","No")</f>
        <v>No</v>
      </c>
      <c r="S1445" s="6"/>
    </row>
    <row r="1446" spans="1:19" ht="34.5" customHeight="1" x14ac:dyDescent="0.2">
      <c r="A1446" s="4">
        <v>283</v>
      </c>
      <c r="B1446" s="4">
        <v>6</v>
      </c>
      <c r="C1446" s="4" t="s">
        <v>459</v>
      </c>
      <c r="D1446" s="4" t="s">
        <v>39</v>
      </c>
      <c r="E1446" s="4">
        <v>20230829</v>
      </c>
      <c r="F1446" s="4">
        <v>20230831</v>
      </c>
      <c r="G1446" s="4">
        <v>3559.7</v>
      </c>
      <c r="H1446" s="4">
        <v>3456</v>
      </c>
      <c r="I1446" s="4">
        <v>5</v>
      </c>
      <c r="J1446" s="4" t="s">
        <v>78</v>
      </c>
      <c r="K1446" s="4" t="s">
        <v>27</v>
      </c>
      <c r="L1446" s="4" t="s">
        <v>4761</v>
      </c>
      <c r="M1446" s="5" t="s">
        <v>4762</v>
      </c>
      <c r="N1446" s="5" t="s">
        <v>4763</v>
      </c>
      <c r="O1446" s="4"/>
      <c r="P1446" s="4"/>
      <c r="Q1446" s="4" t="str">
        <f>IF(SUMPRODUCT(--ISNUMBER(SEARCH('National Domains'!$A$2:$A$48,L1446)))&gt;0,"Yes","No")</f>
        <v>No</v>
      </c>
      <c r="R1446" s="4" t="str">
        <f>IF(COUNTIFS(Calibration!$A:$A,A1446,Calibration!$B:$B,B1446)&gt;0,"Yes","No")</f>
        <v>Yes</v>
      </c>
      <c r="S1446" s="6"/>
    </row>
    <row r="1447" spans="1:19" ht="34.5" customHeight="1" x14ac:dyDescent="0.2">
      <c r="A1447" s="2">
        <v>283</v>
      </c>
      <c r="B1447" s="2">
        <v>7</v>
      </c>
      <c r="C1447" s="2" t="s">
        <v>459</v>
      </c>
      <c r="D1447" s="2" t="s">
        <v>39</v>
      </c>
      <c r="E1447" s="2">
        <v>20230829</v>
      </c>
      <c r="F1447" s="2">
        <v>20230831</v>
      </c>
      <c r="G1447" s="2">
        <v>3559.7</v>
      </c>
      <c r="H1447" s="2">
        <v>3456</v>
      </c>
      <c r="I1447" s="2">
        <v>5</v>
      </c>
      <c r="J1447" s="2" t="s">
        <v>78</v>
      </c>
      <c r="K1447" s="2" t="s">
        <v>27</v>
      </c>
      <c r="L1447" s="2" t="s">
        <v>4764</v>
      </c>
      <c r="M1447" s="7" t="s">
        <v>4765</v>
      </c>
      <c r="N1447" s="7" t="s">
        <v>4766</v>
      </c>
      <c r="O1447" s="2"/>
      <c r="P1447" s="2"/>
      <c r="Q1447" s="2" t="str">
        <f>IF(SUMPRODUCT(--ISNUMBER(SEARCH('National Domains'!$A$2:$A$48,L1447)))&gt;0,"Yes","No")</f>
        <v>No</v>
      </c>
      <c r="R1447" s="2" t="str">
        <f>IF(COUNTIFS(Calibration!$A:$A,A1447,Calibration!$B:$B,B1447)&gt;0,"Yes","No")</f>
        <v>No</v>
      </c>
      <c r="S1447" s="6"/>
    </row>
    <row r="1448" spans="1:19" ht="34.5" customHeight="1" x14ac:dyDescent="0.2">
      <c r="A1448" s="2">
        <v>283</v>
      </c>
      <c r="B1448" s="2">
        <v>8</v>
      </c>
      <c r="C1448" s="2" t="s">
        <v>459</v>
      </c>
      <c r="D1448" s="2" t="s">
        <v>39</v>
      </c>
      <c r="E1448" s="2">
        <v>20230829</v>
      </c>
      <c r="F1448" s="2">
        <v>20230831</v>
      </c>
      <c r="G1448" s="2">
        <v>3559.7</v>
      </c>
      <c r="H1448" s="2">
        <v>3456</v>
      </c>
      <c r="I1448" s="2">
        <v>5</v>
      </c>
      <c r="J1448" s="2" t="s">
        <v>78</v>
      </c>
      <c r="K1448" s="2" t="s">
        <v>27</v>
      </c>
      <c r="L1448" s="2" t="s">
        <v>4767</v>
      </c>
      <c r="M1448" s="7" t="s">
        <v>4768</v>
      </c>
      <c r="N1448" s="7" t="s">
        <v>4769</v>
      </c>
      <c r="O1448" s="2"/>
      <c r="P1448" s="2"/>
      <c r="Q1448" s="2" t="str">
        <f>IF(SUMPRODUCT(--ISNUMBER(SEARCH('National Domains'!$A$2:$A$48,L1448)))&gt;0,"Yes","No")</f>
        <v>No</v>
      </c>
      <c r="R1448" s="2" t="str">
        <f>IF(COUNTIFS(Calibration!$A:$A,A1448,Calibration!$B:$B,B1448)&gt;0,"Yes","No")</f>
        <v>No</v>
      </c>
      <c r="S1448" s="6"/>
    </row>
    <row r="1449" spans="1:19" ht="34.5" customHeight="1" x14ac:dyDescent="0.2">
      <c r="A1449" s="2">
        <v>283</v>
      </c>
      <c r="B1449" s="2">
        <v>9</v>
      </c>
      <c r="C1449" s="2" t="s">
        <v>459</v>
      </c>
      <c r="D1449" s="2" t="s">
        <v>39</v>
      </c>
      <c r="E1449" s="2">
        <v>20230829</v>
      </c>
      <c r="F1449" s="2">
        <v>20230831</v>
      </c>
      <c r="G1449" s="2">
        <v>3559.7</v>
      </c>
      <c r="H1449" s="2">
        <v>3456</v>
      </c>
      <c r="I1449" s="2">
        <v>5</v>
      </c>
      <c r="J1449" s="2" t="s">
        <v>78</v>
      </c>
      <c r="K1449" s="2" t="s">
        <v>27</v>
      </c>
      <c r="L1449" s="2" t="s">
        <v>4770</v>
      </c>
      <c r="M1449" s="7" t="s">
        <v>4771</v>
      </c>
      <c r="N1449" s="7" t="s">
        <v>4772</v>
      </c>
      <c r="O1449" s="2"/>
      <c r="P1449" s="2"/>
      <c r="Q1449" s="2" t="str">
        <f>IF(SUMPRODUCT(--ISNUMBER(SEARCH('National Domains'!$A$2:$A$48,L1449)))&gt;0,"Yes","No")</f>
        <v>No</v>
      </c>
      <c r="R1449" s="2" t="str">
        <f>IF(COUNTIFS(Calibration!$A:$A,A1449,Calibration!$B:$B,B1449)&gt;0,"Yes","No")</f>
        <v>No</v>
      </c>
      <c r="S1449" s="6"/>
    </row>
    <row r="1450" spans="1:19" ht="34.5" customHeight="1" x14ac:dyDescent="0.2">
      <c r="A1450" s="2">
        <v>283</v>
      </c>
      <c r="B1450" s="2">
        <v>10</v>
      </c>
      <c r="C1450" s="2" t="s">
        <v>459</v>
      </c>
      <c r="D1450" s="2" t="s">
        <v>39</v>
      </c>
      <c r="E1450" s="2">
        <v>20230829</v>
      </c>
      <c r="F1450" s="2">
        <v>20230831</v>
      </c>
      <c r="G1450" s="2">
        <v>3559.7</v>
      </c>
      <c r="H1450" s="2">
        <v>3456</v>
      </c>
      <c r="I1450" s="2">
        <v>5</v>
      </c>
      <c r="J1450" s="2" t="s">
        <v>78</v>
      </c>
      <c r="K1450" s="2" t="s">
        <v>27</v>
      </c>
      <c r="L1450" s="2" t="s">
        <v>4773</v>
      </c>
      <c r="M1450" s="7" t="s">
        <v>4774</v>
      </c>
      <c r="N1450" s="7" t="s">
        <v>4775</v>
      </c>
      <c r="O1450" s="2"/>
      <c r="P1450" s="2"/>
      <c r="Q1450" s="2" t="str">
        <f>IF(SUMPRODUCT(--ISNUMBER(SEARCH('National Domains'!$A$2:$A$48,L1450)))&gt;0,"Yes","No")</f>
        <v>No</v>
      </c>
      <c r="R1450" s="2" t="str">
        <f>IF(COUNTIFS(Calibration!$A:$A,A1450,Calibration!$B:$B,B1450)&gt;0,"Yes","No")</f>
        <v>No</v>
      </c>
      <c r="S1450" s="6"/>
    </row>
    <row r="1451" spans="1:19" ht="34.5" customHeight="1" x14ac:dyDescent="0.2">
      <c r="A1451" s="2">
        <v>283</v>
      </c>
      <c r="B1451" s="2">
        <v>11</v>
      </c>
      <c r="C1451" s="2" t="s">
        <v>459</v>
      </c>
      <c r="D1451" s="2" t="s">
        <v>39</v>
      </c>
      <c r="E1451" s="2">
        <v>20230829</v>
      </c>
      <c r="F1451" s="2">
        <v>20230831</v>
      </c>
      <c r="G1451" s="2">
        <v>3559.7</v>
      </c>
      <c r="H1451" s="2">
        <v>3456</v>
      </c>
      <c r="I1451" s="2">
        <v>5</v>
      </c>
      <c r="J1451" s="2" t="s">
        <v>78</v>
      </c>
      <c r="K1451" s="2" t="s">
        <v>27</v>
      </c>
      <c r="L1451" s="2" t="s">
        <v>4776</v>
      </c>
      <c r="M1451" s="7" t="s">
        <v>4777</v>
      </c>
      <c r="N1451" s="7" t="s">
        <v>4778</v>
      </c>
      <c r="O1451" s="2"/>
      <c r="P1451" s="2"/>
      <c r="Q1451" s="2" t="str">
        <f>IF(SUMPRODUCT(--ISNUMBER(SEARCH('National Domains'!$A$2:$A$48,L1451)))&gt;0,"Yes","No")</f>
        <v>No</v>
      </c>
      <c r="R1451" s="2" t="str">
        <f>IF(COUNTIFS(Calibration!$A:$A,A1451,Calibration!$B:$B,B1451)&gt;0,"Yes","No")</f>
        <v>No</v>
      </c>
      <c r="S1451" s="6"/>
    </row>
    <row r="1452" spans="1:19" ht="34.5" customHeight="1" x14ac:dyDescent="0.2">
      <c r="A1452" s="2">
        <v>283</v>
      </c>
      <c r="B1452" s="2">
        <v>12</v>
      </c>
      <c r="C1452" s="2" t="s">
        <v>459</v>
      </c>
      <c r="D1452" s="2" t="s">
        <v>39</v>
      </c>
      <c r="E1452" s="2">
        <v>20230829</v>
      </c>
      <c r="F1452" s="2">
        <v>20230831</v>
      </c>
      <c r="G1452" s="2">
        <v>3559.7</v>
      </c>
      <c r="H1452" s="2">
        <v>3456</v>
      </c>
      <c r="I1452" s="2">
        <v>5</v>
      </c>
      <c r="J1452" s="2" t="s">
        <v>78</v>
      </c>
      <c r="K1452" s="2" t="s">
        <v>27</v>
      </c>
      <c r="L1452" s="2" t="s">
        <v>4779</v>
      </c>
      <c r="M1452" s="7" t="s">
        <v>4780</v>
      </c>
      <c r="N1452" s="7" t="s">
        <v>4781</v>
      </c>
      <c r="O1452" s="2"/>
      <c r="P1452" s="2"/>
      <c r="Q1452" s="2" t="str">
        <f>IF(SUMPRODUCT(--ISNUMBER(SEARCH('National Domains'!$A$2:$A$48,L1452)))&gt;0,"Yes","No")</f>
        <v>Yes</v>
      </c>
      <c r="R1452" s="2" t="str">
        <f>IF(COUNTIFS(Calibration!$A:$A,A1452,Calibration!$B:$B,B1452)&gt;0,"Yes","No")</f>
        <v>No</v>
      </c>
      <c r="S1452" s="6"/>
    </row>
    <row r="1453" spans="1:19" ht="34.5" customHeight="1" x14ac:dyDescent="0.2">
      <c r="A1453" s="2">
        <v>283</v>
      </c>
      <c r="B1453" s="2">
        <v>13</v>
      </c>
      <c r="C1453" s="2" t="s">
        <v>459</v>
      </c>
      <c r="D1453" s="2" t="s">
        <v>39</v>
      </c>
      <c r="E1453" s="2">
        <v>20230829</v>
      </c>
      <c r="F1453" s="2">
        <v>20230831</v>
      </c>
      <c r="G1453" s="2">
        <v>3559.7</v>
      </c>
      <c r="H1453" s="2">
        <v>3456</v>
      </c>
      <c r="I1453" s="2">
        <v>5</v>
      </c>
      <c r="J1453" s="2" t="s">
        <v>78</v>
      </c>
      <c r="K1453" s="2" t="s">
        <v>27</v>
      </c>
      <c r="L1453" s="2" t="s">
        <v>4782</v>
      </c>
      <c r="M1453" s="7" t="s">
        <v>4783</v>
      </c>
      <c r="N1453" s="7" t="s">
        <v>4784</v>
      </c>
      <c r="O1453" s="2"/>
      <c r="P1453" s="2"/>
      <c r="Q1453" s="2" t="str">
        <f>IF(SUMPRODUCT(--ISNUMBER(SEARCH('National Domains'!$A$2:$A$48,L1453)))&gt;0,"Yes","No")</f>
        <v>Yes</v>
      </c>
      <c r="R1453" s="2" t="str">
        <f>IF(COUNTIFS(Calibration!$A:$A,A1453,Calibration!$B:$B,B1453)&gt;0,"Yes","No")</f>
        <v>No</v>
      </c>
      <c r="S1453" s="6"/>
    </row>
    <row r="1454" spans="1:19" ht="34.5" customHeight="1" x14ac:dyDescent="0.2">
      <c r="A1454" s="2">
        <v>283</v>
      </c>
      <c r="B1454" s="2">
        <v>14</v>
      </c>
      <c r="C1454" s="2" t="s">
        <v>459</v>
      </c>
      <c r="D1454" s="2" t="s">
        <v>39</v>
      </c>
      <c r="E1454" s="2">
        <v>20230829</v>
      </c>
      <c r="F1454" s="2">
        <v>20230831</v>
      </c>
      <c r="G1454" s="2">
        <v>3559.7</v>
      </c>
      <c r="H1454" s="2">
        <v>3456</v>
      </c>
      <c r="I1454" s="2">
        <v>5</v>
      </c>
      <c r="J1454" s="2" t="s">
        <v>78</v>
      </c>
      <c r="K1454" s="2" t="s">
        <v>27</v>
      </c>
      <c r="L1454" s="2" t="s">
        <v>4785</v>
      </c>
      <c r="M1454" s="7" t="s">
        <v>4786</v>
      </c>
      <c r="N1454" s="7" t="s">
        <v>4787</v>
      </c>
      <c r="O1454" s="2"/>
      <c r="P1454" s="2"/>
      <c r="Q1454" s="2" t="str">
        <f>IF(SUMPRODUCT(--ISNUMBER(SEARCH('National Domains'!$A$2:$A$48,L1454)))&gt;0,"Yes","No")</f>
        <v>Yes</v>
      </c>
      <c r="R1454" s="2" t="str">
        <f>IF(COUNTIFS(Calibration!$A:$A,A1454,Calibration!$B:$B,B1454)&gt;0,"Yes","No")</f>
        <v>No</v>
      </c>
      <c r="S1454" s="6"/>
    </row>
    <row r="1455" spans="1:19" ht="34.5" customHeight="1" x14ac:dyDescent="0.2">
      <c r="A1455" s="2">
        <v>283</v>
      </c>
      <c r="B1455" s="2">
        <v>15</v>
      </c>
      <c r="C1455" s="2" t="s">
        <v>459</v>
      </c>
      <c r="D1455" s="2" t="s">
        <v>39</v>
      </c>
      <c r="E1455" s="2">
        <v>20230829</v>
      </c>
      <c r="F1455" s="2">
        <v>20230831</v>
      </c>
      <c r="G1455" s="2">
        <v>3559.7</v>
      </c>
      <c r="H1455" s="2">
        <v>3456</v>
      </c>
      <c r="I1455" s="2">
        <v>5</v>
      </c>
      <c r="J1455" s="2" t="s">
        <v>78</v>
      </c>
      <c r="K1455" s="2" t="s">
        <v>27</v>
      </c>
      <c r="L1455" s="2" t="s">
        <v>4788</v>
      </c>
      <c r="M1455" s="7" t="s">
        <v>4789</v>
      </c>
      <c r="N1455" s="7" t="s">
        <v>4790</v>
      </c>
      <c r="O1455" s="2"/>
      <c r="P1455" s="2"/>
      <c r="Q1455" s="2" t="str">
        <f>IF(SUMPRODUCT(--ISNUMBER(SEARCH('National Domains'!$A$2:$A$48,L1455)))&gt;0,"Yes","No")</f>
        <v>Yes</v>
      </c>
      <c r="R1455" s="2" t="str">
        <f>IF(COUNTIFS(Calibration!$A:$A,A1455,Calibration!$B:$B,B1455)&gt;0,"Yes","No")</f>
        <v>No</v>
      </c>
      <c r="S1455" s="6"/>
    </row>
    <row r="1456" spans="1:19" ht="34.5" customHeight="1" x14ac:dyDescent="0.2">
      <c r="A1456" s="2">
        <v>283</v>
      </c>
      <c r="B1456" s="2">
        <v>16</v>
      </c>
      <c r="C1456" s="2" t="s">
        <v>459</v>
      </c>
      <c r="D1456" s="2" t="s">
        <v>39</v>
      </c>
      <c r="E1456" s="2">
        <v>20230829</v>
      </c>
      <c r="F1456" s="2">
        <v>20230831</v>
      </c>
      <c r="G1456" s="2">
        <v>3559.7</v>
      </c>
      <c r="H1456" s="2">
        <v>3456</v>
      </c>
      <c r="I1456" s="2">
        <v>5</v>
      </c>
      <c r="J1456" s="2" t="s">
        <v>78</v>
      </c>
      <c r="K1456" s="2" t="s">
        <v>27</v>
      </c>
      <c r="L1456" s="2" t="s">
        <v>4791</v>
      </c>
      <c r="M1456" s="7" t="s">
        <v>4792</v>
      </c>
      <c r="N1456" s="7" t="s">
        <v>4793</v>
      </c>
      <c r="O1456" s="2"/>
      <c r="P1456" s="2"/>
      <c r="Q1456" s="2" t="str">
        <f>IF(SUMPRODUCT(--ISNUMBER(SEARCH('National Domains'!$A$2:$A$48,L1456)))&gt;0,"Yes","No")</f>
        <v>Yes</v>
      </c>
      <c r="R1456" s="2" t="str">
        <f>IF(COUNTIFS(Calibration!$A:$A,A1456,Calibration!$B:$B,B1456)&gt;0,"Yes","No")</f>
        <v>No</v>
      </c>
      <c r="S1456" s="6"/>
    </row>
    <row r="1457" spans="1:19" ht="34.5" customHeight="1" x14ac:dyDescent="0.2">
      <c r="A1457" s="2">
        <v>283</v>
      </c>
      <c r="B1457" s="2">
        <v>17</v>
      </c>
      <c r="C1457" s="2" t="s">
        <v>459</v>
      </c>
      <c r="D1457" s="2" t="s">
        <v>39</v>
      </c>
      <c r="E1457" s="2">
        <v>20230829</v>
      </c>
      <c r="F1457" s="2">
        <v>20230831</v>
      </c>
      <c r="G1457" s="2">
        <v>3559.7</v>
      </c>
      <c r="H1457" s="2">
        <v>3456</v>
      </c>
      <c r="I1457" s="2">
        <v>5</v>
      </c>
      <c r="J1457" s="2" t="s">
        <v>78</v>
      </c>
      <c r="K1457" s="2" t="s">
        <v>27</v>
      </c>
      <c r="L1457" s="2" t="s">
        <v>4794</v>
      </c>
      <c r="M1457" s="7" t="s">
        <v>4795</v>
      </c>
      <c r="N1457" s="7" t="s">
        <v>4796</v>
      </c>
      <c r="O1457" s="2"/>
      <c r="P1457" s="2"/>
      <c r="Q1457" s="2" t="str">
        <f>IF(SUMPRODUCT(--ISNUMBER(SEARCH('National Domains'!$A$2:$A$48,L1457)))&gt;0,"Yes","No")</f>
        <v>No</v>
      </c>
      <c r="R1457" s="2" t="str">
        <f>IF(COUNTIFS(Calibration!$A:$A,A1457,Calibration!$B:$B,B1457)&gt;0,"Yes","No")</f>
        <v>No</v>
      </c>
      <c r="S1457" s="6"/>
    </row>
    <row r="1458" spans="1:19" ht="34.5" customHeight="1" x14ac:dyDescent="0.2">
      <c r="A1458" s="2">
        <v>283</v>
      </c>
      <c r="B1458" s="2">
        <v>18</v>
      </c>
      <c r="C1458" s="2" t="s">
        <v>459</v>
      </c>
      <c r="D1458" s="2" t="s">
        <v>39</v>
      </c>
      <c r="E1458" s="2">
        <v>20230829</v>
      </c>
      <c r="F1458" s="2">
        <v>20230831</v>
      </c>
      <c r="G1458" s="2">
        <v>3559.7</v>
      </c>
      <c r="H1458" s="2">
        <v>3456</v>
      </c>
      <c r="I1458" s="2">
        <v>5</v>
      </c>
      <c r="J1458" s="2" t="s">
        <v>78</v>
      </c>
      <c r="K1458" s="2" t="s">
        <v>27</v>
      </c>
      <c r="L1458" s="2" t="s">
        <v>4797</v>
      </c>
      <c r="M1458" s="7" t="s">
        <v>4798</v>
      </c>
      <c r="N1458" s="7" t="s">
        <v>4799</v>
      </c>
      <c r="O1458" s="2"/>
      <c r="P1458" s="2"/>
      <c r="Q1458" s="2" t="str">
        <f>IF(SUMPRODUCT(--ISNUMBER(SEARCH('National Domains'!$A$2:$A$48,L1458)))&gt;0,"Yes","No")</f>
        <v>No</v>
      </c>
      <c r="R1458" s="2" t="str">
        <f>IF(COUNTIFS(Calibration!$A:$A,A1458,Calibration!$B:$B,B1458)&gt;0,"Yes","No")</f>
        <v>No</v>
      </c>
      <c r="S1458" s="6"/>
    </row>
    <row r="1459" spans="1:19" ht="23.25" customHeight="1" x14ac:dyDescent="0.2">
      <c r="A1459" s="2">
        <v>283</v>
      </c>
      <c r="B1459" s="2">
        <v>19</v>
      </c>
      <c r="C1459" s="2" t="s">
        <v>459</v>
      </c>
      <c r="D1459" s="2" t="s">
        <v>39</v>
      </c>
      <c r="E1459" s="2">
        <v>20230829</v>
      </c>
      <c r="F1459" s="2">
        <v>20230831</v>
      </c>
      <c r="G1459" s="2">
        <v>3559.7</v>
      </c>
      <c r="H1459" s="2">
        <v>3456</v>
      </c>
      <c r="I1459" s="2">
        <v>5</v>
      </c>
      <c r="J1459" s="2" t="s">
        <v>78</v>
      </c>
      <c r="K1459" s="2" t="s">
        <v>27</v>
      </c>
      <c r="L1459" s="2" t="s">
        <v>4800</v>
      </c>
      <c r="M1459" s="7" t="s">
        <v>4801</v>
      </c>
      <c r="N1459" s="7" t="s">
        <v>4802</v>
      </c>
      <c r="O1459" s="2"/>
      <c r="P1459" s="2"/>
      <c r="Q1459" s="2" t="str">
        <f>IF(SUMPRODUCT(--ISNUMBER(SEARCH('National Domains'!$A$2:$A$48,L1459)))&gt;0,"Yes","No")</f>
        <v>No</v>
      </c>
      <c r="R1459" s="2" t="str">
        <f>IF(COUNTIFS(Calibration!$A:$A,A1459,Calibration!$B:$B,B1459)&gt;0,"Yes","No")</f>
        <v>No</v>
      </c>
      <c r="S1459" s="6"/>
    </row>
    <row r="1460" spans="1:19" ht="34.5" customHeight="1" x14ac:dyDescent="0.2">
      <c r="A1460" s="2">
        <v>283</v>
      </c>
      <c r="B1460" s="2">
        <v>20</v>
      </c>
      <c r="C1460" s="2" t="s">
        <v>459</v>
      </c>
      <c r="D1460" s="2" t="s">
        <v>39</v>
      </c>
      <c r="E1460" s="2">
        <v>20230829</v>
      </c>
      <c r="F1460" s="2">
        <v>20230831</v>
      </c>
      <c r="G1460" s="2">
        <v>3559.7</v>
      </c>
      <c r="H1460" s="2">
        <v>3456</v>
      </c>
      <c r="I1460" s="2">
        <v>5</v>
      </c>
      <c r="J1460" s="2" t="s">
        <v>78</v>
      </c>
      <c r="K1460" s="2" t="s">
        <v>27</v>
      </c>
      <c r="L1460" s="2" t="s">
        <v>4803</v>
      </c>
      <c r="M1460" s="7" t="s">
        <v>4804</v>
      </c>
      <c r="N1460" s="7" t="s">
        <v>4805</v>
      </c>
      <c r="O1460" s="2"/>
      <c r="P1460" s="2"/>
      <c r="Q1460" s="2" t="str">
        <f>IF(SUMPRODUCT(--ISNUMBER(SEARCH('National Domains'!$A$2:$A$48,L1460)))&gt;0,"Yes","No")</f>
        <v>Yes</v>
      </c>
      <c r="R1460" s="2" t="str">
        <f>IF(COUNTIFS(Calibration!$A:$A,A1460,Calibration!$B:$B,B1460)&gt;0,"Yes","No")</f>
        <v>No</v>
      </c>
      <c r="S1460" s="6"/>
    </row>
    <row r="1461" spans="1:19" ht="34.5" customHeight="1" x14ac:dyDescent="0.2">
      <c r="A1461" s="2">
        <v>283</v>
      </c>
      <c r="B1461" s="2">
        <v>21</v>
      </c>
      <c r="C1461" s="2" t="s">
        <v>459</v>
      </c>
      <c r="D1461" s="2" t="s">
        <v>39</v>
      </c>
      <c r="E1461" s="2">
        <v>20230829</v>
      </c>
      <c r="F1461" s="2">
        <v>20230831</v>
      </c>
      <c r="G1461" s="2">
        <v>3559.7</v>
      </c>
      <c r="H1461" s="2">
        <v>3456</v>
      </c>
      <c r="I1461" s="2">
        <v>5</v>
      </c>
      <c r="J1461" s="2" t="s">
        <v>78</v>
      </c>
      <c r="K1461" s="2" t="s">
        <v>27</v>
      </c>
      <c r="L1461" s="2" t="s">
        <v>4806</v>
      </c>
      <c r="M1461" s="7" t="s">
        <v>4807</v>
      </c>
      <c r="N1461" s="7" t="s">
        <v>4808</v>
      </c>
      <c r="O1461" s="2"/>
      <c r="P1461" s="2"/>
      <c r="Q1461" s="2" t="str">
        <f>IF(SUMPRODUCT(--ISNUMBER(SEARCH('National Domains'!$A$2:$A$48,L1461)))&gt;0,"Yes","No")</f>
        <v>Yes</v>
      </c>
      <c r="R1461" s="2" t="str">
        <f>IF(COUNTIFS(Calibration!$A:$A,A1461,Calibration!$B:$B,B1461)&gt;0,"Yes","No")</f>
        <v>No</v>
      </c>
      <c r="S1461" s="6"/>
    </row>
    <row r="1462" spans="1:19" ht="34.5" customHeight="1" x14ac:dyDescent="0.2">
      <c r="A1462" s="2">
        <v>283</v>
      </c>
      <c r="B1462" s="2">
        <v>22</v>
      </c>
      <c r="C1462" s="2" t="s">
        <v>459</v>
      </c>
      <c r="D1462" s="2" t="s">
        <v>39</v>
      </c>
      <c r="E1462" s="2">
        <v>20230829</v>
      </c>
      <c r="F1462" s="2">
        <v>20230831</v>
      </c>
      <c r="G1462" s="2">
        <v>3559.7</v>
      </c>
      <c r="H1462" s="2">
        <v>3456</v>
      </c>
      <c r="I1462" s="2">
        <v>5</v>
      </c>
      <c r="J1462" s="2" t="s">
        <v>78</v>
      </c>
      <c r="K1462" s="2" t="s">
        <v>27</v>
      </c>
      <c r="L1462" s="2" t="s">
        <v>4809</v>
      </c>
      <c r="M1462" s="7" t="s">
        <v>4810</v>
      </c>
      <c r="N1462" s="7" t="s">
        <v>4811</v>
      </c>
      <c r="O1462" s="2"/>
      <c r="P1462" s="2"/>
      <c r="Q1462" s="2" t="str">
        <f>IF(SUMPRODUCT(--ISNUMBER(SEARCH('National Domains'!$A$2:$A$48,L1462)))&gt;0,"Yes","No")</f>
        <v>Yes</v>
      </c>
      <c r="R1462" s="2" t="str">
        <f>IF(COUNTIFS(Calibration!$A:$A,A1462,Calibration!$B:$B,B1462)&gt;0,"Yes","No")</f>
        <v>No</v>
      </c>
      <c r="S1462" s="6"/>
    </row>
    <row r="1463" spans="1:19" ht="34.5" customHeight="1" x14ac:dyDescent="0.2">
      <c r="A1463" s="2">
        <v>283</v>
      </c>
      <c r="B1463" s="2">
        <v>23</v>
      </c>
      <c r="C1463" s="2" t="s">
        <v>459</v>
      </c>
      <c r="D1463" s="2" t="s">
        <v>39</v>
      </c>
      <c r="E1463" s="2">
        <v>20230829</v>
      </c>
      <c r="F1463" s="2">
        <v>20230831</v>
      </c>
      <c r="G1463" s="2">
        <v>3559.7</v>
      </c>
      <c r="H1463" s="2">
        <v>3456</v>
      </c>
      <c r="I1463" s="2">
        <v>5</v>
      </c>
      <c r="J1463" s="2" t="s">
        <v>78</v>
      </c>
      <c r="K1463" s="2" t="s">
        <v>27</v>
      </c>
      <c r="L1463" s="2" t="s">
        <v>4812</v>
      </c>
      <c r="M1463" s="7" t="s">
        <v>4813</v>
      </c>
      <c r="N1463" s="7" t="s">
        <v>4814</v>
      </c>
      <c r="O1463" s="2"/>
      <c r="P1463" s="2"/>
      <c r="Q1463" s="2" t="str">
        <f>IF(SUMPRODUCT(--ISNUMBER(SEARCH('National Domains'!$A$2:$A$48,L1463)))&gt;0,"Yes","No")</f>
        <v>No</v>
      </c>
      <c r="R1463" s="2" t="str">
        <f>IF(COUNTIFS(Calibration!$A:$A,A1463,Calibration!$B:$B,B1463)&gt;0,"Yes","No")</f>
        <v>No</v>
      </c>
      <c r="S1463" s="6"/>
    </row>
    <row r="1464" spans="1:19" ht="34.5" customHeight="1" x14ac:dyDescent="0.2">
      <c r="A1464" s="2">
        <v>283</v>
      </c>
      <c r="B1464" s="2">
        <v>24</v>
      </c>
      <c r="C1464" s="2" t="s">
        <v>459</v>
      </c>
      <c r="D1464" s="2" t="s">
        <v>39</v>
      </c>
      <c r="E1464" s="2">
        <v>20230829</v>
      </c>
      <c r="F1464" s="2">
        <v>20230831</v>
      </c>
      <c r="G1464" s="2">
        <v>3559.7</v>
      </c>
      <c r="H1464" s="2">
        <v>3456</v>
      </c>
      <c r="I1464" s="2">
        <v>5</v>
      </c>
      <c r="J1464" s="2" t="s">
        <v>78</v>
      </c>
      <c r="K1464" s="2" t="s">
        <v>27</v>
      </c>
      <c r="L1464" s="2" t="s">
        <v>4815</v>
      </c>
      <c r="M1464" s="7" t="s">
        <v>4816</v>
      </c>
      <c r="N1464" s="7" t="s">
        <v>4817</v>
      </c>
      <c r="O1464" s="2"/>
      <c r="P1464" s="2"/>
      <c r="Q1464" s="2" t="str">
        <f>IF(SUMPRODUCT(--ISNUMBER(SEARCH('National Domains'!$A$2:$A$48,L1464)))&gt;0,"Yes","No")</f>
        <v>No</v>
      </c>
      <c r="R1464" s="2" t="str">
        <f>IF(COUNTIFS(Calibration!$A:$A,A1464,Calibration!$B:$B,B1464)&gt;0,"Yes","No")</f>
        <v>No</v>
      </c>
      <c r="S1464" s="6"/>
    </row>
    <row r="1465" spans="1:19" ht="34.5" customHeight="1" x14ac:dyDescent="0.2">
      <c r="A1465" s="2">
        <v>283</v>
      </c>
      <c r="B1465" s="2">
        <v>25</v>
      </c>
      <c r="C1465" s="2" t="s">
        <v>459</v>
      </c>
      <c r="D1465" s="2" t="s">
        <v>39</v>
      </c>
      <c r="E1465" s="2">
        <v>20230829</v>
      </c>
      <c r="F1465" s="2">
        <v>20230831</v>
      </c>
      <c r="G1465" s="2">
        <v>3559.7</v>
      </c>
      <c r="H1465" s="2">
        <v>3456</v>
      </c>
      <c r="I1465" s="2">
        <v>5</v>
      </c>
      <c r="J1465" s="2" t="s">
        <v>78</v>
      </c>
      <c r="K1465" s="2" t="s">
        <v>27</v>
      </c>
      <c r="L1465" s="2" t="s">
        <v>4818</v>
      </c>
      <c r="M1465" s="7" t="s">
        <v>4819</v>
      </c>
      <c r="N1465" s="7" t="s">
        <v>4820</v>
      </c>
      <c r="O1465" s="2"/>
      <c r="P1465" s="2"/>
      <c r="Q1465" s="2" t="str">
        <f>IF(SUMPRODUCT(--ISNUMBER(SEARCH('National Domains'!$A$2:$A$48,L1465)))&gt;0,"Yes","No")</f>
        <v>No</v>
      </c>
      <c r="R1465" s="2" t="str">
        <f>IF(COUNTIFS(Calibration!$A:$A,A1465,Calibration!$B:$B,B1465)&gt;0,"Yes","No")</f>
        <v>No</v>
      </c>
      <c r="S1465" s="6"/>
    </row>
    <row r="1466" spans="1:19" ht="34.5" customHeight="1" x14ac:dyDescent="0.2">
      <c r="A1466" s="2">
        <v>283</v>
      </c>
      <c r="B1466" s="2">
        <v>26</v>
      </c>
      <c r="C1466" s="2" t="s">
        <v>459</v>
      </c>
      <c r="D1466" s="2" t="s">
        <v>39</v>
      </c>
      <c r="E1466" s="2">
        <v>20230829</v>
      </c>
      <c r="F1466" s="2">
        <v>20230831</v>
      </c>
      <c r="G1466" s="2">
        <v>3559.7</v>
      </c>
      <c r="H1466" s="2">
        <v>3456</v>
      </c>
      <c r="I1466" s="2">
        <v>5</v>
      </c>
      <c r="J1466" s="2" t="s">
        <v>78</v>
      </c>
      <c r="K1466" s="2" t="s">
        <v>27</v>
      </c>
      <c r="L1466" s="2" t="s">
        <v>4821</v>
      </c>
      <c r="M1466" s="7" t="s">
        <v>4822</v>
      </c>
      <c r="N1466" s="7" t="s">
        <v>4823</v>
      </c>
      <c r="O1466" s="2"/>
      <c r="P1466" s="2"/>
      <c r="Q1466" s="2" t="str">
        <f>IF(SUMPRODUCT(--ISNUMBER(SEARCH('National Domains'!$A$2:$A$48,L1466)))&gt;0,"Yes","No")</f>
        <v>No</v>
      </c>
      <c r="R1466" s="2" t="str">
        <f>IF(COUNTIFS(Calibration!$A:$A,A1466,Calibration!$B:$B,B1466)&gt;0,"Yes","No")</f>
        <v>No</v>
      </c>
      <c r="S1466" s="6"/>
    </row>
    <row r="1467" spans="1:19" ht="34.5" customHeight="1" x14ac:dyDescent="0.2">
      <c r="A1467" s="2">
        <v>283</v>
      </c>
      <c r="B1467" s="2">
        <v>27</v>
      </c>
      <c r="C1467" s="2" t="s">
        <v>459</v>
      </c>
      <c r="D1467" s="2" t="s">
        <v>39</v>
      </c>
      <c r="E1467" s="2">
        <v>20230829</v>
      </c>
      <c r="F1467" s="2">
        <v>20230831</v>
      </c>
      <c r="G1467" s="2">
        <v>3559.7</v>
      </c>
      <c r="H1467" s="2">
        <v>3456</v>
      </c>
      <c r="I1467" s="2">
        <v>5</v>
      </c>
      <c r="J1467" s="2" t="s">
        <v>78</v>
      </c>
      <c r="K1467" s="2" t="s">
        <v>27</v>
      </c>
      <c r="L1467" s="2" t="s">
        <v>4824</v>
      </c>
      <c r="M1467" s="7" t="s">
        <v>4825</v>
      </c>
      <c r="N1467" s="7" t="s">
        <v>4826</v>
      </c>
      <c r="O1467" s="2"/>
      <c r="P1467" s="2"/>
      <c r="Q1467" s="2" t="str">
        <f>IF(SUMPRODUCT(--ISNUMBER(SEARCH('National Domains'!$A$2:$A$48,L1467)))&gt;0,"Yes","No")</f>
        <v>No</v>
      </c>
      <c r="R1467" s="2" t="str">
        <f>IF(COUNTIFS(Calibration!$A:$A,A1467,Calibration!$B:$B,B1467)&gt;0,"Yes","No")</f>
        <v>No</v>
      </c>
      <c r="S1467" s="6"/>
    </row>
    <row r="1468" spans="1:19" ht="34.5" customHeight="1" x14ac:dyDescent="0.2">
      <c r="A1468" s="2">
        <v>283</v>
      </c>
      <c r="B1468" s="2">
        <v>28</v>
      </c>
      <c r="C1468" s="2" t="s">
        <v>459</v>
      </c>
      <c r="D1468" s="2" t="s">
        <v>39</v>
      </c>
      <c r="E1468" s="2">
        <v>20230829</v>
      </c>
      <c r="F1468" s="2">
        <v>20230831</v>
      </c>
      <c r="G1468" s="2">
        <v>3559.7</v>
      </c>
      <c r="H1468" s="2">
        <v>3456</v>
      </c>
      <c r="I1468" s="2">
        <v>5</v>
      </c>
      <c r="J1468" s="2" t="s">
        <v>78</v>
      </c>
      <c r="K1468" s="2" t="s">
        <v>27</v>
      </c>
      <c r="L1468" s="2" t="s">
        <v>4827</v>
      </c>
      <c r="M1468" s="7" t="s">
        <v>4828</v>
      </c>
      <c r="N1468" s="7" t="s">
        <v>4829</v>
      </c>
      <c r="O1468" s="2"/>
      <c r="P1468" s="2"/>
      <c r="Q1468" s="2" t="str">
        <f>IF(SUMPRODUCT(--ISNUMBER(SEARCH('National Domains'!$A$2:$A$48,L1468)))&gt;0,"Yes","No")</f>
        <v>No</v>
      </c>
      <c r="R1468" s="2" t="str">
        <f>IF(COUNTIFS(Calibration!$A:$A,A1468,Calibration!$B:$B,B1468)&gt;0,"Yes","No")</f>
        <v>No</v>
      </c>
      <c r="S1468" s="6"/>
    </row>
    <row r="1469" spans="1:19" ht="34.5" customHeight="1" x14ac:dyDescent="0.2">
      <c r="A1469" s="2">
        <v>283</v>
      </c>
      <c r="B1469" s="2">
        <v>29</v>
      </c>
      <c r="C1469" s="2" t="s">
        <v>459</v>
      </c>
      <c r="D1469" s="2" t="s">
        <v>39</v>
      </c>
      <c r="E1469" s="2">
        <v>20230829</v>
      </c>
      <c r="F1469" s="2">
        <v>20230831</v>
      </c>
      <c r="G1469" s="2">
        <v>3559.7</v>
      </c>
      <c r="H1469" s="2">
        <v>3456</v>
      </c>
      <c r="I1469" s="2">
        <v>5</v>
      </c>
      <c r="J1469" s="2" t="s">
        <v>78</v>
      </c>
      <c r="K1469" s="2" t="s">
        <v>27</v>
      </c>
      <c r="L1469" s="2" t="s">
        <v>4830</v>
      </c>
      <c r="M1469" s="7" t="s">
        <v>4831</v>
      </c>
      <c r="N1469" s="7" t="s">
        <v>4832</v>
      </c>
      <c r="O1469" s="2"/>
      <c r="P1469" s="2"/>
      <c r="Q1469" s="2" t="str">
        <f>IF(SUMPRODUCT(--ISNUMBER(SEARCH('National Domains'!$A$2:$A$48,L1469)))&gt;0,"Yes","No")</f>
        <v>No</v>
      </c>
      <c r="R1469" s="2" t="str">
        <f>IF(COUNTIFS(Calibration!$A:$A,A1469,Calibration!$B:$B,B1469)&gt;0,"Yes","No")</f>
        <v>No</v>
      </c>
      <c r="S1469" s="6"/>
    </row>
    <row r="1470" spans="1:19" ht="34.5" customHeight="1" x14ac:dyDescent="0.2">
      <c r="A1470" s="2">
        <v>283</v>
      </c>
      <c r="B1470" s="2">
        <v>30</v>
      </c>
      <c r="C1470" s="2" t="s">
        <v>459</v>
      </c>
      <c r="D1470" s="2" t="s">
        <v>39</v>
      </c>
      <c r="E1470" s="2">
        <v>20230829</v>
      </c>
      <c r="F1470" s="2">
        <v>20230831</v>
      </c>
      <c r="G1470" s="2">
        <v>3559.7</v>
      </c>
      <c r="H1470" s="2">
        <v>3456</v>
      </c>
      <c r="I1470" s="2">
        <v>5</v>
      </c>
      <c r="J1470" s="2" t="s">
        <v>78</v>
      </c>
      <c r="K1470" s="2" t="s">
        <v>27</v>
      </c>
      <c r="L1470" s="2" t="s">
        <v>4833</v>
      </c>
      <c r="M1470" s="7" t="s">
        <v>4834</v>
      </c>
      <c r="N1470" s="7" t="s">
        <v>4835</v>
      </c>
      <c r="O1470" s="2"/>
      <c r="P1470" s="2"/>
      <c r="Q1470" s="2" t="str">
        <f>IF(SUMPRODUCT(--ISNUMBER(SEARCH('National Domains'!$A$2:$A$48,L1470)))&gt;0,"Yes","No")</f>
        <v>Yes</v>
      </c>
      <c r="R1470" s="2" t="str">
        <f>IF(COUNTIFS(Calibration!$A:$A,A1470,Calibration!$B:$B,B1470)&gt;0,"Yes","No")</f>
        <v>No</v>
      </c>
      <c r="S1470" s="6"/>
    </row>
    <row r="1471" spans="1:19" ht="34.5" customHeight="1" x14ac:dyDescent="0.2">
      <c r="A1471" s="2">
        <v>285</v>
      </c>
      <c r="B1471" s="2">
        <v>1</v>
      </c>
      <c r="C1471" s="2" t="s">
        <v>461</v>
      </c>
      <c r="D1471" s="2" t="s">
        <v>29</v>
      </c>
      <c r="E1471" s="2">
        <v>20230401</v>
      </c>
      <c r="F1471" s="2">
        <v>20230930</v>
      </c>
      <c r="G1471" s="2">
        <v>14786.7</v>
      </c>
      <c r="H1471" s="2">
        <v>14082</v>
      </c>
      <c r="I1471" s="2">
        <v>247</v>
      </c>
      <c r="J1471" s="2" t="s">
        <v>18</v>
      </c>
      <c r="K1471" s="2" t="s">
        <v>19</v>
      </c>
      <c r="L1471" s="2" t="s">
        <v>4836</v>
      </c>
      <c r="M1471" s="7" t="s">
        <v>4837</v>
      </c>
      <c r="N1471" s="7" t="s">
        <v>4838</v>
      </c>
      <c r="O1471" s="2"/>
      <c r="P1471" s="2"/>
      <c r="Q1471" s="2" t="str">
        <f>IF(SUMPRODUCT(--ISNUMBER(SEARCH('National Domains'!$A$2:$A$48,L1471)))&gt;0,"Yes","No")</f>
        <v>Yes</v>
      </c>
      <c r="R1471" s="2" t="str">
        <f>IF(COUNTIFS(Calibration!$A:$A,A1471,Calibration!$B:$B,B1471)&gt;0,"Yes","No")</f>
        <v>No</v>
      </c>
      <c r="S1471" s="6"/>
    </row>
    <row r="1472" spans="1:19" ht="34.5" customHeight="1" x14ac:dyDescent="0.2">
      <c r="A1472" s="2">
        <v>285</v>
      </c>
      <c r="B1472" s="2">
        <v>2</v>
      </c>
      <c r="C1472" s="2" t="s">
        <v>461</v>
      </c>
      <c r="D1472" s="2" t="s">
        <v>29</v>
      </c>
      <c r="E1472" s="2">
        <v>20230401</v>
      </c>
      <c r="F1472" s="2">
        <v>20230930</v>
      </c>
      <c r="G1472" s="2">
        <v>14786.7</v>
      </c>
      <c r="H1472" s="2">
        <v>14082</v>
      </c>
      <c r="I1472" s="2">
        <v>247</v>
      </c>
      <c r="J1472" s="2" t="s">
        <v>18</v>
      </c>
      <c r="K1472" s="2" t="s">
        <v>19</v>
      </c>
      <c r="L1472" s="2" t="s">
        <v>4839</v>
      </c>
      <c r="M1472" s="7" t="s">
        <v>4840</v>
      </c>
      <c r="N1472" s="7" t="s">
        <v>4841</v>
      </c>
      <c r="O1472" s="2"/>
      <c r="P1472" s="2"/>
      <c r="Q1472" s="2" t="str">
        <f>IF(SUMPRODUCT(--ISNUMBER(SEARCH('National Domains'!$A$2:$A$48,L1472)))&gt;0,"Yes","No")</f>
        <v>No</v>
      </c>
      <c r="R1472" s="2" t="str">
        <f>IF(COUNTIFS(Calibration!$A:$A,A1472,Calibration!$B:$B,B1472)&gt;0,"Yes","No")</f>
        <v>No</v>
      </c>
      <c r="S1472" s="6"/>
    </row>
    <row r="1473" spans="1:19" ht="34.5" customHeight="1" x14ac:dyDescent="0.2">
      <c r="A1473" s="2">
        <v>285</v>
      </c>
      <c r="B1473" s="2">
        <v>3</v>
      </c>
      <c r="C1473" s="2" t="s">
        <v>461</v>
      </c>
      <c r="D1473" s="2" t="s">
        <v>29</v>
      </c>
      <c r="E1473" s="2">
        <v>20230401</v>
      </c>
      <c r="F1473" s="2">
        <v>20230930</v>
      </c>
      <c r="G1473" s="2">
        <v>14786.7</v>
      </c>
      <c r="H1473" s="2">
        <v>14082</v>
      </c>
      <c r="I1473" s="2">
        <v>247</v>
      </c>
      <c r="J1473" s="2" t="s">
        <v>18</v>
      </c>
      <c r="K1473" s="2" t="s">
        <v>19</v>
      </c>
      <c r="L1473" s="2" t="s">
        <v>4842</v>
      </c>
      <c r="M1473" s="7" t="s">
        <v>4843</v>
      </c>
      <c r="N1473" s="7" t="s">
        <v>4844</v>
      </c>
      <c r="O1473" s="2"/>
      <c r="P1473" s="2"/>
      <c r="Q1473" s="2" t="str">
        <f>IF(SUMPRODUCT(--ISNUMBER(SEARCH('National Domains'!$A$2:$A$48,L1473)))&gt;0,"Yes","No")</f>
        <v>Yes</v>
      </c>
      <c r="R1473" s="2" t="str">
        <f>IF(COUNTIFS(Calibration!$A:$A,A1473,Calibration!$B:$B,B1473)&gt;0,"Yes","No")</f>
        <v>No</v>
      </c>
      <c r="S1473" s="6"/>
    </row>
    <row r="1474" spans="1:19" ht="34.5" customHeight="1" x14ac:dyDescent="0.2">
      <c r="A1474" s="2">
        <v>285</v>
      </c>
      <c r="B1474" s="2">
        <v>4</v>
      </c>
      <c r="C1474" s="2" t="s">
        <v>461</v>
      </c>
      <c r="D1474" s="2" t="s">
        <v>29</v>
      </c>
      <c r="E1474" s="2">
        <v>20230401</v>
      </c>
      <c r="F1474" s="2">
        <v>20230930</v>
      </c>
      <c r="G1474" s="2">
        <v>14786.7</v>
      </c>
      <c r="H1474" s="2">
        <v>14082</v>
      </c>
      <c r="I1474" s="2">
        <v>247</v>
      </c>
      <c r="J1474" s="2" t="s">
        <v>18</v>
      </c>
      <c r="K1474" s="2" t="s">
        <v>19</v>
      </c>
      <c r="L1474" s="2" t="s">
        <v>4845</v>
      </c>
      <c r="M1474" s="7" t="s">
        <v>4846</v>
      </c>
      <c r="N1474" s="7" t="s">
        <v>4847</v>
      </c>
      <c r="O1474" s="2"/>
      <c r="P1474" s="2"/>
      <c r="Q1474" s="2" t="str">
        <f>IF(SUMPRODUCT(--ISNUMBER(SEARCH('National Domains'!$A$2:$A$48,L1474)))&gt;0,"Yes","No")</f>
        <v>Yes</v>
      </c>
      <c r="R1474" s="2" t="str">
        <f>IF(COUNTIFS(Calibration!$A:$A,A1474,Calibration!$B:$B,B1474)&gt;0,"Yes","No")</f>
        <v>No</v>
      </c>
      <c r="S1474" s="6"/>
    </row>
    <row r="1475" spans="1:19" ht="34.5" customHeight="1" x14ac:dyDescent="0.2">
      <c r="A1475" s="2">
        <v>285</v>
      </c>
      <c r="B1475" s="2">
        <v>5</v>
      </c>
      <c r="C1475" s="2" t="s">
        <v>461</v>
      </c>
      <c r="D1475" s="2" t="s">
        <v>29</v>
      </c>
      <c r="E1475" s="2">
        <v>20230401</v>
      </c>
      <c r="F1475" s="2">
        <v>20230930</v>
      </c>
      <c r="G1475" s="2">
        <v>14786.7</v>
      </c>
      <c r="H1475" s="2">
        <v>14082</v>
      </c>
      <c r="I1475" s="2">
        <v>247</v>
      </c>
      <c r="J1475" s="2" t="s">
        <v>18</v>
      </c>
      <c r="K1475" s="2" t="s">
        <v>19</v>
      </c>
      <c r="L1475" s="2" t="s">
        <v>4848</v>
      </c>
      <c r="M1475" s="7" t="s">
        <v>4849</v>
      </c>
      <c r="N1475" s="7" t="s">
        <v>4850</v>
      </c>
      <c r="O1475" s="2"/>
      <c r="P1475" s="2"/>
      <c r="Q1475" s="2" t="str">
        <f>IF(SUMPRODUCT(--ISNUMBER(SEARCH('National Domains'!$A$2:$A$48,L1475)))&gt;0,"Yes","No")</f>
        <v>Yes</v>
      </c>
      <c r="R1475" s="2" t="str">
        <f>IF(COUNTIFS(Calibration!$A:$A,A1475,Calibration!$B:$B,B1475)&gt;0,"Yes","No")</f>
        <v>No</v>
      </c>
      <c r="S1475" s="6"/>
    </row>
    <row r="1476" spans="1:19" ht="34.5" customHeight="1" x14ac:dyDescent="0.2">
      <c r="A1476" s="2">
        <v>285</v>
      </c>
      <c r="B1476" s="2">
        <v>6</v>
      </c>
      <c r="C1476" s="2" t="s">
        <v>461</v>
      </c>
      <c r="D1476" s="2" t="s">
        <v>29</v>
      </c>
      <c r="E1476" s="2">
        <v>20230401</v>
      </c>
      <c r="F1476" s="2">
        <v>20230930</v>
      </c>
      <c r="G1476" s="2">
        <v>14786.7</v>
      </c>
      <c r="H1476" s="2">
        <v>14082</v>
      </c>
      <c r="I1476" s="2">
        <v>247</v>
      </c>
      <c r="J1476" s="2" t="s">
        <v>18</v>
      </c>
      <c r="K1476" s="2" t="s">
        <v>19</v>
      </c>
      <c r="L1476" s="2" t="s">
        <v>4851</v>
      </c>
      <c r="M1476" s="7" t="s">
        <v>4852</v>
      </c>
      <c r="N1476" s="7" t="s">
        <v>4853</v>
      </c>
      <c r="O1476" s="2"/>
      <c r="P1476" s="2"/>
      <c r="Q1476" s="2" t="str">
        <f>IF(SUMPRODUCT(--ISNUMBER(SEARCH('National Domains'!$A$2:$A$48,L1476)))&gt;0,"Yes","No")</f>
        <v>Yes</v>
      </c>
      <c r="R1476" s="2" t="str">
        <f>IF(COUNTIFS(Calibration!$A:$A,A1476,Calibration!$B:$B,B1476)&gt;0,"Yes","No")</f>
        <v>No</v>
      </c>
      <c r="S1476" s="6"/>
    </row>
    <row r="1477" spans="1:19" ht="34.5" customHeight="1" x14ac:dyDescent="0.2">
      <c r="A1477" s="2">
        <v>285</v>
      </c>
      <c r="B1477" s="2">
        <v>7</v>
      </c>
      <c r="C1477" s="2" t="s">
        <v>461</v>
      </c>
      <c r="D1477" s="2" t="s">
        <v>29</v>
      </c>
      <c r="E1477" s="2">
        <v>20230401</v>
      </c>
      <c r="F1477" s="2">
        <v>20230930</v>
      </c>
      <c r="G1477" s="2">
        <v>14786.7</v>
      </c>
      <c r="H1477" s="2">
        <v>14082</v>
      </c>
      <c r="I1477" s="2">
        <v>247</v>
      </c>
      <c r="J1477" s="2" t="s">
        <v>18</v>
      </c>
      <c r="K1477" s="2" t="s">
        <v>19</v>
      </c>
      <c r="L1477" s="2" t="s">
        <v>4854</v>
      </c>
      <c r="M1477" s="7" t="s">
        <v>4855</v>
      </c>
      <c r="N1477" s="7" t="s">
        <v>4856</v>
      </c>
      <c r="O1477" s="2"/>
      <c r="P1477" s="2"/>
      <c r="Q1477" s="2" t="str">
        <f>IF(SUMPRODUCT(--ISNUMBER(SEARCH('National Domains'!$A$2:$A$48,L1477)))&gt;0,"Yes","No")</f>
        <v>Yes</v>
      </c>
      <c r="R1477" s="2" t="str">
        <f>IF(COUNTIFS(Calibration!$A:$A,A1477,Calibration!$B:$B,B1477)&gt;0,"Yes","No")</f>
        <v>No</v>
      </c>
      <c r="S1477" s="6"/>
    </row>
    <row r="1478" spans="1:19" ht="34.5" customHeight="1" x14ac:dyDescent="0.2">
      <c r="A1478" s="2">
        <v>285</v>
      </c>
      <c r="B1478" s="2">
        <v>8</v>
      </c>
      <c r="C1478" s="2" t="s">
        <v>461</v>
      </c>
      <c r="D1478" s="2" t="s">
        <v>29</v>
      </c>
      <c r="E1478" s="2">
        <v>20230401</v>
      </c>
      <c r="F1478" s="2">
        <v>20230930</v>
      </c>
      <c r="G1478" s="2">
        <v>14786.7</v>
      </c>
      <c r="H1478" s="2">
        <v>14082</v>
      </c>
      <c r="I1478" s="2">
        <v>247</v>
      </c>
      <c r="J1478" s="2" t="s">
        <v>18</v>
      </c>
      <c r="K1478" s="2" t="s">
        <v>19</v>
      </c>
      <c r="L1478" s="2" t="s">
        <v>4857</v>
      </c>
      <c r="M1478" s="7" t="s">
        <v>4858</v>
      </c>
      <c r="N1478" s="7" t="s">
        <v>4859</v>
      </c>
      <c r="O1478" s="2"/>
      <c r="P1478" s="2"/>
      <c r="Q1478" s="2" t="str">
        <f>IF(SUMPRODUCT(--ISNUMBER(SEARCH('National Domains'!$A$2:$A$48,L1478)))&gt;0,"Yes","No")</f>
        <v>No</v>
      </c>
      <c r="R1478" s="2" t="str">
        <f>IF(COUNTIFS(Calibration!$A:$A,A1478,Calibration!$B:$B,B1478)&gt;0,"Yes","No")</f>
        <v>No</v>
      </c>
      <c r="S1478" s="6"/>
    </row>
    <row r="1479" spans="1:19" ht="34.5" customHeight="1" x14ac:dyDescent="0.2">
      <c r="A1479" s="2">
        <v>285</v>
      </c>
      <c r="B1479" s="2">
        <v>9</v>
      </c>
      <c r="C1479" s="2" t="s">
        <v>461</v>
      </c>
      <c r="D1479" s="2" t="s">
        <v>29</v>
      </c>
      <c r="E1479" s="2">
        <v>20230401</v>
      </c>
      <c r="F1479" s="2">
        <v>20230930</v>
      </c>
      <c r="G1479" s="2">
        <v>14786.7</v>
      </c>
      <c r="H1479" s="2">
        <v>14082</v>
      </c>
      <c r="I1479" s="2">
        <v>247</v>
      </c>
      <c r="J1479" s="2" t="s">
        <v>18</v>
      </c>
      <c r="K1479" s="2" t="s">
        <v>19</v>
      </c>
      <c r="L1479" s="2" t="s">
        <v>4860</v>
      </c>
      <c r="M1479" s="7" t="s">
        <v>4861</v>
      </c>
      <c r="N1479" s="7" t="s">
        <v>4862</v>
      </c>
      <c r="O1479" s="2"/>
      <c r="P1479" s="2"/>
      <c r="Q1479" s="2" t="str">
        <f>IF(SUMPRODUCT(--ISNUMBER(SEARCH('National Domains'!$A$2:$A$48,L1479)))&gt;0,"Yes","No")</f>
        <v>No</v>
      </c>
      <c r="R1479" s="2" t="str">
        <f>IF(COUNTIFS(Calibration!$A:$A,A1479,Calibration!$B:$B,B1479)&gt;0,"Yes","No")</f>
        <v>No</v>
      </c>
      <c r="S1479" s="6"/>
    </row>
    <row r="1480" spans="1:19" ht="34.5" customHeight="1" x14ac:dyDescent="0.2">
      <c r="A1480" s="2">
        <v>285</v>
      </c>
      <c r="B1480" s="2">
        <v>10</v>
      </c>
      <c r="C1480" s="2" t="s">
        <v>461</v>
      </c>
      <c r="D1480" s="2" t="s">
        <v>29</v>
      </c>
      <c r="E1480" s="2">
        <v>20230401</v>
      </c>
      <c r="F1480" s="2">
        <v>20230930</v>
      </c>
      <c r="G1480" s="2">
        <v>14786.7</v>
      </c>
      <c r="H1480" s="2">
        <v>14082</v>
      </c>
      <c r="I1480" s="2">
        <v>247</v>
      </c>
      <c r="J1480" s="2" t="s">
        <v>18</v>
      </c>
      <c r="K1480" s="2" t="s">
        <v>19</v>
      </c>
      <c r="L1480" s="2" t="s">
        <v>4863</v>
      </c>
      <c r="M1480" s="7" t="s">
        <v>4864</v>
      </c>
      <c r="N1480" s="7" t="s">
        <v>4865</v>
      </c>
      <c r="O1480" s="2"/>
      <c r="P1480" s="2"/>
      <c r="Q1480" s="2" t="str">
        <f>IF(SUMPRODUCT(--ISNUMBER(SEARCH('National Domains'!$A$2:$A$48,L1480)))&gt;0,"Yes","No")</f>
        <v>No</v>
      </c>
      <c r="R1480" s="2" t="str">
        <f>IF(COUNTIFS(Calibration!$A:$A,A1480,Calibration!$B:$B,B1480)&gt;0,"Yes","No")</f>
        <v>No</v>
      </c>
      <c r="S1480" s="6"/>
    </row>
    <row r="1481" spans="1:19" ht="34.5" customHeight="1" x14ac:dyDescent="0.2">
      <c r="A1481" s="2">
        <v>285</v>
      </c>
      <c r="B1481" s="2">
        <v>11</v>
      </c>
      <c r="C1481" s="2" t="s">
        <v>461</v>
      </c>
      <c r="D1481" s="2" t="s">
        <v>29</v>
      </c>
      <c r="E1481" s="2">
        <v>20230401</v>
      </c>
      <c r="F1481" s="2">
        <v>20230930</v>
      </c>
      <c r="G1481" s="2">
        <v>14786.7</v>
      </c>
      <c r="H1481" s="2">
        <v>14082</v>
      </c>
      <c r="I1481" s="2">
        <v>247</v>
      </c>
      <c r="J1481" s="2" t="s">
        <v>18</v>
      </c>
      <c r="K1481" s="2" t="s">
        <v>19</v>
      </c>
      <c r="L1481" s="2" t="s">
        <v>4866</v>
      </c>
      <c r="M1481" s="7" t="s">
        <v>4867</v>
      </c>
      <c r="N1481" s="7" t="s">
        <v>4868</v>
      </c>
      <c r="O1481" s="2"/>
      <c r="P1481" s="2"/>
      <c r="Q1481" s="2" t="str">
        <f>IF(SUMPRODUCT(--ISNUMBER(SEARCH('National Domains'!$A$2:$A$48,L1481)))&gt;0,"Yes","No")</f>
        <v>No</v>
      </c>
      <c r="R1481" s="2" t="str">
        <f>IF(COUNTIFS(Calibration!$A:$A,A1481,Calibration!$B:$B,B1481)&gt;0,"Yes","No")</f>
        <v>No</v>
      </c>
      <c r="S1481" s="6"/>
    </row>
    <row r="1482" spans="1:19" ht="34.5" customHeight="1" x14ac:dyDescent="0.2">
      <c r="A1482" s="2">
        <v>285</v>
      </c>
      <c r="B1482" s="2">
        <v>12</v>
      </c>
      <c r="C1482" s="2" t="s">
        <v>461</v>
      </c>
      <c r="D1482" s="2" t="s">
        <v>29</v>
      </c>
      <c r="E1482" s="2">
        <v>20230401</v>
      </c>
      <c r="F1482" s="2">
        <v>20230930</v>
      </c>
      <c r="G1482" s="2">
        <v>14786.7</v>
      </c>
      <c r="H1482" s="2">
        <v>14082</v>
      </c>
      <c r="I1482" s="2">
        <v>247</v>
      </c>
      <c r="J1482" s="2" t="s">
        <v>18</v>
      </c>
      <c r="K1482" s="2" t="s">
        <v>19</v>
      </c>
      <c r="L1482" s="2" t="s">
        <v>4869</v>
      </c>
      <c r="M1482" s="7" t="s">
        <v>4870</v>
      </c>
      <c r="N1482" s="7" t="s">
        <v>4871</v>
      </c>
      <c r="O1482" s="2"/>
      <c r="P1482" s="2"/>
      <c r="Q1482" s="2" t="str">
        <f>IF(SUMPRODUCT(--ISNUMBER(SEARCH('National Domains'!$A$2:$A$48,L1482)))&gt;0,"Yes","No")</f>
        <v>Yes</v>
      </c>
      <c r="R1482" s="2" t="str">
        <f>IF(COUNTIFS(Calibration!$A:$A,A1482,Calibration!$B:$B,B1482)&gt;0,"Yes","No")</f>
        <v>No</v>
      </c>
      <c r="S1482" s="6"/>
    </row>
    <row r="1483" spans="1:19" ht="34.5" customHeight="1" x14ac:dyDescent="0.2">
      <c r="A1483" s="2">
        <v>285</v>
      </c>
      <c r="B1483" s="2">
        <v>13</v>
      </c>
      <c r="C1483" s="2" t="s">
        <v>461</v>
      </c>
      <c r="D1483" s="2" t="s">
        <v>29</v>
      </c>
      <c r="E1483" s="2">
        <v>20230401</v>
      </c>
      <c r="F1483" s="2">
        <v>20230930</v>
      </c>
      <c r="G1483" s="2">
        <v>14786.7</v>
      </c>
      <c r="H1483" s="2">
        <v>14082</v>
      </c>
      <c r="I1483" s="2">
        <v>247</v>
      </c>
      <c r="J1483" s="2" t="s">
        <v>18</v>
      </c>
      <c r="K1483" s="2" t="s">
        <v>19</v>
      </c>
      <c r="L1483" s="2" t="s">
        <v>4872</v>
      </c>
      <c r="M1483" s="7" t="s">
        <v>4873</v>
      </c>
      <c r="N1483" s="7" t="s">
        <v>4874</v>
      </c>
      <c r="O1483" s="2"/>
      <c r="P1483" s="2"/>
      <c r="Q1483" s="2" t="str">
        <f>IF(SUMPRODUCT(--ISNUMBER(SEARCH('National Domains'!$A$2:$A$48,L1483)))&gt;0,"Yes","No")</f>
        <v>Yes</v>
      </c>
      <c r="R1483" s="2" t="str">
        <f>IF(COUNTIFS(Calibration!$A:$A,A1483,Calibration!$B:$B,B1483)&gt;0,"Yes","No")</f>
        <v>No</v>
      </c>
      <c r="S1483" s="6"/>
    </row>
    <row r="1484" spans="1:19" ht="34.5" customHeight="1" x14ac:dyDescent="0.2">
      <c r="A1484" s="2">
        <v>285</v>
      </c>
      <c r="B1484" s="2">
        <v>14</v>
      </c>
      <c r="C1484" s="2" t="s">
        <v>461</v>
      </c>
      <c r="D1484" s="2" t="s">
        <v>29</v>
      </c>
      <c r="E1484" s="2">
        <v>20230401</v>
      </c>
      <c r="F1484" s="2">
        <v>20230930</v>
      </c>
      <c r="G1484" s="2">
        <v>14786.7</v>
      </c>
      <c r="H1484" s="2">
        <v>14082</v>
      </c>
      <c r="I1484" s="2">
        <v>247</v>
      </c>
      <c r="J1484" s="2" t="s">
        <v>18</v>
      </c>
      <c r="K1484" s="2" t="s">
        <v>19</v>
      </c>
      <c r="L1484" s="2" t="s">
        <v>4875</v>
      </c>
      <c r="M1484" s="7" t="s">
        <v>4876</v>
      </c>
      <c r="N1484" s="7" t="s">
        <v>4877</v>
      </c>
      <c r="O1484" s="2"/>
      <c r="P1484" s="2"/>
      <c r="Q1484" s="2" t="str">
        <f>IF(SUMPRODUCT(--ISNUMBER(SEARCH('National Domains'!$A$2:$A$48,L1484)))&gt;0,"Yes","No")</f>
        <v>Yes</v>
      </c>
      <c r="R1484" s="2" t="str">
        <f>IF(COUNTIFS(Calibration!$A:$A,A1484,Calibration!$B:$B,B1484)&gt;0,"Yes","No")</f>
        <v>No</v>
      </c>
      <c r="S1484" s="6"/>
    </row>
    <row r="1485" spans="1:19" ht="34.5" customHeight="1" x14ac:dyDescent="0.2">
      <c r="A1485" s="2">
        <v>285</v>
      </c>
      <c r="B1485" s="2">
        <v>15</v>
      </c>
      <c r="C1485" s="2" t="s">
        <v>461</v>
      </c>
      <c r="D1485" s="2" t="s">
        <v>29</v>
      </c>
      <c r="E1485" s="2">
        <v>20230401</v>
      </c>
      <c r="F1485" s="2">
        <v>20230930</v>
      </c>
      <c r="G1485" s="2">
        <v>14786.7</v>
      </c>
      <c r="H1485" s="2">
        <v>14082</v>
      </c>
      <c r="I1485" s="2">
        <v>247</v>
      </c>
      <c r="J1485" s="2" t="s">
        <v>18</v>
      </c>
      <c r="K1485" s="2" t="s">
        <v>19</v>
      </c>
      <c r="L1485" s="2" t="s">
        <v>4878</v>
      </c>
      <c r="M1485" s="7" t="s">
        <v>4879</v>
      </c>
      <c r="N1485" s="7" t="s">
        <v>4880</v>
      </c>
      <c r="O1485" s="2"/>
      <c r="P1485" s="2"/>
      <c r="Q1485" s="2" t="str">
        <f>IF(SUMPRODUCT(--ISNUMBER(SEARCH('National Domains'!$A$2:$A$48,L1485)))&gt;0,"Yes","No")</f>
        <v>Yes</v>
      </c>
      <c r="R1485" s="2" t="str">
        <f>IF(COUNTIFS(Calibration!$A:$A,A1485,Calibration!$B:$B,B1485)&gt;0,"Yes","No")</f>
        <v>No</v>
      </c>
      <c r="S1485" s="6"/>
    </row>
    <row r="1486" spans="1:19" ht="34.5" customHeight="1" x14ac:dyDescent="0.2">
      <c r="A1486" s="2">
        <v>285</v>
      </c>
      <c r="B1486" s="2">
        <v>16</v>
      </c>
      <c r="C1486" s="2" t="s">
        <v>461</v>
      </c>
      <c r="D1486" s="2" t="s">
        <v>29</v>
      </c>
      <c r="E1486" s="2">
        <v>20230401</v>
      </c>
      <c r="F1486" s="2">
        <v>20230930</v>
      </c>
      <c r="G1486" s="2">
        <v>14786.7</v>
      </c>
      <c r="H1486" s="2">
        <v>14082</v>
      </c>
      <c r="I1486" s="2">
        <v>247</v>
      </c>
      <c r="J1486" s="2" t="s">
        <v>18</v>
      </c>
      <c r="K1486" s="2" t="s">
        <v>19</v>
      </c>
      <c r="L1486" s="2" t="s">
        <v>4881</v>
      </c>
      <c r="M1486" s="7" t="s">
        <v>4882</v>
      </c>
      <c r="N1486" s="7" t="s">
        <v>4883</v>
      </c>
      <c r="O1486" s="2"/>
      <c r="P1486" s="2"/>
      <c r="Q1486" s="2" t="str">
        <f>IF(SUMPRODUCT(--ISNUMBER(SEARCH('National Domains'!$A$2:$A$48,L1486)))&gt;0,"Yes","No")</f>
        <v>Yes</v>
      </c>
      <c r="R1486" s="2" t="str">
        <f>IF(COUNTIFS(Calibration!$A:$A,A1486,Calibration!$B:$B,B1486)&gt;0,"Yes","No")</f>
        <v>No</v>
      </c>
      <c r="S1486" s="6"/>
    </row>
    <row r="1487" spans="1:19" ht="34.5" customHeight="1" x14ac:dyDescent="0.2">
      <c r="A1487" s="2">
        <v>286</v>
      </c>
      <c r="B1487" s="2">
        <v>1</v>
      </c>
      <c r="C1487" s="2" t="s">
        <v>462</v>
      </c>
      <c r="D1487" s="2" t="s">
        <v>25</v>
      </c>
      <c r="E1487" s="2">
        <v>20231216</v>
      </c>
      <c r="F1487" s="2">
        <v>20231218</v>
      </c>
      <c r="G1487" s="2">
        <v>1314.4</v>
      </c>
      <c r="H1487" s="2">
        <v>1276</v>
      </c>
      <c r="I1487" s="2">
        <v>5</v>
      </c>
      <c r="J1487" s="2" t="s">
        <v>51</v>
      </c>
      <c r="K1487" s="2" t="s">
        <v>52</v>
      </c>
      <c r="L1487" s="2" t="s">
        <v>4884</v>
      </c>
      <c r="M1487" s="7" t="s">
        <v>4885</v>
      </c>
      <c r="N1487" s="7" t="s">
        <v>4886</v>
      </c>
      <c r="O1487" s="2"/>
      <c r="P1487" s="2"/>
      <c r="Q1487" s="2" t="str">
        <f>IF(SUMPRODUCT(--ISNUMBER(SEARCH('National Domains'!$A$2:$A$48,L1487)))&gt;0,"Yes","No")</f>
        <v>Yes</v>
      </c>
      <c r="R1487" s="2" t="str">
        <f>IF(COUNTIFS(Calibration!$A:$A,A1487,Calibration!$B:$B,B1487)&gt;0,"Yes","No")</f>
        <v>No</v>
      </c>
      <c r="S1487" s="6"/>
    </row>
    <row r="1488" spans="1:19" ht="34.5" customHeight="1" x14ac:dyDescent="0.2">
      <c r="A1488" s="2">
        <v>286</v>
      </c>
      <c r="B1488" s="2">
        <v>2</v>
      </c>
      <c r="C1488" s="2" t="s">
        <v>462</v>
      </c>
      <c r="D1488" s="2" t="s">
        <v>25</v>
      </c>
      <c r="E1488" s="2">
        <v>20231216</v>
      </c>
      <c r="F1488" s="2">
        <v>20231218</v>
      </c>
      <c r="G1488" s="2">
        <v>1314.4</v>
      </c>
      <c r="H1488" s="2">
        <v>1276</v>
      </c>
      <c r="I1488" s="2">
        <v>5</v>
      </c>
      <c r="J1488" s="2" t="s">
        <v>51</v>
      </c>
      <c r="K1488" s="2" t="s">
        <v>52</v>
      </c>
      <c r="L1488" s="2" t="s">
        <v>4887</v>
      </c>
      <c r="M1488" s="7" t="s">
        <v>4888</v>
      </c>
      <c r="N1488" s="7" t="s">
        <v>4889</v>
      </c>
      <c r="O1488" s="2"/>
      <c r="P1488" s="2"/>
      <c r="Q1488" s="2" t="str">
        <f>IF(SUMPRODUCT(--ISNUMBER(SEARCH('National Domains'!$A$2:$A$48,L1488)))&gt;0,"Yes","No")</f>
        <v>Yes</v>
      </c>
      <c r="R1488" s="2" t="str">
        <f>IF(COUNTIFS(Calibration!$A:$A,A1488,Calibration!$B:$B,B1488)&gt;0,"Yes","No")</f>
        <v>No</v>
      </c>
      <c r="S1488" s="6"/>
    </row>
    <row r="1489" spans="1:19" ht="34.5" customHeight="1" x14ac:dyDescent="0.2">
      <c r="A1489" s="2">
        <v>286</v>
      </c>
      <c r="B1489" s="2">
        <v>3</v>
      </c>
      <c r="C1489" s="2" t="s">
        <v>462</v>
      </c>
      <c r="D1489" s="2" t="s">
        <v>25</v>
      </c>
      <c r="E1489" s="2">
        <v>20231216</v>
      </c>
      <c r="F1489" s="2">
        <v>20231218</v>
      </c>
      <c r="G1489" s="2">
        <v>1314.4</v>
      </c>
      <c r="H1489" s="2">
        <v>1276</v>
      </c>
      <c r="I1489" s="2">
        <v>5</v>
      </c>
      <c r="J1489" s="2" t="s">
        <v>51</v>
      </c>
      <c r="K1489" s="2" t="s">
        <v>52</v>
      </c>
      <c r="L1489" s="2" t="s">
        <v>4890</v>
      </c>
      <c r="M1489" s="7" t="s">
        <v>4891</v>
      </c>
      <c r="N1489" s="7" t="s">
        <v>4892</v>
      </c>
      <c r="O1489" s="2"/>
      <c r="P1489" s="2"/>
      <c r="Q1489" s="2" t="str">
        <f>IF(SUMPRODUCT(--ISNUMBER(SEARCH('National Domains'!$A$2:$A$48,L1489)))&gt;0,"Yes","No")</f>
        <v>Yes</v>
      </c>
      <c r="R1489" s="2" t="str">
        <f>IF(COUNTIFS(Calibration!$A:$A,A1489,Calibration!$B:$B,B1489)&gt;0,"Yes","No")</f>
        <v>No</v>
      </c>
      <c r="S1489" s="6"/>
    </row>
    <row r="1490" spans="1:19" ht="34.5" customHeight="1" x14ac:dyDescent="0.2">
      <c r="A1490" s="2">
        <v>286</v>
      </c>
      <c r="B1490" s="2">
        <v>4</v>
      </c>
      <c r="C1490" s="2" t="s">
        <v>462</v>
      </c>
      <c r="D1490" s="2" t="s">
        <v>25</v>
      </c>
      <c r="E1490" s="2">
        <v>20231216</v>
      </c>
      <c r="F1490" s="2">
        <v>20231218</v>
      </c>
      <c r="G1490" s="2">
        <v>1314.4</v>
      </c>
      <c r="H1490" s="2">
        <v>1276</v>
      </c>
      <c r="I1490" s="2">
        <v>5</v>
      </c>
      <c r="J1490" s="2" t="s">
        <v>51</v>
      </c>
      <c r="K1490" s="2" t="s">
        <v>52</v>
      </c>
      <c r="L1490" s="2" t="s">
        <v>4893</v>
      </c>
      <c r="M1490" s="7" t="s">
        <v>4894</v>
      </c>
      <c r="N1490" s="7" t="s">
        <v>4895</v>
      </c>
      <c r="O1490" s="2"/>
      <c r="P1490" s="2"/>
      <c r="Q1490" s="2" t="str">
        <f>IF(SUMPRODUCT(--ISNUMBER(SEARCH('National Domains'!$A$2:$A$48,L1490)))&gt;0,"Yes","No")</f>
        <v>Yes</v>
      </c>
      <c r="R1490" s="2" t="str">
        <f>IF(COUNTIFS(Calibration!$A:$A,A1490,Calibration!$B:$B,B1490)&gt;0,"Yes","No")</f>
        <v>No</v>
      </c>
      <c r="S1490" s="6"/>
    </row>
    <row r="1491" spans="1:19" ht="34.5" customHeight="1" x14ac:dyDescent="0.2">
      <c r="A1491" s="2">
        <v>286</v>
      </c>
      <c r="B1491" s="2">
        <v>5</v>
      </c>
      <c r="C1491" s="2" t="s">
        <v>462</v>
      </c>
      <c r="D1491" s="2" t="s">
        <v>25</v>
      </c>
      <c r="E1491" s="2">
        <v>20231216</v>
      </c>
      <c r="F1491" s="2">
        <v>20231218</v>
      </c>
      <c r="G1491" s="2">
        <v>1314.4</v>
      </c>
      <c r="H1491" s="2">
        <v>1276</v>
      </c>
      <c r="I1491" s="2">
        <v>5</v>
      </c>
      <c r="J1491" s="2" t="s">
        <v>51</v>
      </c>
      <c r="K1491" s="2" t="s">
        <v>52</v>
      </c>
      <c r="L1491" s="2" t="s">
        <v>4896</v>
      </c>
      <c r="M1491" s="7" t="s">
        <v>4897</v>
      </c>
      <c r="N1491" s="7" t="s">
        <v>4898</v>
      </c>
      <c r="O1491" s="2"/>
      <c r="P1491" s="2"/>
      <c r="Q1491" s="2" t="str">
        <f>IF(SUMPRODUCT(--ISNUMBER(SEARCH('National Domains'!$A$2:$A$48,L1491)))&gt;0,"Yes","No")</f>
        <v>Yes</v>
      </c>
      <c r="R1491" s="2" t="str">
        <f>IF(COUNTIFS(Calibration!$A:$A,A1491,Calibration!$B:$B,B1491)&gt;0,"Yes","No")</f>
        <v>No</v>
      </c>
      <c r="S1491" s="6"/>
    </row>
    <row r="1492" spans="1:19" ht="34.5" customHeight="1" x14ac:dyDescent="0.2">
      <c r="A1492" s="4">
        <v>286</v>
      </c>
      <c r="B1492" s="4">
        <v>6</v>
      </c>
      <c r="C1492" s="4" t="s">
        <v>462</v>
      </c>
      <c r="D1492" s="4" t="s">
        <v>25</v>
      </c>
      <c r="E1492" s="4">
        <v>20231216</v>
      </c>
      <c r="F1492" s="4">
        <v>20231218</v>
      </c>
      <c r="G1492" s="4">
        <v>1314.4</v>
      </c>
      <c r="H1492" s="4">
        <v>1276</v>
      </c>
      <c r="I1492" s="4">
        <v>5</v>
      </c>
      <c r="J1492" s="4" t="s">
        <v>51</v>
      </c>
      <c r="K1492" s="4" t="s">
        <v>52</v>
      </c>
      <c r="L1492" s="4" t="s">
        <v>4899</v>
      </c>
      <c r="M1492" s="5" t="s">
        <v>4900</v>
      </c>
      <c r="N1492" s="5" t="s">
        <v>4901</v>
      </c>
      <c r="O1492" s="4"/>
      <c r="P1492" s="4"/>
      <c r="Q1492" s="4" t="str">
        <f>IF(SUMPRODUCT(--ISNUMBER(SEARCH('National Domains'!$A$2:$A$48,L1492)))&gt;0,"Yes","No")</f>
        <v>Yes</v>
      </c>
      <c r="R1492" s="4" t="str">
        <f>IF(COUNTIFS(Calibration!$A:$A,A1492,Calibration!$B:$B,B1492)&gt;0,"Yes","No")</f>
        <v>Yes</v>
      </c>
      <c r="S1492" s="6"/>
    </row>
    <row r="1493" spans="1:19" ht="34.5" customHeight="1" x14ac:dyDescent="0.2">
      <c r="A1493" s="2">
        <v>286</v>
      </c>
      <c r="B1493" s="2">
        <v>7</v>
      </c>
      <c r="C1493" s="2" t="s">
        <v>462</v>
      </c>
      <c r="D1493" s="2" t="s">
        <v>25</v>
      </c>
      <c r="E1493" s="2">
        <v>20231216</v>
      </c>
      <c r="F1493" s="2">
        <v>20231218</v>
      </c>
      <c r="G1493" s="2">
        <v>1314.4</v>
      </c>
      <c r="H1493" s="2">
        <v>1276</v>
      </c>
      <c r="I1493" s="2">
        <v>5</v>
      </c>
      <c r="J1493" s="2" t="s">
        <v>51</v>
      </c>
      <c r="K1493" s="2" t="s">
        <v>52</v>
      </c>
      <c r="L1493" s="2" t="s">
        <v>4902</v>
      </c>
      <c r="M1493" s="7" t="s">
        <v>4903</v>
      </c>
      <c r="N1493" s="7" t="s">
        <v>4904</v>
      </c>
      <c r="O1493" s="2"/>
      <c r="P1493" s="2"/>
      <c r="Q1493" s="2" t="str">
        <f>IF(SUMPRODUCT(--ISNUMBER(SEARCH('National Domains'!$A$2:$A$48,L1493)))&gt;0,"Yes","No")</f>
        <v>Yes</v>
      </c>
      <c r="R1493" s="2" t="str">
        <f>IF(COUNTIFS(Calibration!$A:$A,A1493,Calibration!$B:$B,B1493)&gt;0,"Yes","No")</f>
        <v>No</v>
      </c>
      <c r="S1493" s="6"/>
    </row>
    <row r="1494" spans="1:19" ht="34.5" customHeight="1" x14ac:dyDescent="0.2">
      <c r="A1494" s="2">
        <v>287</v>
      </c>
      <c r="B1494" s="2">
        <v>1</v>
      </c>
      <c r="C1494" s="2" t="s">
        <v>463</v>
      </c>
      <c r="D1494" s="2" t="s">
        <v>17</v>
      </c>
      <c r="E1494" s="2">
        <v>20240108</v>
      </c>
      <c r="F1494" s="2">
        <v>20240110</v>
      </c>
      <c r="G1494" s="2">
        <v>2780.2</v>
      </c>
      <c r="H1494" s="2">
        <v>2726</v>
      </c>
      <c r="I1494" s="2">
        <v>3</v>
      </c>
      <c r="J1494" s="2" t="s">
        <v>61</v>
      </c>
      <c r="K1494" s="2" t="s">
        <v>62</v>
      </c>
      <c r="L1494" s="2" t="s">
        <v>4905</v>
      </c>
      <c r="M1494" s="7" t="s">
        <v>4906</v>
      </c>
      <c r="N1494" s="7" t="s">
        <v>4907</v>
      </c>
      <c r="O1494" s="2"/>
      <c r="P1494" s="2"/>
      <c r="Q1494" s="2" t="str">
        <f>IF(SUMPRODUCT(--ISNUMBER(SEARCH('National Domains'!$A$2:$A$48,L1494)))&gt;0,"Yes","No")</f>
        <v>Yes</v>
      </c>
      <c r="R1494" s="2" t="str">
        <f>IF(COUNTIFS(Calibration!$A:$A,A1494,Calibration!$B:$B,B1494)&gt;0,"Yes","No")</f>
        <v>No</v>
      </c>
      <c r="S1494" s="6"/>
    </row>
    <row r="1495" spans="1:19" ht="34.5" customHeight="1" x14ac:dyDescent="0.2">
      <c r="A1495" s="2">
        <v>287</v>
      </c>
      <c r="B1495" s="2">
        <v>2</v>
      </c>
      <c r="C1495" s="2" t="s">
        <v>463</v>
      </c>
      <c r="D1495" s="2" t="s">
        <v>17</v>
      </c>
      <c r="E1495" s="2">
        <v>20240108</v>
      </c>
      <c r="F1495" s="2">
        <v>20240110</v>
      </c>
      <c r="G1495" s="2">
        <v>2780.2</v>
      </c>
      <c r="H1495" s="2">
        <v>2726</v>
      </c>
      <c r="I1495" s="2">
        <v>3</v>
      </c>
      <c r="J1495" s="2" t="s">
        <v>61</v>
      </c>
      <c r="K1495" s="2" t="s">
        <v>62</v>
      </c>
      <c r="L1495" s="2" t="s">
        <v>4908</v>
      </c>
      <c r="M1495" s="7" t="s">
        <v>4909</v>
      </c>
      <c r="N1495" s="7" t="s">
        <v>4910</v>
      </c>
      <c r="O1495" s="2"/>
      <c r="P1495" s="2"/>
      <c r="Q1495" s="2" t="str">
        <f>IF(SUMPRODUCT(--ISNUMBER(SEARCH('National Domains'!$A$2:$A$48,L1495)))&gt;0,"Yes","No")</f>
        <v>Yes</v>
      </c>
      <c r="R1495" s="2" t="str">
        <f>IF(COUNTIFS(Calibration!$A:$A,A1495,Calibration!$B:$B,B1495)&gt;0,"Yes","No")</f>
        <v>No</v>
      </c>
      <c r="S1495" s="6"/>
    </row>
    <row r="1496" spans="1:19" ht="34.5" customHeight="1" x14ac:dyDescent="0.2">
      <c r="A1496" s="2">
        <v>287</v>
      </c>
      <c r="B1496" s="2">
        <v>3</v>
      </c>
      <c r="C1496" s="2" t="s">
        <v>463</v>
      </c>
      <c r="D1496" s="2" t="s">
        <v>17</v>
      </c>
      <c r="E1496" s="2">
        <v>20240108</v>
      </c>
      <c r="F1496" s="2">
        <v>20240110</v>
      </c>
      <c r="G1496" s="2">
        <v>2780.2</v>
      </c>
      <c r="H1496" s="2">
        <v>2726</v>
      </c>
      <c r="I1496" s="2">
        <v>3</v>
      </c>
      <c r="J1496" s="2" t="s">
        <v>61</v>
      </c>
      <c r="K1496" s="2" t="s">
        <v>62</v>
      </c>
      <c r="L1496" s="2" t="s">
        <v>4911</v>
      </c>
      <c r="M1496" s="7" t="s">
        <v>4912</v>
      </c>
      <c r="N1496" s="7" t="s">
        <v>4913</v>
      </c>
      <c r="O1496" s="2"/>
      <c r="P1496" s="2"/>
      <c r="Q1496" s="2" t="str">
        <f>IF(SUMPRODUCT(--ISNUMBER(SEARCH('National Domains'!$A$2:$A$48,L1496)))&gt;0,"Yes","No")</f>
        <v>Yes</v>
      </c>
      <c r="R1496" s="2" t="str">
        <f>IF(COUNTIFS(Calibration!$A:$A,A1496,Calibration!$B:$B,B1496)&gt;0,"Yes","No")</f>
        <v>No</v>
      </c>
      <c r="S1496" s="6"/>
    </row>
    <row r="1497" spans="1:19" ht="23.25" customHeight="1" x14ac:dyDescent="0.2">
      <c r="A1497" s="2">
        <v>287</v>
      </c>
      <c r="B1497" s="2">
        <v>4</v>
      </c>
      <c r="C1497" s="2" t="s">
        <v>463</v>
      </c>
      <c r="D1497" s="2" t="s">
        <v>17</v>
      </c>
      <c r="E1497" s="2">
        <v>20240108</v>
      </c>
      <c r="F1497" s="2">
        <v>20240110</v>
      </c>
      <c r="G1497" s="2">
        <v>2780.2</v>
      </c>
      <c r="H1497" s="2">
        <v>2726</v>
      </c>
      <c r="I1497" s="2">
        <v>3</v>
      </c>
      <c r="J1497" s="2" t="s">
        <v>61</v>
      </c>
      <c r="K1497" s="2" t="s">
        <v>62</v>
      </c>
      <c r="L1497" s="2" t="s">
        <v>4914</v>
      </c>
      <c r="M1497" s="7" t="s">
        <v>4915</v>
      </c>
      <c r="N1497" s="7" t="s">
        <v>4916</v>
      </c>
      <c r="O1497" s="2"/>
      <c r="P1497" s="2"/>
      <c r="Q1497" s="2" t="str">
        <f>IF(SUMPRODUCT(--ISNUMBER(SEARCH('National Domains'!$A$2:$A$48,L1497)))&gt;0,"Yes","No")</f>
        <v>Yes</v>
      </c>
      <c r="R1497" s="2" t="str">
        <f>IF(COUNTIFS(Calibration!$A:$A,A1497,Calibration!$B:$B,B1497)&gt;0,"Yes","No")</f>
        <v>No</v>
      </c>
      <c r="S1497" s="6"/>
    </row>
    <row r="1498" spans="1:19" ht="34.5" customHeight="1" x14ac:dyDescent="0.2">
      <c r="A1498" s="2">
        <v>287</v>
      </c>
      <c r="B1498" s="2">
        <v>5</v>
      </c>
      <c r="C1498" s="2" t="s">
        <v>463</v>
      </c>
      <c r="D1498" s="2" t="s">
        <v>17</v>
      </c>
      <c r="E1498" s="2">
        <v>20240108</v>
      </c>
      <c r="F1498" s="2">
        <v>20240110</v>
      </c>
      <c r="G1498" s="2">
        <v>2780.2</v>
      </c>
      <c r="H1498" s="2">
        <v>2726</v>
      </c>
      <c r="I1498" s="2">
        <v>3</v>
      </c>
      <c r="J1498" s="2" t="s">
        <v>61</v>
      </c>
      <c r="K1498" s="2" t="s">
        <v>62</v>
      </c>
      <c r="L1498" s="2" t="s">
        <v>4917</v>
      </c>
      <c r="M1498" s="7" t="s">
        <v>4918</v>
      </c>
      <c r="N1498" s="7" t="s">
        <v>4919</v>
      </c>
      <c r="O1498" s="2"/>
      <c r="P1498" s="2"/>
      <c r="Q1498" s="2" t="str">
        <f>IF(SUMPRODUCT(--ISNUMBER(SEARCH('National Domains'!$A$2:$A$48,L1498)))&gt;0,"Yes","No")</f>
        <v>Yes</v>
      </c>
      <c r="R1498" s="2" t="str">
        <f>IF(COUNTIFS(Calibration!$A:$A,A1498,Calibration!$B:$B,B1498)&gt;0,"Yes","No")</f>
        <v>No</v>
      </c>
      <c r="S1498" s="6"/>
    </row>
    <row r="1499" spans="1:19" ht="34.5" customHeight="1" x14ac:dyDescent="0.2">
      <c r="A1499" s="2">
        <v>287</v>
      </c>
      <c r="B1499" s="2">
        <v>6</v>
      </c>
      <c r="C1499" s="2" t="s">
        <v>463</v>
      </c>
      <c r="D1499" s="2" t="s">
        <v>17</v>
      </c>
      <c r="E1499" s="2">
        <v>20240108</v>
      </c>
      <c r="F1499" s="2">
        <v>20240110</v>
      </c>
      <c r="G1499" s="2">
        <v>2780.2</v>
      </c>
      <c r="H1499" s="2">
        <v>2726</v>
      </c>
      <c r="I1499" s="2">
        <v>3</v>
      </c>
      <c r="J1499" s="2" t="s">
        <v>61</v>
      </c>
      <c r="K1499" s="2" t="s">
        <v>62</v>
      </c>
      <c r="L1499" s="2" t="s">
        <v>4920</v>
      </c>
      <c r="M1499" s="7" t="s">
        <v>4921</v>
      </c>
      <c r="N1499" s="7" t="s">
        <v>4922</v>
      </c>
      <c r="O1499" s="2"/>
      <c r="P1499" s="2"/>
      <c r="Q1499" s="2" t="str">
        <f>IF(SUMPRODUCT(--ISNUMBER(SEARCH('National Domains'!$A$2:$A$48,L1499)))&gt;0,"Yes","No")</f>
        <v>Yes</v>
      </c>
      <c r="R1499" s="2" t="str">
        <f>IF(COUNTIFS(Calibration!$A:$A,A1499,Calibration!$B:$B,B1499)&gt;0,"Yes","No")</f>
        <v>No</v>
      </c>
      <c r="S1499" s="6"/>
    </row>
    <row r="1500" spans="1:19" ht="34.5" customHeight="1" x14ac:dyDescent="0.2">
      <c r="A1500" s="2">
        <v>287</v>
      </c>
      <c r="B1500" s="2">
        <v>7</v>
      </c>
      <c r="C1500" s="2" t="s">
        <v>463</v>
      </c>
      <c r="D1500" s="2" t="s">
        <v>17</v>
      </c>
      <c r="E1500" s="2">
        <v>20240108</v>
      </c>
      <c r="F1500" s="2">
        <v>20240110</v>
      </c>
      <c r="G1500" s="2">
        <v>2780.2</v>
      </c>
      <c r="H1500" s="2">
        <v>2726</v>
      </c>
      <c r="I1500" s="2">
        <v>3</v>
      </c>
      <c r="J1500" s="2" t="s">
        <v>61</v>
      </c>
      <c r="K1500" s="2" t="s">
        <v>62</v>
      </c>
      <c r="L1500" s="2" t="s">
        <v>4923</v>
      </c>
      <c r="M1500" s="7" t="s">
        <v>4924</v>
      </c>
      <c r="N1500" s="7" t="s">
        <v>4925</v>
      </c>
      <c r="O1500" s="2"/>
      <c r="P1500" s="2"/>
      <c r="Q1500" s="2" t="str">
        <f>IF(SUMPRODUCT(--ISNUMBER(SEARCH('National Domains'!$A$2:$A$48,L1500)))&gt;0,"Yes","No")</f>
        <v>Yes</v>
      </c>
      <c r="R1500" s="2" t="str">
        <f>IF(COUNTIFS(Calibration!$A:$A,A1500,Calibration!$B:$B,B1500)&gt;0,"Yes","No")</f>
        <v>No</v>
      </c>
      <c r="S1500" s="6"/>
    </row>
    <row r="1501" spans="1:19" ht="34.5" customHeight="1" x14ac:dyDescent="0.2">
      <c r="A1501" s="2">
        <v>287</v>
      </c>
      <c r="B1501" s="2">
        <v>8</v>
      </c>
      <c r="C1501" s="2" t="s">
        <v>463</v>
      </c>
      <c r="D1501" s="2" t="s">
        <v>17</v>
      </c>
      <c r="E1501" s="2">
        <v>20240108</v>
      </c>
      <c r="F1501" s="2">
        <v>20240110</v>
      </c>
      <c r="G1501" s="2">
        <v>2780.2</v>
      </c>
      <c r="H1501" s="2">
        <v>2726</v>
      </c>
      <c r="I1501" s="2">
        <v>3</v>
      </c>
      <c r="J1501" s="2" t="s">
        <v>61</v>
      </c>
      <c r="K1501" s="2" t="s">
        <v>62</v>
      </c>
      <c r="L1501" s="2" t="s">
        <v>4926</v>
      </c>
      <c r="M1501" s="7" t="s">
        <v>4927</v>
      </c>
      <c r="N1501" s="7" t="s">
        <v>4928</v>
      </c>
      <c r="O1501" s="2"/>
      <c r="P1501" s="2"/>
      <c r="Q1501" s="2" t="str">
        <f>IF(SUMPRODUCT(--ISNUMBER(SEARCH('National Domains'!$A$2:$A$48,L1501)))&gt;0,"Yes","No")</f>
        <v>Yes</v>
      </c>
      <c r="R1501" s="2" t="str">
        <f>IF(COUNTIFS(Calibration!$A:$A,A1501,Calibration!$B:$B,B1501)&gt;0,"Yes","No")</f>
        <v>No</v>
      </c>
      <c r="S1501" s="6"/>
    </row>
    <row r="1502" spans="1:19" ht="34.5" customHeight="1" x14ac:dyDescent="0.2">
      <c r="A1502" s="2">
        <v>287</v>
      </c>
      <c r="B1502" s="2">
        <v>9</v>
      </c>
      <c r="C1502" s="2" t="s">
        <v>463</v>
      </c>
      <c r="D1502" s="2" t="s">
        <v>17</v>
      </c>
      <c r="E1502" s="2">
        <v>20240108</v>
      </c>
      <c r="F1502" s="2">
        <v>20240110</v>
      </c>
      <c r="G1502" s="2">
        <v>2780.2</v>
      </c>
      <c r="H1502" s="2">
        <v>2726</v>
      </c>
      <c r="I1502" s="2">
        <v>3</v>
      </c>
      <c r="J1502" s="2" t="s">
        <v>61</v>
      </c>
      <c r="K1502" s="2" t="s">
        <v>62</v>
      </c>
      <c r="L1502" s="2" t="s">
        <v>4929</v>
      </c>
      <c r="M1502" s="7" t="s">
        <v>4930</v>
      </c>
      <c r="N1502" s="7" t="s">
        <v>4931</v>
      </c>
      <c r="O1502" s="2"/>
      <c r="P1502" s="2"/>
      <c r="Q1502" s="2" t="str">
        <f>IF(SUMPRODUCT(--ISNUMBER(SEARCH('National Domains'!$A$2:$A$48,L1502)))&gt;0,"Yes","No")</f>
        <v>Yes</v>
      </c>
      <c r="R1502" s="2" t="str">
        <f>IF(COUNTIFS(Calibration!$A:$A,A1502,Calibration!$B:$B,B1502)&gt;0,"Yes","No")</f>
        <v>No</v>
      </c>
      <c r="S1502" s="6"/>
    </row>
    <row r="1503" spans="1:19" ht="34.5" customHeight="1" x14ac:dyDescent="0.2">
      <c r="A1503" s="2">
        <v>287</v>
      </c>
      <c r="B1503" s="2">
        <v>10</v>
      </c>
      <c r="C1503" s="2" t="s">
        <v>463</v>
      </c>
      <c r="D1503" s="2" t="s">
        <v>17</v>
      </c>
      <c r="E1503" s="2">
        <v>20240108</v>
      </c>
      <c r="F1503" s="2">
        <v>20240110</v>
      </c>
      <c r="G1503" s="2">
        <v>2780.2</v>
      </c>
      <c r="H1503" s="2">
        <v>2726</v>
      </c>
      <c r="I1503" s="2">
        <v>3</v>
      </c>
      <c r="J1503" s="2" t="s">
        <v>61</v>
      </c>
      <c r="K1503" s="2" t="s">
        <v>62</v>
      </c>
      <c r="L1503" s="2" t="s">
        <v>4932</v>
      </c>
      <c r="M1503" s="7" t="s">
        <v>4933</v>
      </c>
      <c r="N1503" s="7" t="s">
        <v>4934</v>
      </c>
      <c r="O1503" s="2"/>
      <c r="P1503" s="2"/>
      <c r="Q1503" s="2" t="str">
        <f>IF(SUMPRODUCT(--ISNUMBER(SEARCH('National Domains'!$A$2:$A$48,L1503)))&gt;0,"Yes","No")</f>
        <v>Yes</v>
      </c>
      <c r="R1503" s="2" t="str">
        <f>IF(COUNTIFS(Calibration!$A:$A,A1503,Calibration!$B:$B,B1503)&gt;0,"Yes","No")</f>
        <v>No</v>
      </c>
      <c r="S1503" s="6"/>
    </row>
    <row r="1504" spans="1:19" ht="34.5" customHeight="1" x14ac:dyDescent="0.2">
      <c r="A1504" s="4">
        <v>288</v>
      </c>
      <c r="B1504" s="4">
        <v>1</v>
      </c>
      <c r="C1504" s="4" t="s">
        <v>464</v>
      </c>
      <c r="D1504" s="4" t="s">
        <v>13</v>
      </c>
      <c r="E1504" s="4">
        <v>20240112</v>
      </c>
      <c r="F1504" s="4">
        <v>20240114</v>
      </c>
      <c r="G1504" s="4">
        <v>1723.8</v>
      </c>
      <c r="H1504" s="4">
        <v>1690</v>
      </c>
      <c r="I1504" s="4">
        <v>20</v>
      </c>
      <c r="J1504" s="4" t="s">
        <v>465</v>
      </c>
      <c r="K1504" s="4" t="s">
        <v>23</v>
      </c>
      <c r="L1504" s="4" t="s">
        <v>4935</v>
      </c>
      <c r="M1504" s="5" t="s">
        <v>4936</v>
      </c>
      <c r="N1504" s="5" t="s">
        <v>4937</v>
      </c>
      <c r="O1504" s="4"/>
      <c r="P1504" s="4"/>
      <c r="Q1504" s="4" t="str">
        <f>IF(SUMPRODUCT(--ISNUMBER(SEARCH('National Domains'!$A$2:$A$48,L1504)))&gt;0,"Yes","No")</f>
        <v>No</v>
      </c>
      <c r="R1504" s="4" t="str">
        <f>IF(COUNTIFS(Calibration!$A:$A,A1504,Calibration!$B:$B,B1504)&gt;0,"Yes","No")</f>
        <v>Yes</v>
      </c>
      <c r="S1504" s="6"/>
    </row>
    <row r="1505" spans="1:19" ht="34.5" customHeight="1" x14ac:dyDescent="0.2">
      <c r="A1505" s="2">
        <v>288</v>
      </c>
      <c r="B1505" s="2">
        <v>2</v>
      </c>
      <c r="C1505" s="2" t="s">
        <v>464</v>
      </c>
      <c r="D1505" s="2" t="s">
        <v>13</v>
      </c>
      <c r="E1505" s="2">
        <v>20240112</v>
      </c>
      <c r="F1505" s="2">
        <v>20240114</v>
      </c>
      <c r="G1505" s="2">
        <v>1723.8</v>
      </c>
      <c r="H1505" s="2">
        <v>1690</v>
      </c>
      <c r="I1505" s="2">
        <v>20</v>
      </c>
      <c r="J1505" s="2" t="s">
        <v>465</v>
      </c>
      <c r="K1505" s="2" t="s">
        <v>23</v>
      </c>
      <c r="L1505" s="2" t="s">
        <v>4938</v>
      </c>
      <c r="M1505" s="7" t="s">
        <v>4939</v>
      </c>
      <c r="N1505" s="7" t="s">
        <v>4940</v>
      </c>
      <c r="O1505" s="2"/>
      <c r="P1505" s="2"/>
      <c r="Q1505" s="2" t="str">
        <f>IF(SUMPRODUCT(--ISNUMBER(SEARCH('National Domains'!$A$2:$A$48,L1505)))&gt;0,"Yes","No")</f>
        <v>Yes</v>
      </c>
      <c r="R1505" s="2" t="str">
        <f>IF(COUNTIFS(Calibration!$A:$A,A1505,Calibration!$B:$B,B1505)&gt;0,"Yes","No")</f>
        <v>No</v>
      </c>
      <c r="S1505" s="6"/>
    </row>
    <row r="1506" spans="1:19" ht="34.5" customHeight="1" x14ac:dyDescent="0.2">
      <c r="A1506" s="2">
        <v>288</v>
      </c>
      <c r="B1506" s="2">
        <v>3</v>
      </c>
      <c r="C1506" s="2" t="s">
        <v>464</v>
      </c>
      <c r="D1506" s="2" t="s">
        <v>13</v>
      </c>
      <c r="E1506" s="2">
        <v>20240112</v>
      </c>
      <c r="F1506" s="2">
        <v>20240114</v>
      </c>
      <c r="G1506" s="2">
        <v>1723.8</v>
      </c>
      <c r="H1506" s="2">
        <v>1690</v>
      </c>
      <c r="I1506" s="2">
        <v>20</v>
      </c>
      <c r="J1506" s="2" t="s">
        <v>465</v>
      </c>
      <c r="K1506" s="2" t="s">
        <v>23</v>
      </c>
      <c r="L1506" s="2" t="s">
        <v>4941</v>
      </c>
      <c r="M1506" s="7" t="s">
        <v>4942</v>
      </c>
      <c r="N1506" s="7" t="s">
        <v>4943</v>
      </c>
      <c r="O1506" s="2"/>
      <c r="P1506" s="2"/>
      <c r="Q1506" s="2" t="str">
        <f>IF(SUMPRODUCT(--ISNUMBER(SEARCH('National Domains'!$A$2:$A$48,L1506)))&gt;0,"Yes","No")</f>
        <v>Yes</v>
      </c>
      <c r="R1506" s="2" t="str">
        <f>IF(COUNTIFS(Calibration!$A:$A,A1506,Calibration!$B:$B,B1506)&gt;0,"Yes","No")</f>
        <v>No</v>
      </c>
      <c r="S1506" s="6"/>
    </row>
    <row r="1507" spans="1:19" ht="34.5" customHeight="1" x14ac:dyDescent="0.2">
      <c r="A1507" s="2">
        <v>288</v>
      </c>
      <c r="B1507" s="2">
        <v>4</v>
      </c>
      <c r="C1507" s="2" t="s">
        <v>464</v>
      </c>
      <c r="D1507" s="2" t="s">
        <v>13</v>
      </c>
      <c r="E1507" s="2">
        <v>20240112</v>
      </c>
      <c r="F1507" s="2">
        <v>20240114</v>
      </c>
      <c r="G1507" s="2">
        <v>1723.8</v>
      </c>
      <c r="H1507" s="2">
        <v>1690</v>
      </c>
      <c r="I1507" s="2">
        <v>20</v>
      </c>
      <c r="J1507" s="2" t="s">
        <v>465</v>
      </c>
      <c r="K1507" s="2" t="s">
        <v>23</v>
      </c>
      <c r="L1507" s="2" t="s">
        <v>4944</v>
      </c>
      <c r="M1507" s="7" t="s">
        <v>4945</v>
      </c>
      <c r="N1507" s="7" t="s">
        <v>4946</v>
      </c>
      <c r="O1507" s="2"/>
      <c r="P1507" s="2"/>
      <c r="Q1507" s="2" t="str">
        <f>IF(SUMPRODUCT(--ISNUMBER(SEARCH('National Domains'!$A$2:$A$48,L1507)))&gt;0,"Yes","No")</f>
        <v>Yes</v>
      </c>
      <c r="R1507" s="2" t="str">
        <f>IF(COUNTIFS(Calibration!$A:$A,A1507,Calibration!$B:$B,B1507)&gt;0,"Yes","No")</f>
        <v>No</v>
      </c>
      <c r="S1507" s="6"/>
    </row>
    <row r="1508" spans="1:19" ht="34.5" customHeight="1" x14ac:dyDescent="0.2">
      <c r="A1508" s="2">
        <v>288</v>
      </c>
      <c r="B1508" s="2">
        <v>5</v>
      </c>
      <c r="C1508" s="2" t="s">
        <v>464</v>
      </c>
      <c r="D1508" s="2" t="s">
        <v>13</v>
      </c>
      <c r="E1508" s="2">
        <v>20240112</v>
      </c>
      <c r="F1508" s="2">
        <v>20240114</v>
      </c>
      <c r="G1508" s="2">
        <v>1723.8</v>
      </c>
      <c r="H1508" s="2">
        <v>1690</v>
      </c>
      <c r="I1508" s="2">
        <v>20</v>
      </c>
      <c r="J1508" s="2" t="s">
        <v>465</v>
      </c>
      <c r="K1508" s="2" t="s">
        <v>23</v>
      </c>
      <c r="L1508" s="2" t="s">
        <v>4947</v>
      </c>
      <c r="M1508" s="7" t="s">
        <v>4948</v>
      </c>
      <c r="N1508" s="7" t="s">
        <v>4949</v>
      </c>
      <c r="O1508" s="2"/>
      <c r="P1508" s="2"/>
      <c r="Q1508" s="2" t="str">
        <f>IF(SUMPRODUCT(--ISNUMBER(SEARCH('National Domains'!$A$2:$A$48,L1508)))&gt;0,"Yes","No")</f>
        <v>Yes</v>
      </c>
      <c r="R1508" s="2" t="str">
        <f>IF(COUNTIFS(Calibration!$A:$A,A1508,Calibration!$B:$B,B1508)&gt;0,"Yes","No")</f>
        <v>No</v>
      </c>
      <c r="S1508" s="6"/>
    </row>
    <row r="1509" spans="1:19" ht="34.5" customHeight="1" x14ac:dyDescent="0.2">
      <c r="A1509" s="2">
        <v>289</v>
      </c>
      <c r="B1509" s="2">
        <v>1</v>
      </c>
      <c r="C1509" s="2" t="s">
        <v>466</v>
      </c>
      <c r="D1509" s="2" t="s">
        <v>13</v>
      </c>
      <c r="E1509" s="2">
        <v>20240114</v>
      </c>
      <c r="F1509" s="2">
        <v>20240118</v>
      </c>
      <c r="G1509" s="2">
        <v>1948.3</v>
      </c>
      <c r="H1509" s="2">
        <v>1910</v>
      </c>
      <c r="I1509" s="2">
        <v>41</v>
      </c>
      <c r="J1509" s="2" t="s">
        <v>467</v>
      </c>
      <c r="K1509" s="2" t="s">
        <v>138</v>
      </c>
      <c r="L1509" s="2" t="s">
        <v>4950</v>
      </c>
      <c r="M1509" s="7" t="s">
        <v>4951</v>
      </c>
      <c r="N1509" s="7" t="s">
        <v>4952</v>
      </c>
      <c r="O1509" s="2"/>
      <c r="P1509" s="2"/>
      <c r="Q1509" s="2" t="str">
        <f>IF(SUMPRODUCT(--ISNUMBER(SEARCH('National Domains'!$A$2:$A$48,L1509)))&gt;0,"Yes","No")</f>
        <v>No</v>
      </c>
      <c r="R1509" s="2" t="str">
        <f>IF(COUNTIFS(Calibration!$A:$A,A1509,Calibration!$B:$B,B1509)&gt;0,"Yes","No")</f>
        <v>No</v>
      </c>
      <c r="S1509" s="6"/>
    </row>
    <row r="1510" spans="1:19" ht="34.5" customHeight="1" x14ac:dyDescent="0.2">
      <c r="A1510" s="2">
        <v>290</v>
      </c>
      <c r="B1510" s="2">
        <v>1</v>
      </c>
      <c r="C1510" s="2" t="s">
        <v>468</v>
      </c>
      <c r="D1510" s="2" t="s">
        <v>17</v>
      </c>
      <c r="E1510" s="2">
        <v>20240210</v>
      </c>
      <c r="F1510" s="2">
        <v>20240212</v>
      </c>
      <c r="G1510" s="2">
        <v>1072</v>
      </c>
      <c r="H1510" s="2">
        <v>1051</v>
      </c>
      <c r="I1510" s="2">
        <v>0</v>
      </c>
      <c r="J1510" s="2" t="s">
        <v>18</v>
      </c>
      <c r="K1510" s="2" t="s">
        <v>19</v>
      </c>
      <c r="L1510" s="2" t="s">
        <v>4953</v>
      </c>
      <c r="M1510" s="7" t="s">
        <v>4954</v>
      </c>
      <c r="N1510" s="7" t="s">
        <v>4955</v>
      </c>
      <c r="O1510" s="2"/>
      <c r="P1510" s="2"/>
      <c r="Q1510" s="2" t="str">
        <f>IF(SUMPRODUCT(--ISNUMBER(SEARCH('National Domains'!$A$2:$A$48,L1510)))&gt;0,"Yes","No")</f>
        <v>Yes</v>
      </c>
      <c r="R1510" s="2" t="str">
        <f>IF(COUNTIFS(Calibration!$A:$A,A1510,Calibration!$B:$B,B1510)&gt;0,"Yes","No")</f>
        <v>No</v>
      </c>
      <c r="S1510" s="6"/>
    </row>
    <row r="1511" spans="1:19" ht="34.5" customHeight="1" x14ac:dyDescent="0.2">
      <c r="A1511" s="2">
        <v>291</v>
      </c>
      <c r="B1511" s="2">
        <v>1</v>
      </c>
      <c r="C1511" s="2" t="s">
        <v>469</v>
      </c>
      <c r="D1511" s="2" t="s">
        <v>17</v>
      </c>
      <c r="E1511" s="2">
        <v>20240227</v>
      </c>
      <c r="F1511" s="2">
        <v>20240228</v>
      </c>
      <c r="G1511" s="2">
        <v>1534</v>
      </c>
      <c r="H1511" s="2">
        <v>1504</v>
      </c>
      <c r="I1511" s="2">
        <v>0</v>
      </c>
      <c r="J1511" s="2" t="s">
        <v>250</v>
      </c>
      <c r="K1511" s="2" t="s">
        <v>251</v>
      </c>
      <c r="L1511" s="2" t="s">
        <v>4956</v>
      </c>
      <c r="M1511" s="7" t="s">
        <v>4957</v>
      </c>
      <c r="N1511" s="7" t="s">
        <v>4958</v>
      </c>
      <c r="O1511" s="2"/>
      <c r="P1511" s="2"/>
      <c r="Q1511" s="2" t="str">
        <f>IF(SUMPRODUCT(--ISNUMBER(SEARCH('National Domains'!$A$2:$A$48,L1511)))&gt;0,"Yes","No")</f>
        <v>No</v>
      </c>
      <c r="R1511" s="2" t="str">
        <f>IF(COUNTIFS(Calibration!$A:$A,A1511,Calibration!$B:$B,B1511)&gt;0,"Yes","No")</f>
        <v>No</v>
      </c>
      <c r="S1511" s="6"/>
    </row>
    <row r="1512" spans="1:19" ht="34.5" customHeight="1" x14ac:dyDescent="0.2">
      <c r="A1512" s="2">
        <v>291</v>
      </c>
      <c r="B1512" s="2">
        <v>2</v>
      </c>
      <c r="C1512" s="2" t="s">
        <v>469</v>
      </c>
      <c r="D1512" s="2" t="s">
        <v>17</v>
      </c>
      <c r="E1512" s="2">
        <v>20240227</v>
      </c>
      <c r="F1512" s="2">
        <v>20240228</v>
      </c>
      <c r="G1512" s="2">
        <v>1534</v>
      </c>
      <c r="H1512" s="2">
        <v>1504</v>
      </c>
      <c r="I1512" s="2">
        <v>0</v>
      </c>
      <c r="J1512" s="2" t="s">
        <v>250</v>
      </c>
      <c r="K1512" s="2" t="s">
        <v>251</v>
      </c>
      <c r="L1512" s="2" t="s">
        <v>4959</v>
      </c>
      <c r="M1512" s="7" t="s">
        <v>4960</v>
      </c>
      <c r="N1512" s="7" t="s">
        <v>4961</v>
      </c>
      <c r="O1512" s="2"/>
      <c r="P1512" s="2"/>
      <c r="Q1512" s="2" t="str">
        <f>IF(SUMPRODUCT(--ISNUMBER(SEARCH('National Domains'!$A$2:$A$48,L1512)))&gt;0,"Yes","No")</f>
        <v>Yes</v>
      </c>
      <c r="R1512" s="2" t="str">
        <f>IF(COUNTIFS(Calibration!$A:$A,A1512,Calibration!$B:$B,B1512)&gt;0,"Yes","No")</f>
        <v>No</v>
      </c>
      <c r="S1512" s="6"/>
    </row>
    <row r="1513" spans="1:19" ht="34.5" customHeight="1" x14ac:dyDescent="0.2">
      <c r="A1513" s="2">
        <v>291</v>
      </c>
      <c r="B1513" s="2">
        <v>3</v>
      </c>
      <c r="C1513" s="2" t="s">
        <v>469</v>
      </c>
      <c r="D1513" s="2" t="s">
        <v>17</v>
      </c>
      <c r="E1513" s="2">
        <v>20240227</v>
      </c>
      <c r="F1513" s="2">
        <v>20240228</v>
      </c>
      <c r="G1513" s="2">
        <v>1534</v>
      </c>
      <c r="H1513" s="2">
        <v>1504</v>
      </c>
      <c r="I1513" s="2">
        <v>0</v>
      </c>
      <c r="J1513" s="2" t="s">
        <v>250</v>
      </c>
      <c r="K1513" s="2" t="s">
        <v>251</v>
      </c>
      <c r="L1513" s="2" t="s">
        <v>4962</v>
      </c>
      <c r="M1513" s="7" t="s">
        <v>4963</v>
      </c>
      <c r="N1513" s="7" t="s">
        <v>4964</v>
      </c>
      <c r="O1513" s="2"/>
      <c r="P1513" s="2"/>
      <c r="Q1513" s="2" t="str">
        <f>IF(SUMPRODUCT(--ISNUMBER(SEARCH('National Domains'!$A$2:$A$48,L1513)))&gt;0,"Yes","No")</f>
        <v>No</v>
      </c>
      <c r="R1513" s="2" t="str">
        <f>IF(COUNTIFS(Calibration!$A:$A,A1513,Calibration!$B:$B,B1513)&gt;0,"Yes","No")</f>
        <v>No</v>
      </c>
      <c r="S1513" s="6"/>
    </row>
    <row r="1514" spans="1:19" ht="34.5" customHeight="1" x14ac:dyDescent="0.2">
      <c r="A1514" s="2">
        <v>292</v>
      </c>
      <c r="B1514" s="2">
        <v>1</v>
      </c>
      <c r="C1514" s="2" t="s">
        <v>470</v>
      </c>
      <c r="D1514" s="2" t="s">
        <v>17</v>
      </c>
      <c r="E1514" s="2">
        <v>20240312</v>
      </c>
      <c r="F1514" s="2">
        <v>20240314</v>
      </c>
      <c r="G1514" s="2">
        <v>6151.6</v>
      </c>
      <c r="H1514" s="2">
        <v>6031</v>
      </c>
      <c r="I1514" s="2">
        <v>3</v>
      </c>
      <c r="J1514" s="2" t="s">
        <v>351</v>
      </c>
      <c r="K1514" s="2" t="s">
        <v>109</v>
      </c>
      <c r="L1514" s="2" t="s">
        <v>4965</v>
      </c>
      <c r="M1514" s="7" t="s">
        <v>4966</v>
      </c>
      <c r="N1514" s="7" t="s">
        <v>4967</v>
      </c>
      <c r="O1514" s="2"/>
      <c r="P1514" s="2"/>
      <c r="Q1514" s="2" t="str">
        <f>IF(SUMPRODUCT(--ISNUMBER(SEARCH('National Domains'!$A$2:$A$48,L1514)))&gt;0,"Yes","No")</f>
        <v>Yes</v>
      </c>
      <c r="R1514" s="2" t="str">
        <f>IF(COUNTIFS(Calibration!$A:$A,A1514,Calibration!$B:$B,B1514)&gt;0,"Yes","No")</f>
        <v>No</v>
      </c>
      <c r="S1514" s="6"/>
    </row>
    <row r="1515" spans="1:19" ht="34.5" customHeight="1" x14ac:dyDescent="0.2">
      <c r="A1515" s="2">
        <v>292</v>
      </c>
      <c r="B1515" s="2">
        <v>2</v>
      </c>
      <c r="C1515" s="2" t="s">
        <v>470</v>
      </c>
      <c r="D1515" s="2" t="s">
        <v>17</v>
      </c>
      <c r="E1515" s="2">
        <v>20240312</v>
      </c>
      <c r="F1515" s="2">
        <v>20240314</v>
      </c>
      <c r="G1515" s="2">
        <v>6151.6</v>
      </c>
      <c r="H1515" s="2">
        <v>6031</v>
      </c>
      <c r="I1515" s="2">
        <v>3</v>
      </c>
      <c r="J1515" s="2" t="s">
        <v>351</v>
      </c>
      <c r="K1515" s="2" t="s">
        <v>109</v>
      </c>
      <c r="L1515" s="2" t="s">
        <v>4968</v>
      </c>
      <c r="M1515" s="7" t="s">
        <v>4969</v>
      </c>
      <c r="N1515" s="7" t="s">
        <v>4970</v>
      </c>
      <c r="O1515" s="2"/>
      <c r="P1515" s="2"/>
      <c r="Q1515" s="2" t="str">
        <f>IF(SUMPRODUCT(--ISNUMBER(SEARCH('National Domains'!$A$2:$A$48,L1515)))&gt;0,"Yes","No")</f>
        <v>No</v>
      </c>
      <c r="R1515" s="2" t="str">
        <f>IF(COUNTIFS(Calibration!$A:$A,A1515,Calibration!$B:$B,B1515)&gt;0,"Yes","No")</f>
        <v>No</v>
      </c>
      <c r="S1515" s="6"/>
    </row>
    <row r="1516" spans="1:19" ht="34.5" customHeight="1" x14ac:dyDescent="0.2">
      <c r="A1516" s="2">
        <v>293</v>
      </c>
      <c r="B1516" s="2">
        <v>1</v>
      </c>
      <c r="C1516" s="2" t="s">
        <v>471</v>
      </c>
      <c r="D1516" s="2" t="s">
        <v>17</v>
      </c>
      <c r="E1516" s="2">
        <v>20240401</v>
      </c>
      <c r="F1516" s="2">
        <v>20240403</v>
      </c>
      <c r="G1516" s="2">
        <v>2465.5</v>
      </c>
      <c r="H1516" s="2">
        <v>2441</v>
      </c>
      <c r="I1516" s="2">
        <v>3</v>
      </c>
      <c r="J1516" s="2" t="s">
        <v>250</v>
      </c>
      <c r="K1516" s="2" t="s">
        <v>251</v>
      </c>
      <c r="L1516" s="2" t="s">
        <v>4971</v>
      </c>
      <c r="M1516" s="7" t="s">
        <v>4972</v>
      </c>
      <c r="N1516" s="7" t="s">
        <v>4973</v>
      </c>
      <c r="O1516" s="2"/>
      <c r="P1516" s="2"/>
      <c r="Q1516" s="2" t="str">
        <f>IF(SUMPRODUCT(--ISNUMBER(SEARCH('National Domains'!$A$2:$A$48,L1516)))&gt;0,"Yes","No")</f>
        <v>Yes</v>
      </c>
      <c r="R1516" s="2" t="str">
        <f>IF(COUNTIFS(Calibration!$A:$A,A1516,Calibration!$B:$B,B1516)&gt;0,"Yes","No")</f>
        <v>No</v>
      </c>
      <c r="S1516" s="6"/>
    </row>
    <row r="1517" spans="1:19" ht="34.5" customHeight="1" x14ac:dyDescent="0.2">
      <c r="A1517" s="2">
        <v>293</v>
      </c>
      <c r="B1517" s="2">
        <v>2</v>
      </c>
      <c r="C1517" s="2" t="s">
        <v>471</v>
      </c>
      <c r="D1517" s="2" t="s">
        <v>17</v>
      </c>
      <c r="E1517" s="2">
        <v>20240401</v>
      </c>
      <c r="F1517" s="2">
        <v>20240403</v>
      </c>
      <c r="G1517" s="2">
        <v>2465.5</v>
      </c>
      <c r="H1517" s="2">
        <v>2441</v>
      </c>
      <c r="I1517" s="2">
        <v>3</v>
      </c>
      <c r="J1517" s="2" t="s">
        <v>250</v>
      </c>
      <c r="K1517" s="2" t="s">
        <v>251</v>
      </c>
      <c r="L1517" s="2" t="s">
        <v>4974</v>
      </c>
      <c r="M1517" s="7" t="s">
        <v>4975</v>
      </c>
      <c r="N1517" s="7" t="s">
        <v>4976</v>
      </c>
      <c r="O1517" s="2"/>
      <c r="P1517" s="2"/>
      <c r="Q1517" s="2" t="str">
        <f>IF(SUMPRODUCT(--ISNUMBER(SEARCH('National Domains'!$A$2:$A$48,L1517)))&gt;0,"Yes","No")</f>
        <v>Yes</v>
      </c>
      <c r="R1517" s="2" t="str">
        <f>IF(COUNTIFS(Calibration!$A:$A,A1517,Calibration!$B:$B,B1517)&gt;0,"Yes","No")</f>
        <v>No</v>
      </c>
      <c r="S1517" s="6"/>
    </row>
    <row r="1518" spans="1:19" ht="34.5" customHeight="1" x14ac:dyDescent="0.2">
      <c r="A1518" s="2">
        <v>293</v>
      </c>
      <c r="B1518" s="2">
        <v>3</v>
      </c>
      <c r="C1518" s="2" t="s">
        <v>471</v>
      </c>
      <c r="D1518" s="2" t="s">
        <v>17</v>
      </c>
      <c r="E1518" s="2">
        <v>20240401</v>
      </c>
      <c r="F1518" s="2">
        <v>20240403</v>
      </c>
      <c r="G1518" s="2">
        <v>2465.5</v>
      </c>
      <c r="H1518" s="2">
        <v>2441</v>
      </c>
      <c r="I1518" s="2">
        <v>3</v>
      </c>
      <c r="J1518" s="2" t="s">
        <v>250</v>
      </c>
      <c r="K1518" s="2" t="s">
        <v>251</v>
      </c>
      <c r="L1518" s="2" t="s">
        <v>4977</v>
      </c>
      <c r="M1518" s="7" t="s">
        <v>4978</v>
      </c>
      <c r="N1518" s="7" t="s">
        <v>4979</v>
      </c>
      <c r="O1518" s="2"/>
      <c r="P1518" s="2"/>
      <c r="Q1518" s="2" t="str">
        <f>IF(SUMPRODUCT(--ISNUMBER(SEARCH('National Domains'!$A$2:$A$48,L1518)))&gt;0,"Yes","No")</f>
        <v>Yes</v>
      </c>
      <c r="R1518" s="2" t="str">
        <f>IF(COUNTIFS(Calibration!$A:$A,A1518,Calibration!$B:$B,B1518)&gt;0,"Yes","No")</f>
        <v>No</v>
      </c>
      <c r="S1518" s="6"/>
    </row>
    <row r="1519" spans="1:19" ht="34.5" customHeight="1" x14ac:dyDescent="0.2">
      <c r="A1519" s="4">
        <v>293</v>
      </c>
      <c r="B1519" s="4">
        <v>4</v>
      </c>
      <c r="C1519" s="4" t="s">
        <v>471</v>
      </c>
      <c r="D1519" s="4" t="s">
        <v>17</v>
      </c>
      <c r="E1519" s="4">
        <v>20240401</v>
      </c>
      <c r="F1519" s="4">
        <v>20240403</v>
      </c>
      <c r="G1519" s="4">
        <v>2465.5</v>
      </c>
      <c r="H1519" s="4">
        <v>2441</v>
      </c>
      <c r="I1519" s="4">
        <v>3</v>
      </c>
      <c r="J1519" s="4" t="s">
        <v>250</v>
      </c>
      <c r="K1519" s="4" t="s">
        <v>251</v>
      </c>
      <c r="L1519" s="4" t="s">
        <v>4980</v>
      </c>
      <c r="M1519" s="5" t="s">
        <v>4981</v>
      </c>
      <c r="N1519" s="5" t="s">
        <v>4982</v>
      </c>
      <c r="O1519" s="4"/>
      <c r="P1519" s="4"/>
      <c r="Q1519" s="4" t="str">
        <f>IF(SUMPRODUCT(--ISNUMBER(SEARCH('National Domains'!$A$2:$A$48,L1519)))&gt;0,"Yes","No")</f>
        <v>Yes</v>
      </c>
      <c r="R1519" s="4" t="str">
        <f>IF(COUNTIFS(Calibration!$A:$A,A1519,Calibration!$B:$B,B1519)&gt;0,"Yes","No")</f>
        <v>Yes</v>
      </c>
      <c r="S1519" s="6"/>
    </row>
    <row r="1520" spans="1:19" ht="34.5" customHeight="1" x14ac:dyDescent="0.2">
      <c r="A1520" s="2">
        <v>293</v>
      </c>
      <c r="B1520" s="2">
        <v>5</v>
      </c>
      <c r="C1520" s="2" t="s">
        <v>471</v>
      </c>
      <c r="D1520" s="2" t="s">
        <v>17</v>
      </c>
      <c r="E1520" s="2">
        <v>20240401</v>
      </c>
      <c r="F1520" s="2">
        <v>20240403</v>
      </c>
      <c r="G1520" s="2">
        <v>2465.5</v>
      </c>
      <c r="H1520" s="2">
        <v>2441</v>
      </c>
      <c r="I1520" s="2">
        <v>3</v>
      </c>
      <c r="J1520" s="2" t="s">
        <v>250</v>
      </c>
      <c r="K1520" s="2" t="s">
        <v>251</v>
      </c>
      <c r="L1520" s="2" t="s">
        <v>4983</v>
      </c>
      <c r="M1520" s="7" t="s">
        <v>4984</v>
      </c>
      <c r="N1520" s="7" t="s">
        <v>4985</v>
      </c>
      <c r="O1520" s="2"/>
      <c r="P1520" s="2"/>
      <c r="Q1520" s="2" t="str">
        <f>IF(SUMPRODUCT(--ISNUMBER(SEARCH('National Domains'!$A$2:$A$48,L1520)))&gt;0,"Yes","No")</f>
        <v>No</v>
      </c>
      <c r="R1520" s="2" t="str">
        <f>IF(COUNTIFS(Calibration!$A:$A,A1520,Calibration!$B:$B,B1520)&gt;0,"Yes","No")</f>
        <v>No</v>
      </c>
      <c r="S1520" s="6"/>
    </row>
    <row r="1521" spans="1:19" ht="34.5" customHeight="1" x14ac:dyDescent="0.2">
      <c r="A1521" s="2">
        <v>294</v>
      </c>
      <c r="B1521" s="2">
        <v>1</v>
      </c>
      <c r="C1521" s="2" t="s">
        <v>472</v>
      </c>
      <c r="D1521" s="2" t="s">
        <v>17</v>
      </c>
      <c r="E1521" s="2">
        <v>20240408</v>
      </c>
      <c r="F1521" s="2">
        <v>20240411</v>
      </c>
      <c r="G1521" s="2">
        <v>2725.1</v>
      </c>
      <c r="H1521" s="2">
        <v>2698</v>
      </c>
      <c r="I1521" s="2">
        <v>0</v>
      </c>
      <c r="J1521" s="2" t="s">
        <v>61</v>
      </c>
      <c r="K1521" s="2" t="s">
        <v>62</v>
      </c>
      <c r="L1521" s="2" t="s">
        <v>4986</v>
      </c>
      <c r="M1521" s="7" t="s">
        <v>4987</v>
      </c>
      <c r="N1521" s="7" t="s">
        <v>4988</v>
      </c>
      <c r="O1521" s="2"/>
      <c r="P1521" s="2"/>
      <c r="Q1521" s="2" t="str">
        <f>IF(SUMPRODUCT(--ISNUMBER(SEARCH('National Domains'!$A$2:$A$48,L1521)))&gt;0,"Yes","No")</f>
        <v>Yes</v>
      </c>
      <c r="R1521" s="2" t="str">
        <f>IF(COUNTIFS(Calibration!$A:$A,A1521,Calibration!$B:$B,B1521)&gt;0,"Yes","No")</f>
        <v>No</v>
      </c>
      <c r="S1521" s="6"/>
    </row>
    <row r="1522" spans="1:19" ht="34.5" customHeight="1" x14ac:dyDescent="0.2">
      <c r="A1522" s="2">
        <v>294</v>
      </c>
      <c r="B1522" s="2">
        <v>2</v>
      </c>
      <c r="C1522" s="2" t="s">
        <v>472</v>
      </c>
      <c r="D1522" s="2" t="s">
        <v>17</v>
      </c>
      <c r="E1522" s="2">
        <v>20240408</v>
      </c>
      <c r="F1522" s="2">
        <v>20240411</v>
      </c>
      <c r="G1522" s="2">
        <v>2725.1</v>
      </c>
      <c r="H1522" s="2">
        <v>2698</v>
      </c>
      <c r="I1522" s="2">
        <v>0</v>
      </c>
      <c r="J1522" s="2" t="s">
        <v>61</v>
      </c>
      <c r="K1522" s="2" t="s">
        <v>62</v>
      </c>
      <c r="L1522" s="2" t="s">
        <v>4989</v>
      </c>
      <c r="M1522" s="7" t="s">
        <v>4990</v>
      </c>
      <c r="N1522" s="7" t="s">
        <v>4991</v>
      </c>
      <c r="O1522" s="2"/>
      <c r="P1522" s="2"/>
      <c r="Q1522" s="2" t="str">
        <f>IF(SUMPRODUCT(--ISNUMBER(SEARCH('National Domains'!$A$2:$A$48,L1522)))&gt;0,"Yes","No")</f>
        <v>Yes</v>
      </c>
      <c r="R1522" s="2" t="str">
        <f>IF(COUNTIFS(Calibration!$A:$A,A1522,Calibration!$B:$B,B1522)&gt;0,"Yes","No")</f>
        <v>No</v>
      </c>
      <c r="S1522" s="6"/>
    </row>
    <row r="1523" spans="1:19" ht="34.5" customHeight="1" x14ac:dyDescent="0.2">
      <c r="A1523" s="2">
        <v>294</v>
      </c>
      <c r="B1523" s="2">
        <v>3</v>
      </c>
      <c r="C1523" s="2" t="s">
        <v>472</v>
      </c>
      <c r="D1523" s="2" t="s">
        <v>17</v>
      </c>
      <c r="E1523" s="2">
        <v>20240408</v>
      </c>
      <c r="F1523" s="2">
        <v>20240411</v>
      </c>
      <c r="G1523" s="2">
        <v>2725.1</v>
      </c>
      <c r="H1523" s="2">
        <v>2698</v>
      </c>
      <c r="I1523" s="2">
        <v>0</v>
      </c>
      <c r="J1523" s="2" t="s">
        <v>61</v>
      </c>
      <c r="K1523" s="2" t="s">
        <v>62</v>
      </c>
      <c r="L1523" s="2" t="s">
        <v>4992</v>
      </c>
      <c r="M1523" s="7" t="s">
        <v>4993</v>
      </c>
      <c r="N1523" s="7" t="s">
        <v>4994</v>
      </c>
      <c r="O1523" s="2"/>
      <c r="P1523" s="2"/>
      <c r="Q1523" s="2" t="str">
        <f>IF(SUMPRODUCT(--ISNUMBER(SEARCH('National Domains'!$A$2:$A$48,L1523)))&gt;0,"Yes","No")</f>
        <v>Yes</v>
      </c>
      <c r="R1523" s="2" t="str">
        <f>IF(COUNTIFS(Calibration!$A:$A,A1523,Calibration!$B:$B,B1523)&gt;0,"Yes","No")</f>
        <v>No</v>
      </c>
      <c r="S1523" s="6"/>
    </row>
    <row r="1524" spans="1:19" ht="34.5" customHeight="1" x14ac:dyDescent="0.2">
      <c r="A1524" s="2">
        <v>294</v>
      </c>
      <c r="B1524" s="2">
        <v>4</v>
      </c>
      <c r="C1524" s="2" t="s">
        <v>472</v>
      </c>
      <c r="D1524" s="2" t="s">
        <v>17</v>
      </c>
      <c r="E1524" s="2">
        <v>20240408</v>
      </c>
      <c r="F1524" s="2">
        <v>20240411</v>
      </c>
      <c r="G1524" s="2">
        <v>2725.1</v>
      </c>
      <c r="H1524" s="2">
        <v>2698</v>
      </c>
      <c r="I1524" s="2">
        <v>0</v>
      </c>
      <c r="J1524" s="2" t="s">
        <v>61</v>
      </c>
      <c r="K1524" s="2" t="s">
        <v>62</v>
      </c>
      <c r="L1524" s="2" t="s">
        <v>4995</v>
      </c>
      <c r="M1524" s="7" t="s">
        <v>4996</v>
      </c>
      <c r="N1524" s="7" t="s">
        <v>4997</v>
      </c>
      <c r="O1524" s="2"/>
      <c r="P1524" s="2"/>
      <c r="Q1524" s="2" t="str">
        <f>IF(SUMPRODUCT(--ISNUMBER(SEARCH('National Domains'!$A$2:$A$48,L1524)))&gt;0,"Yes","No")</f>
        <v>Yes</v>
      </c>
      <c r="R1524" s="2" t="str">
        <f>IF(COUNTIFS(Calibration!$A:$A,A1524,Calibration!$B:$B,B1524)&gt;0,"Yes","No")</f>
        <v>No</v>
      </c>
      <c r="S1524" s="6"/>
    </row>
    <row r="1525" spans="1:19" ht="34.5" customHeight="1" x14ac:dyDescent="0.2">
      <c r="A1525" s="2">
        <v>295</v>
      </c>
      <c r="B1525" s="2">
        <v>1</v>
      </c>
      <c r="C1525" s="2" t="s">
        <v>473</v>
      </c>
      <c r="D1525" s="2" t="s">
        <v>17</v>
      </c>
      <c r="E1525" s="2">
        <v>20240426</v>
      </c>
      <c r="F1525" s="2">
        <v>20240428</v>
      </c>
      <c r="G1525" s="2">
        <v>1697.8</v>
      </c>
      <c r="H1525" s="2">
        <v>1681</v>
      </c>
      <c r="I1525" s="2">
        <v>3</v>
      </c>
      <c r="J1525" s="2" t="s">
        <v>351</v>
      </c>
      <c r="K1525" s="2" t="s">
        <v>109</v>
      </c>
      <c r="L1525" s="2" t="s">
        <v>4998</v>
      </c>
      <c r="M1525" s="7" t="s">
        <v>4999</v>
      </c>
      <c r="N1525" s="7" t="s">
        <v>5000</v>
      </c>
      <c r="O1525" s="2"/>
      <c r="P1525" s="2"/>
      <c r="Q1525" s="2" t="str">
        <f>IF(SUMPRODUCT(--ISNUMBER(SEARCH('National Domains'!$A$2:$A$48,L1525)))&gt;0,"Yes","No")</f>
        <v>No</v>
      </c>
      <c r="R1525" s="2" t="str">
        <f>IF(COUNTIFS(Calibration!$A:$A,A1525,Calibration!$B:$B,B1525)&gt;0,"Yes","No")</f>
        <v>No</v>
      </c>
      <c r="S1525" s="6"/>
    </row>
    <row r="1526" spans="1:19" ht="34.5" customHeight="1" x14ac:dyDescent="0.2">
      <c r="A1526" s="2">
        <v>295</v>
      </c>
      <c r="B1526" s="2">
        <v>2</v>
      </c>
      <c r="C1526" s="2" t="s">
        <v>473</v>
      </c>
      <c r="D1526" s="2" t="s">
        <v>17</v>
      </c>
      <c r="E1526" s="2">
        <v>20240426</v>
      </c>
      <c r="F1526" s="2">
        <v>20240428</v>
      </c>
      <c r="G1526" s="2">
        <v>1697.8</v>
      </c>
      <c r="H1526" s="2">
        <v>1681</v>
      </c>
      <c r="I1526" s="2">
        <v>3</v>
      </c>
      <c r="J1526" s="2" t="s">
        <v>351</v>
      </c>
      <c r="K1526" s="2" t="s">
        <v>109</v>
      </c>
      <c r="L1526" s="2" t="s">
        <v>5001</v>
      </c>
      <c r="M1526" s="7" t="s">
        <v>5002</v>
      </c>
      <c r="N1526" s="7" t="s">
        <v>5003</v>
      </c>
      <c r="O1526" s="2"/>
      <c r="P1526" s="2"/>
      <c r="Q1526" s="2" t="str">
        <f>IF(SUMPRODUCT(--ISNUMBER(SEARCH('National Domains'!$A$2:$A$48,L1526)))&gt;0,"Yes","No")</f>
        <v>Yes</v>
      </c>
      <c r="R1526" s="2" t="str">
        <f>IF(COUNTIFS(Calibration!$A:$A,A1526,Calibration!$B:$B,B1526)&gt;0,"Yes","No")</f>
        <v>No</v>
      </c>
      <c r="S1526" s="6"/>
    </row>
    <row r="1527" spans="1:19" ht="34.5" customHeight="1" x14ac:dyDescent="0.2">
      <c r="A1527" s="2">
        <v>295</v>
      </c>
      <c r="B1527" s="2">
        <v>3</v>
      </c>
      <c r="C1527" s="2" t="s">
        <v>473</v>
      </c>
      <c r="D1527" s="2" t="s">
        <v>17</v>
      </c>
      <c r="E1527" s="2">
        <v>20240426</v>
      </c>
      <c r="F1527" s="2">
        <v>20240428</v>
      </c>
      <c r="G1527" s="2">
        <v>1697.8</v>
      </c>
      <c r="H1527" s="2">
        <v>1681</v>
      </c>
      <c r="I1527" s="2">
        <v>3</v>
      </c>
      <c r="J1527" s="2" t="s">
        <v>351</v>
      </c>
      <c r="K1527" s="2" t="s">
        <v>109</v>
      </c>
      <c r="L1527" s="2" t="s">
        <v>5004</v>
      </c>
      <c r="M1527" s="7" t="s">
        <v>5005</v>
      </c>
      <c r="N1527" s="7" t="s">
        <v>5006</v>
      </c>
      <c r="O1527" s="2"/>
      <c r="P1527" s="2"/>
      <c r="Q1527" s="2" t="str">
        <f>IF(SUMPRODUCT(--ISNUMBER(SEARCH('National Domains'!$A$2:$A$48,L1527)))&gt;0,"Yes","No")</f>
        <v>Yes</v>
      </c>
      <c r="R1527" s="2" t="str">
        <f>IF(COUNTIFS(Calibration!$A:$A,A1527,Calibration!$B:$B,B1527)&gt;0,"Yes","No")</f>
        <v>No</v>
      </c>
      <c r="S1527" s="6"/>
    </row>
    <row r="1528" spans="1:19" ht="34.5" customHeight="1" x14ac:dyDescent="0.2">
      <c r="A1528" s="2">
        <v>295</v>
      </c>
      <c r="B1528" s="2">
        <v>4</v>
      </c>
      <c r="C1528" s="2" t="s">
        <v>473</v>
      </c>
      <c r="D1528" s="2" t="s">
        <v>17</v>
      </c>
      <c r="E1528" s="2">
        <v>20240426</v>
      </c>
      <c r="F1528" s="2">
        <v>20240428</v>
      </c>
      <c r="G1528" s="2">
        <v>1697.8</v>
      </c>
      <c r="H1528" s="2">
        <v>1681</v>
      </c>
      <c r="I1528" s="2">
        <v>3</v>
      </c>
      <c r="J1528" s="2" t="s">
        <v>351</v>
      </c>
      <c r="K1528" s="2" t="s">
        <v>109</v>
      </c>
      <c r="L1528" s="2" t="s">
        <v>5007</v>
      </c>
      <c r="M1528" s="7" t="s">
        <v>5008</v>
      </c>
      <c r="N1528" s="7" t="s">
        <v>5009</v>
      </c>
      <c r="O1528" s="2"/>
      <c r="P1528" s="2"/>
      <c r="Q1528" s="2" t="str">
        <f>IF(SUMPRODUCT(--ISNUMBER(SEARCH('National Domains'!$A$2:$A$48,L1528)))&gt;0,"Yes","No")</f>
        <v>Yes</v>
      </c>
      <c r="R1528" s="2" t="str">
        <f>IF(COUNTIFS(Calibration!$A:$A,A1528,Calibration!$B:$B,B1528)&gt;0,"Yes","No")</f>
        <v>No</v>
      </c>
      <c r="S1528" s="6"/>
    </row>
    <row r="1529" spans="1:19" ht="34.5" customHeight="1" x14ac:dyDescent="0.2">
      <c r="A1529" s="2">
        <v>295</v>
      </c>
      <c r="B1529" s="2">
        <v>5</v>
      </c>
      <c r="C1529" s="2" t="s">
        <v>473</v>
      </c>
      <c r="D1529" s="2" t="s">
        <v>17</v>
      </c>
      <c r="E1529" s="2">
        <v>20240426</v>
      </c>
      <c r="F1529" s="2">
        <v>20240428</v>
      </c>
      <c r="G1529" s="2">
        <v>1697.8</v>
      </c>
      <c r="H1529" s="2">
        <v>1681</v>
      </c>
      <c r="I1529" s="2">
        <v>3</v>
      </c>
      <c r="J1529" s="2" t="s">
        <v>351</v>
      </c>
      <c r="K1529" s="2" t="s">
        <v>109</v>
      </c>
      <c r="L1529" s="2" t="s">
        <v>5010</v>
      </c>
      <c r="M1529" s="7" t="s">
        <v>741</v>
      </c>
      <c r="N1529" s="7" t="s">
        <v>5011</v>
      </c>
      <c r="O1529" s="2"/>
      <c r="P1529" s="2"/>
      <c r="Q1529" s="2" t="str">
        <f>IF(SUMPRODUCT(--ISNUMBER(SEARCH('National Domains'!$A$2:$A$48,L1529)))&gt;0,"Yes","No")</f>
        <v>Yes</v>
      </c>
      <c r="R1529" s="2" t="str">
        <f>IF(COUNTIFS(Calibration!$A:$A,A1529,Calibration!$B:$B,B1529)&gt;0,"Yes","No")</f>
        <v>No</v>
      </c>
      <c r="S1529" s="6"/>
    </row>
    <row r="1530" spans="1:19" ht="34.5" customHeight="1" x14ac:dyDescent="0.2">
      <c r="A1530" s="2">
        <v>295</v>
      </c>
      <c r="B1530" s="2">
        <v>6</v>
      </c>
      <c r="C1530" s="2" t="s">
        <v>473</v>
      </c>
      <c r="D1530" s="2" t="s">
        <v>17</v>
      </c>
      <c r="E1530" s="2">
        <v>20240426</v>
      </c>
      <c r="F1530" s="2">
        <v>20240428</v>
      </c>
      <c r="G1530" s="2">
        <v>1697.8</v>
      </c>
      <c r="H1530" s="2">
        <v>1681</v>
      </c>
      <c r="I1530" s="2">
        <v>3</v>
      </c>
      <c r="J1530" s="2" t="s">
        <v>351</v>
      </c>
      <c r="K1530" s="2" t="s">
        <v>109</v>
      </c>
      <c r="L1530" s="2" t="s">
        <v>5012</v>
      </c>
      <c r="M1530" s="7" t="s">
        <v>5013</v>
      </c>
      <c r="N1530" s="7" t="s">
        <v>5014</v>
      </c>
      <c r="O1530" s="2"/>
      <c r="P1530" s="2"/>
      <c r="Q1530" s="2" t="str">
        <f>IF(SUMPRODUCT(--ISNUMBER(SEARCH('National Domains'!$A$2:$A$48,L1530)))&gt;0,"Yes","No")</f>
        <v>No</v>
      </c>
      <c r="R1530" s="2" t="str">
        <f>IF(COUNTIFS(Calibration!$A:$A,A1530,Calibration!$B:$B,B1530)&gt;0,"Yes","No")</f>
        <v>No</v>
      </c>
      <c r="S1530" s="6"/>
    </row>
    <row r="1531" spans="1:19" ht="34.5" customHeight="1" x14ac:dyDescent="0.2">
      <c r="A1531" s="2">
        <v>295</v>
      </c>
      <c r="B1531" s="2">
        <v>7</v>
      </c>
      <c r="C1531" s="2" t="s">
        <v>473</v>
      </c>
      <c r="D1531" s="2" t="s">
        <v>17</v>
      </c>
      <c r="E1531" s="2">
        <v>20240426</v>
      </c>
      <c r="F1531" s="2">
        <v>20240428</v>
      </c>
      <c r="G1531" s="2">
        <v>1697.8</v>
      </c>
      <c r="H1531" s="2">
        <v>1681</v>
      </c>
      <c r="I1531" s="2">
        <v>3</v>
      </c>
      <c r="J1531" s="2" t="s">
        <v>351</v>
      </c>
      <c r="K1531" s="2" t="s">
        <v>109</v>
      </c>
      <c r="L1531" s="2" t="s">
        <v>5015</v>
      </c>
      <c r="M1531" s="7" t="s">
        <v>5016</v>
      </c>
      <c r="N1531" s="7" t="s">
        <v>5017</v>
      </c>
      <c r="O1531" s="2"/>
      <c r="P1531" s="2"/>
      <c r="Q1531" s="2" t="str">
        <f>IF(SUMPRODUCT(--ISNUMBER(SEARCH('National Domains'!$A$2:$A$48,L1531)))&gt;0,"Yes","No")</f>
        <v>No</v>
      </c>
      <c r="R1531" s="2" t="str">
        <f>IF(COUNTIFS(Calibration!$A:$A,A1531,Calibration!$B:$B,B1531)&gt;0,"Yes","No")</f>
        <v>No</v>
      </c>
      <c r="S1531" s="6"/>
    </row>
    <row r="1532" spans="1:19" ht="34.5" customHeight="1" x14ac:dyDescent="0.2">
      <c r="A1532" s="2">
        <v>295</v>
      </c>
      <c r="B1532" s="2">
        <v>8</v>
      </c>
      <c r="C1532" s="2" t="s">
        <v>473</v>
      </c>
      <c r="D1532" s="2" t="s">
        <v>17</v>
      </c>
      <c r="E1532" s="2">
        <v>20240426</v>
      </c>
      <c r="F1532" s="2">
        <v>20240428</v>
      </c>
      <c r="G1532" s="2">
        <v>1697.8</v>
      </c>
      <c r="H1532" s="2">
        <v>1681</v>
      </c>
      <c r="I1532" s="2">
        <v>3</v>
      </c>
      <c r="J1532" s="2" t="s">
        <v>351</v>
      </c>
      <c r="K1532" s="2" t="s">
        <v>109</v>
      </c>
      <c r="L1532" s="2" t="s">
        <v>5018</v>
      </c>
      <c r="M1532" s="7" t="s">
        <v>5019</v>
      </c>
      <c r="N1532" s="7" t="s">
        <v>5020</v>
      </c>
      <c r="O1532" s="2"/>
      <c r="P1532" s="2"/>
      <c r="Q1532" s="2" t="str">
        <f>IF(SUMPRODUCT(--ISNUMBER(SEARCH('National Domains'!$A$2:$A$48,L1532)))&gt;0,"Yes","No")</f>
        <v>No</v>
      </c>
      <c r="R1532" s="2" t="str">
        <f>IF(COUNTIFS(Calibration!$A:$A,A1532,Calibration!$B:$B,B1532)&gt;0,"Yes","No")</f>
        <v>No</v>
      </c>
      <c r="S1532" s="6"/>
    </row>
    <row r="1533" spans="1:19" ht="34.5" customHeight="1" x14ac:dyDescent="0.2">
      <c r="A1533" s="2">
        <v>296</v>
      </c>
      <c r="B1533" s="2">
        <v>1</v>
      </c>
      <c r="C1533" s="2" t="s">
        <v>474</v>
      </c>
      <c r="D1533" s="2" t="s">
        <v>17</v>
      </c>
      <c r="E1533" s="2">
        <v>20240506</v>
      </c>
      <c r="F1533" s="2">
        <v>20240509</v>
      </c>
      <c r="G1533" s="2">
        <v>6571</v>
      </c>
      <c r="H1533" s="2">
        <v>6571</v>
      </c>
      <c r="I1533" s="2">
        <v>3</v>
      </c>
      <c r="J1533" s="2" t="s">
        <v>475</v>
      </c>
      <c r="K1533" s="2" t="s">
        <v>109</v>
      </c>
      <c r="L1533" s="2" t="s">
        <v>5021</v>
      </c>
      <c r="M1533" s="7" t="s">
        <v>5022</v>
      </c>
      <c r="N1533" s="7" t="s">
        <v>5023</v>
      </c>
      <c r="O1533" s="2"/>
      <c r="P1533" s="2"/>
      <c r="Q1533" s="2" t="str">
        <f>IF(SUMPRODUCT(--ISNUMBER(SEARCH('National Domains'!$A$2:$A$48,L1533)))&gt;0,"Yes","No")</f>
        <v>Yes</v>
      </c>
      <c r="R1533" s="2" t="str">
        <f>IF(COUNTIFS(Calibration!$A:$A,A1533,Calibration!$B:$B,B1533)&gt;0,"Yes","No")</f>
        <v>No</v>
      </c>
      <c r="S1533" s="6"/>
    </row>
    <row r="1534" spans="1:19" ht="23.25" customHeight="1" x14ac:dyDescent="0.2">
      <c r="A1534" s="2">
        <v>296</v>
      </c>
      <c r="B1534" s="2">
        <v>2</v>
      </c>
      <c r="C1534" s="2" t="s">
        <v>474</v>
      </c>
      <c r="D1534" s="2" t="s">
        <v>17</v>
      </c>
      <c r="E1534" s="2">
        <v>20240506</v>
      </c>
      <c r="F1534" s="2">
        <v>20240509</v>
      </c>
      <c r="G1534" s="2">
        <v>6571</v>
      </c>
      <c r="H1534" s="2">
        <v>6571</v>
      </c>
      <c r="I1534" s="2">
        <v>3</v>
      </c>
      <c r="J1534" s="2" t="s">
        <v>475</v>
      </c>
      <c r="K1534" s="2" t="s">
        <v>109</v>
      </c>
      <c r="L1534" s="2" t="s">
        <v>5024</v>
      </c>
      <c r="M1534" s="7" t="s">
        <v>5025</v>
      </c>
      <c r="N1534" s="7" t="s">
        <v>5026</v>
      </c>
      <c r="O1534" s="2"/>
      <c r="P1534" s="2"/>
      <c r="Q1534" s="2" t="str">
        <f>IF(SUMPRODUCT(--ISNUMBER(SEARCH('National Domains'!$A$2:$A$48,L1534)))&gt;0,"Yes","No")</f>
        <v>Yes</v>
      </c>
      <c r="R1534" s="2" t="str">
        <f>IF(COUNTIFS(Calibration!$A:$A,A1534,Calibration!$B:$B,B1534)&gt;0,"Yes","No")</f>
        <v>No</v>
      </c>
      <c r="S1534" s="6"/>
    </row>
    <row r="1535" spans="1:19" ht="34.5" customHeight="1" x14ac:dyDescent="0.2">
      <c r="A1535" s="2">
        <v>296</v>
      </c>
      <c r="B1535" s="2">
        <v>3</v>
      </c>
      <c r="C1535" s="2" t="s">
        <v>474</v>
      </c>
      <c r="D1535" s="2" t="s">
        <v>17</v>
      </c>
      <c r="E1535" s="2">
        <v>20240506</v>
      </c>
      <c r="F1535" s="2">
        <v>20240509</v>
      </c>
      <c r="G1535" s="2">
        <v>6571</v>
      </c>
      <c r="H1535" s="2">
        <v>6571</v>
      </c>
      <c r="I1535" s="2">
        <v>3</v>
      </c>
      <c r="J1535" s="2" t="s">
        <v>475</v>
      </c>
      <c r="K1535" s="2" t="s">
        <v>109</v>
      </c>
      <c r="L1535" s="2" t="s">
        <v>5027</v>
      </c>
      <c r="M1535" s="7" t="s">
        <v>5028</v>
      </c>
      <c r="N1535" s="7" t="s">
        <v>5029</v>
      </c>
      <c r="O1535" s="2"/>
      <c r="P1535" s="2"/>
      <c r="Q1535" s="2" t="str">
        <f>IF(SUMPRODUCT(--ISNUMBER(SEARCH('National Domains'!$A$2:$A$48,L1535)))&gt;0,"Yes","No")</f>
        <v>Yes</v>
      </c>
      <c r="R1535" s="2" t="str">
        <f>IF(COUNTIFS(Calibration!$A:$A,A1535,Calibration!$B:$B,B1535)&gt;0,"Yes","No")</f>
        <v>No</v>
      </c>
      <c r="S1535" s="6"/>
    </row>
    <row r="1536" spans="1:19" ht="34.5" customHeight="1" x14ac:dyDescent="0.2">
      <c r="A1536" s="2">
        <v>297</v>
      </c>
      <c r="B1536" s="2">
        <v>1</v>
      </c>
      <c r="C1536" s="2" t="s">
        <v>476</v>
      </c>
      <c r="D1536" s="2" t="s">
        <v>17</v>
      </c>
      <c r="E1536" s="2">
        <v>20240511</v>
      </c>
      <c r="F1536" s="2">
        <v>20240513</v>
      </c>
      <c r="G1536" s="2">
        <v>1124</v>
      </c>
      <c r="H1536" s="2">
        <v>1124</v>
      </c>
      <c r="I1536" s="2">
        <v>1</v>
      </c>
      <c r="J1536" s="2" t="s">
        <v>18</v>
      </c>
      <c r="K1536" s="2" t="s">
        <v>19</v>
      </c>
      <c r="L1536" s="2" t="s">
        <v>5030</v>
      </c>
      <c r="M1536" s="7" t="s">
        <v>5031</v>
      </c>
      <c r="N1536" s="7" t="s">
        <v>5032</v>
      </c>
      <c r="O1536" s="2"/>
      <c r="P1536" s="2"/>
      <c r="Q1536" s="2" t="str">
        <f>IF(SUMPRODUCT(--ISNUMBER(SEARCH('National Domains'!$A$2:$A$48,L1536)))&gt;0,"Yes","No")</f>
        <v>No</v>
      </c>
      <c r="R1536" s="2" t="str">
        <f>IF(COUNTIFS(Calibration!$A:$A,A1536,Calibration!$B:$B,B1536)&gt;0,"Yes","No")</f>
        <v>No</v>
      </c>
      <c r="S1536" s="6"/>
    </row>
    <row r="1537" spans="1:19" ht="34.5" customHeight="1" x14ac:dyDescent="0.2">
      <c r="A1537" s="2">
        <v>297</v>
      </c>
      <c r="B1537" s="2">
        <v>2</v>
      </c>
      <c r="C1537" s="2" t="s">
        <v>476</v>
      </c>
      <c r="D1537" s="2" t="s">
        <v>17</v>
      </c>
      <c r="E1537" s="2">
        <v>20240511</v>
      </c>
      <c r="F1537" s="2">
        <v>20240513</v>
      </c>
      <c r="G1537" s="2">
        <v>1124</v>
      </c>
      <c r="H1537" s="2">
        <v>1124</v>
      </c>
      <c r="I1537" s="2">
        <v>1</v>
      </c>
      <c r="J1537" s="2" t="s">
        <v>18</v>
      </c>
      <c r="K1537" s="2" t="s">
        <v>19</v>
      </c>
      <c r="L1537" s="2" t="s">
        <v>5033</v>
      </c>
      <c r="M1537" s="7" t="s">
        <v>5034</v>
      </c>
      <c r="N1537" s="7" t="s">
        <v>5035</v>
      </c>
      <c r="O1537" s="2"/>
      <c r="P1537" s="2"/>
      <c r="Q1537" s="2" t="str">
        <f>IF(SUMPRODUCT(--ISNUMBER(SEARCH('National Domains'!$A$2:$A$48,L1537)))&gt;0,"Yes","No")</f>
        <v>Yes</v>
      </c>
      <c r="R1537" s="2" t="str">
        <f>IF(COUNTIFS(Calibration!$A:$A,A1537,Calibration!$B:$B,B1537)&gt;0,"Yes","No")</f>
        <v>No</v>
      </c>
      <c r="S1537" s="6"/>
    </row>
    <row r="1538" spans="1:19" ht="34.5" customHeight="1" x14ac:dyDescent="0.2">
      <c r="A1538" s="2">
        <v>297</v>
      </c>
      <c r="B1538" s="2">
        <v>3</v>
      </c>
      <c r="C1538" s="2" t="s">
        <v>476</v>
      </c>
      <c r="D1538" s="2" t="s">
        <v>17</v>
      </c>
      <c r="E1538" s="2">
        <v>20240511</v>
      </c>
      <c r="F1538" s="2">
        <v>20240513</v>
      </c>
      <c r="G1538" s="2">
        <v>1124</v>
      </c>
      <c r="H1538" s="2">
        <v>1124</v>
      </c>
      <c r="I1538" s="2">
        <v>1</v>
      </c>
      <c r="J1538" s="2" t="s">
        <v>18</v>
      </c>
      <c r="K1538" s="2" t="s">
        <v>19</v>
      </c>
      <c r="L1538" s="2" t="s">
        <v>5036</v>
      </c>
      <c r="M1538" s="7" t="s">
        <v>5037</v>
      </c>
      <c r="N1538" s="7" t="s">
        <v>5038</v>
      </c>
      <c r="O1538" s="2"/>
      <c r="P1538" s="2"/>
      <c r="Q1538" s="2" t="str">
        <f>IF(SUMPRODUCT(--ISNUMBER(SEARCH('National Domains'!$A$2:$A$48,L1538)))&gt;0,"Yes","No")</f>
        <v>Yes</v>
      </c>
      <c r="R1538" s="2" t="str">
        <f>IF(COUNTIFS(Calibration!$A:$A,A1538,Calibration!$B:$B,B1538)&gt;0,"Yes","No")</f>
        <v>No</v>
      </c>
      <c r="S1538" s="6"/>
    </row>
    <row r="1539" spans="1:19" ht="34.5" customHeight="1" x14ac:dyDescent="0.2">
      <c r="A1539" s="2">
        <v>298</v>
      </c>
      <c r="B1539" s="2">
        <v>1</v>
      </c>
      <c r="C1539" s="2" t="s">
        <v>477</v>
      </c>
      <c r="D1539" s="2" t="s">
        <v>17</v>
      </c>
      <c r="E1539" s="2">
        <v>20240516</v>
      </c>
      <c r="F1539" s="2">
        <v>20240517</v>
      </c>
      <c r="G1539" s="2">
        <v>1551</v>
      </c>
      <c r="H1539" s="2">
        <v>1551</v>
      </c>
      <c r="I1539" s="2">
        <v>8</v>
      </c>
      <c r="J1539" s="2" t="s">
        <v>18</v>
      </c>
      <c r="K1539" s="2" t="s">
        <v>19</v>
      </c>
      <c r="L1539" s="2" t="s">
        <v>5039</v>
      </c>
      <c r="M1539" s="7" t="s">
        <v>741</v>
      </c>
      <c r="N1539" s="7" t="s">
        <v>5040</v>
      </c>
      <c r="O1539" s="2"/>
      <c r="P1539" s="2"/>
      <c r="Q1539" s="2" t="str">
        <f>IF(SUMPRODUCT(--ISNUMBER(SEARCH('National Domains'!$A$2:$A$48,L1539)))&gt;0,"Yes","No")</f>
        <v>Yes</v>
      </c>
      <c r="R1539" s="2" t="str">
        <f>IF(COUNTIFS(Calibration!$A:$A,A1539,Calibration!$B:$B,B1539)&gt;0,"Yes","No")</f>
        <v>No</v>
      </c>
      <c r="S1539" s="6"/>
    </row>
    <row r="1540" spans="1:19" ht="34.5" customHeight="1" x14ac:dyDescent="0.2">
      <c r="A1540" s="2">
        <v>300</v>
      </c>
      <c r="B1540" s="2">
        <v>1</v>
      </c>
      <c r="C1540" s="2" t="s">
        <v>479</v>
      </c>
      <c r="D1540" s="2" t="s">
        <v>17</v>
      </c>
      <c r="E1540" s="2">
        <v>20240525</v>
      </c>
      <c r="F1540" s="2">
        <v>20240526</v>
      </c>
      <c r="G1540" s="2">
        <v>3466.4</v>
      </c>
      <c r="H1540" s="2">
        <v>3432</v>
      </c>
      <c r="I1540" s="2">
        <v>16</v>
      </c>
      <c r="J1540" s="2" t="s">
        <v>102</v>
      </c>
      <c r="K1540" s="2" t="s">
        <v>103</v>
      </c>
      <c r="L1540" s="2" t="s">
        <v>5041</v>
      </c>
      <c r="M1540" s="7" t="s">
        <v>5042</v>
      </c>
      <c r="N1540" s="7" t="s">
        <v>5043</v>
      </c>
      <c r="O1540" s="2"/>
      <c r="P1540" s="2"/>
      <c r="Q1540" s="2" t="str">
        <f>IF(SUMPRODUCT(--ISNUMBER(SEARCH('National Domains'!$A$2:$A$48,L1540)))&gt;0,"Yes","No")</f>
        <v>Yes</v>
      </c>
      <c r="R1540" s="2" t="str">
        <f>IF(COUNTIFS(Calibration!$A:$A,A1540,Calibration!$B:$B,B1540)&gt;0,"Yes","No")</f>
        <v>No</v>
      </c>
      <c r="S1540" s="6"/>
    </row>
    <row r="1541" spans="1:19" ht="34.5" customHeight="1" x14ac:dyDescent="0.2">
      <c r="A1541" s="2">
        <v>301</v>
      </c>
      <c r="B1541" s="2">
        <v>1</v>
      </c>
      <c r="C1541" s="2" t="s">
        <v>480</v>
      </c>
      <c r="D1541" s="2" t="s">
        <v>17</v>
      </c>
      <c r="E1541" s="2">
        <v>20240527</v>
      </c>
      <c r="F1541" s="2">
        <v>20240528</v>
      </c>
      <c r="G1541" s="2">
        <v>2348.3000000000002</v>
      </c>
      <c r="H1541" s="2">
        <v>2325</v>
      </c>
      <c r="I1541" s="2">
        <v>1</v>
      </c>
      <c r="J1541" s="2" t="s">
        <v>125</v>
      </c>
      <c r="K1541" s="2" t="s">
        <v>41</v>
      </c>
      <c r="L1541" s="2" t="s">
        <v>5044</v>
      </c>
      <c r="M1541" s="7" t="s">
        <v>5045</v>
      </c>
      <c r="N1541" s="7" t="s">
        <v>5046</v>
      </c>
      <c r="O1541" s="2"/>
      <c r="P1541" s="2"/>
      <c r="Q1541" s="2" t="str">
        <f>IF(SUMPRODUCT(--ISNUMBER(SEARCH('National Domains'!$A$2:$A$48,L1541)))&gt;0,"Yes","No")</f>
        <v>Yes</v>
      </c>
      <c r="R1541" s="2" t="str">
        <f>IF(COUNTIFS(Calibration!$A:$A,A1541,Calibration!$B:$B,B1541)&gt;0,"Yes","No")</f>
        <v>No</v>
      </c>
      <c r="S1541" s="6"/>
    </row>
    <row r="1542" spans="1:19" ht="34.5" customHeight="1" x14ac:dyDescent="0.2">
      <c r="A1542" s="2">
        <v>301</v>
      </c>
      <c r="B1542" s="2">
        <v>2</v>
      </c>
      <c r="C1542" s="2" t="s">
        <v>480</v>
      </c>
      <c r="D1542" s="2" t="s">
        <v>17</v>
      </c>
      <c r="E1542" s="2">
        <v>20240527</v>
      </c>
      <c r="F1542" s="2">
        <v>20240528</v>
      </c>
      <c r="G1542" s="2">
        <v>2348.3000000000002</v>
      </c>
      <c r="H1542" s="2">
        <v>2325</v>
      </c>
      <c r="I1542" s="2">
        <v>1</v>
      </c>
      <c r="J1542" s="2" t="s">
        <v>125</v>
      </c>
      <c r="K1542" s="2" t="s">
        <v>41</v>
      </c>
      <c r="L1542" s="2" t="s">
        <v>5047</v>
      </c>
      <c r="M1542" s="7" t="s">
        <v>741</v>
      </c>
      <c r="N1542" s="7" t="s">
        <v>5048</v>
      </c>
      <c r="O1542" s="2"/>
      <c r="P1542" s="2"/>
      <c r="Q1542" s="2" t="str">
        <f>IF(SUMPRODUCT(--ISNUMBER(SEARCH('National Domains'!$A$2:$A$48,L1542)))&gt;0,"Yes","No")</f>
        <v>Yes</v>
      </c>
      <c r="R1542" s="2" t="str">
        <f>IF(COUNTIFS(Calibration!$A:$A,A1542,Calibration!$B:$B,B1542)&gt;0,"Yes","No")</f>
        <v>No</v>
      </c>
      <c r="S1542" s="6"/>
    </row>
    <row r="1543" spans="1:19" ht="34.5" customHeight="1" x14ac:dyDescent="0.2">
      <c r="A1543" s="2">
        <v>301</v>
      </c>
      <c r="B1543" s="2">
        <v>3</v>
      </c>
      <c r="C1543" s="2" t="s">
        <v>480</v>
      </c>
      <c r="D1543" s="2" t="s">
        <v>17</v>
      </c>
      <c r="E1543" s="2">
        <v>20240527</v>
      </c>
      <c r="F1543" s="2">
        <v>20240528</v>
      </c>
      <c r="G1543" s="2">
        <v>2348.3000000000002</v>
      </c>
      <c r="H1543" s="2">
        <v>2325</v>
      </c>
      <c r="I1543" s="2">
        <v>1</v>
      </c>
      <c r="J1543" s="2" t="s">
        <v>125</v>
      </c>
      <c r="K1543" s="2" t="s">
        <v>41</v>
      </c>
      <c r="L1543" s="2" t="s">
        <v>5049</v>
      </c>
      <c r="M1543" s="7" t="s">
        <v>5050</v>
      </c>
      <c r="N1543" s="7" t="s">
        <v>5051</v>
      </c>
      <c r="O1543" s="2"/>
      <c r="P1543" s="2"/>
      <c r="Q1543" s="2" t="str">
        <f>IF(SUMPRODUCT(--ISNUMBER(SEARCH('National Domains'!$A$2:$A$48,L1543)))&gt;0,"Yes","No")</f>
        <v>Yes</v>
      </c>
      <c r="R1543" s="2" t="str">
        <f>IF(COUNTIFS(Calibration!$A:$A,A1543,Calibration!$B:$B,B1543)&gt;0,"Yes","No")</f>
        <v>No</v>
      </c>
      <c r="S1543" s="6"/>
    </row>
    <row r="1544" spans="1:19" ht="34.5" customHeight="1" x14ac:dyDescent="0.2">
      <c r="A1544" s="2">
        <v>301</v>
      </c>
      <c r="B1544" s="2">
        <v>4</v>
      </c>
      <c r="C1544" s="2" t="s">
        <v>480</v>
      </c>
      <c r="D1544" s="2" t="s">
        <v>17</v>
      </c>
      <c r="E1544" s="2">
        <v>20240527</v>
      </c>
      <c r="F1544" s="2">
        <v>20240528</v>
      </c>
      <c r="G1544" s="2">
        <v>2348.3000000000002</v>
      </c>
      <c r="H1544" s="2">
        <v>2325</v>
      </c>
      <c r="I1544" s="2">
        <v>1</v>
      </c>
      <c r="J1544" s="2" t="s">
        <v>125</v>
      </c>
      <c r="K1544" s="2" t="s">
        <v>41</v>
      </c>
      <c r="L1544" s="2" t="s">
        <v>5052</v>
      </c>
      <c r="M1544" s="7" t="s">
        <v>5053</v>
      </c>
      <c r="N1544" s="7" t="s">
        <v>5054</v>
      </c>
      <c r="O1544" s="2"/>
      <c r="P1544" s="2"/>
      <c r="Q1544" s="2" t="str">
        <f>IF(SUMPRODUCT(--ISNUMBER(SEARCH('National Domains'!$A$2:$A$48,L1544)))&gt;0,"Yes","No")</f>
        <v>Yes</v>
      </c>
      <c r="R1544" s="2" t="str">
        <f>IF(COUNTIFS(Calibration!$A:$A,A1544,Calibration!$B:$B,B1544)&gt;0,"Yes","No")</f>
        <v>No</v>
      </c>
      <c r="S1544" s="6"/>
    </row>
    <row r="1545" spans="1:19" ht="34.5" customHeight="1" x14ac:dyDescent="0.2">
      <c r="A1545" s="2">
        <v>301</v>
      </c>
      <c r="B1545" s="2">
        <v>5</v>
      </c>
      <c r="C1545" s="2" t="s">
        <v>480</v>
      </c>
      <c r="D1545" s="2" t="s">
        <v>17</v>
      </c>
      <c r="E1545" s="2">
        <v>20240527</v>
      </c>
      <c r="F1545" s="2">
        <v>20240528</v>
      </c>
      <c r="G1545" s="2">
        <v>2348.3000000000002</v>
      </c>
      <c r="H1545" s="2">
        <v>2325</v>
      </c>
      <c r="I1545" s="2">
        <v>1</v>
      </c>
      <c r="J1545" s="2" t="s">
        <v>125</v>
      </c>
      <c r="K1545" s="2" t="s">
        <v>41</v>
      </c>
      <c r="L1545" s="2" t="s">
        <v>5055</v>
      </c>
      <c r="M1545" s="7" t="s">
        <v>5056</v>
      </c>
      <c r="N1545" s="7" t="s">
        <v>5057</v>
      </c>
      <c r="O1545" s="2"/>
      <c r="P1545" s="2"/>
      <c r="Q1545" s="2" t="str">
        <f>IF(SUMPRODUCT(--ISNUMBER(SEARCH('National Domains'!$A$2:$A$48,L1545)))&gt;0,"Yes","No")</f>
        <v>Yes</v>
      </c>
      <c r="R1545" s="2" t="str">
        <f>IF(COUNTIFS(Calibration!$A:$A,A1545,Calibration!$B:$B,B1545)&gt;0,"Yes","No")</f>
        <v>No</v>
      </c>
      <c r="S1545" s="6"/>
    </row>
    <row r="1546" spans="1:19" ht="34.5" customHeight="1" x14ac:dyDescent="0.2">
      <c r="A1546" s="2">
        <v>301</v>
      </c>
      <c r="B1546" s="2">
        <v>6</v>
      </c>
      <c r="C1546" s="2" t="s">
        <v>480</v>
      </c>
      <c r="D1546" s="2" t="s">
        <v>17</v>
      </c>
      <c r="E1546" s="2">
        <v>20240527</v>
      </c>
      <c r="F1546" s="2">
        <v>20240528</v>
      </c>
      <c r="G1546" s="2">
        <v>2348.3000000000002</v>
      </c>
      <c r="H1546" s="2">
        <v>2325</v>
      </c>
      <c r="I1546" s="2">
        <v>1</v>
      </c>
      <c r="J1546" s="2" t="s">
        <v>125</v>
      </c>
      <c r="K1546" s="2" t="s">
        <v>41</v>
      </c>
      <c r="L1546" s="2" t="s">
        <v>5058</v>
      </c>
      <c r="M1546" s="7" t="s">
        <v>741</v>
      </c>
      <c r="N1546" s="7" t="s">
        <v>5059</v>
      </c>
      <c r="O1546" s="2"/>
      <c r="P1546" s="2"/>
      <c r="Q1546" s="2" t="str">
        <f>IF(SUMPRODUCT(--ISNUMBER(SEARCH('National Domains'!$A$2:$A$48,L1546)))&gt;0,"Yes","No")</f>
        <v>Yes</v>
      </c>
      <c r="R1546" s="2" t="str">
        <f>IF(COUNTIFS(Calibration!$A:$A,A1546,Calibration!$B:$B,B1546)&gt;0,"Yes","No")</f>
        <v>No</v>
      </c>
      <c r="S1546" s="6"/>
    </row>
    <row r="1547" spans="1:19" ht="23.25" customHeight="1" x14ac:dyDescent="0.2">
      <c r="A1547" s="2">
        <v>301</v>
      </c>
      <c r="B1547" s="2">
        <v>7</v>
      </c>
      <c r="C1547" s="2" t="s">
        <v>480</v>
      </c>
      <c r="D1547" s="2" t="s">
        <v>17</v>
      </c>
      <c r="E1547" s="2">
        <v>20240527</v>
      </c>
      <c r="F1547" s="2">
        <v>20240528</v>
      </c>
      <c r="G1547" s="2">
        <v>2348.3000000000002</v>
      </c>
      <c r="H1547" s="2">
        <v>2325</v>
      </c>
      <c r="I1547" s="2">
        <v>1</v>
      </c>
      <c r="J1547" s="2" t="s">
        <v>125</v>
      </c>
      <c r="K1547" s="2" t="s">
        <v>41</v>
      </c>
      <c r="L1547" s="2" t="s">
        <v>5060</v>
      </c>
      <c r="M1547" s="7" t="s">
        <v>5061</v>
      </c>
      <c r="N1547" s="7" t="s">
        <v>5062</v>
      </c>
      <c r="O1547" s="2"/>
      <c r="P1547" s="2"/>
      <c r="Q1547" s="2" t="str">
        <f>IF(SUMPRODUCT(--ISNUMBER(SEARCH('National Domains'!$A$2:$A$48,L1547)))&gt;0,"Yes","No")</f>
        <v>Yes</v>
      </c>
      <c r="R1547" s="2" t="str">
        <f>IF(COUNTIFS(Calibration!$A:$A,A1547,Calibration!$B:$B,B1547)&gt;0,"Yes","No")</f>
        <v>No</v>
      </c>
      <c r="S1547" s="6"/>
    </row>
    <row r="1548" spans="1:19" ht="34.5" customHeight="1" x14ac:dyDescent="0.2">
      <c r="A1548" s="2">
        <v>303</v>
      </c>
      <c r="B1548" s="2">
        <v>1</v>
      </c>
      <c r="C1548" s="2" t="s">
        <v>484</v>
      </c>
      <c r="D1548" s="2" t="s">
        <v>17</v>
      </c>
      <c r="E1548" s="2">
        <v>20240612</v>
      </c>
      <c r="F1548" s="2">
        <v>20240614</v>
      </c>
      <c r="G1548" s="2">
        <v>1228</v>
      </c>
      <c r="H1548" s="2">
        <v>1228</v>
      </c>
      <c r="I1548" s="2">
        <v>0</v>
      </c>
      <c r="J1548" s="2" t="s">
        <v>250</v>
      </c>
      <c r="K1548" s="2" t="s">
        <v>251</v>
      </c>
      <c r="L1548" s="2" t="s">
        <v>5063</v>
      </c>
      <c r="M1548" s="7" t="s">
        <v>5064</v>
      </c>
      <c r="N1548" s="7" t="s">
        <v>5065</v>
      </c>
      <c r="O1548" s="2"/>
      <c r="P1548" s="2"/>
      <c r="Q1548" s="2" t="str">
        <f>IF(SUMPRODUCT(--ISNUMBER(SEARCH('National Domains'!$A$2:$A$48,L1548)))&gt;0,"Yes","No")</f>
        <v>No</v>
      </c>
      <c r="R1548" s="2" t="str">
        <f>IF(COUNTIFS(Calibration!$A:$A,A1548,Calibration!$B:$B,B1548)&gt;0,"Yes","No")</f>
        <v>No</v>
      </c>
      <c r="S1548" s="6"/>
    </row>
    <row r="1549" spans="1:19" ht="34.5" customHeight="1" x14ac:dyDescent="0.2">
      <c r="A1549" s="2">
        <v>304</v>
      </c>
      <c r="B1549" s="2">
        <v>1</v>
      </c>
      <c r="C1549" s="2" t="s">
        <v>485</v>
      </c>
      <c r="D1549" s="2" t="s">
        <v>25</v>
      </c>
      <c r="E1549" s="2">
        <v>20240616</v>
      </c>
      <c r="F1549" s="2">
        <v>20240623</v>
      </c>
      <c r="G1549" s="2">
        <v>1113</v>
      </c>
      <c r="H1549" s="2">
        <v>1113</v>
      </c>
      <c r="I1549" s="2">
        <v>4</v>
      </c>
      <c r="J1549" s="2" t="s">
        <v>310</v>
      </c>
      <c r="K1549" s="2" t="s">
        <v>37</v>
      </c>
      <c r="L1549" s="2" t="s">
        <v>5066</v>
      </c>
      <c r="M1549" s="7" t="s">
        <v>5067</v>
      </c>
      <c r="N1549" s="7" t="s">
        <v>5068</v>
      </c>
      <c r="O1549" s="2"/>
      <c r="P1549" s="2"/>
      <c r="Q1549" s="2" t="str">
        <f>IF(SUMPRODUCT(--ISNUMBER(SEARCH('National Domains'!$A$2:$A$48,L1549)))&gt;0,"Yes","No")</f>
        <v>Yes</v>
      </c>
      <c r="R1549" s="2" t="str">
        <f>IF(COUNTIFS(Calibration!$A:$A,A1549,Calibration!$B:$B,B1549)&gt;0,"Yes","No")</f>
        <v>No</v>
      </c>
      <c r="S1549" s="6"/>
    </row>
    <row r="1550" spans="1:19" ht="34.5" customHeight="1" x14ac:dyDescent="0.2">
      <c r="A1550" s="2">
        <v>304</v>
      </c>
      <c r="B1550" s="2">
        <v>2</v>
      </c>
      <c r="C1550" s="2" t="s">
        <v>485</v>
      </c>
      <c r="D1550" s="2" t="s">
        <v>25</v>
      </c>
      <c r="E1550" s="2">
        <v>20240616</v>
      </c>
      <c r="F1550" s="2">
        <v>20240623</v>
      </c>
      <c r="G1550" s="2">
        <v>1113</v>
      </c>
      <c r="H1550" s="2">
        <v>1113</v>
      </c>
      <c r="I1550" s="2">
        <v>4</v>
      </c>
      <c r="J1550" s="2" t="s">
        <v>310</v>
      </c>
      <c r="K1550" s="2" t="s">
        <v>37</v>
      </c>
      <c r="L1550" s="2" t="s">
        <v>5069</v>
      </c>
      <c r="M1550" s="7" t="s">
        <v>5070</v>
      </c>
      <c r="N1550" s="7" t="s">
        <v>5071</v>
      </c>
      <c r="O1550" s="2"/>
      <c r="P1550" s="2"/>
      <c r="Q1550" s="2" t="str">
        <f>IF(SUMPRODUCT(--ISNUMBER(SEARCH('National Domains'!$A$2:$A$48,L1550)))&gt;0,"Yes","No")</f>
        <v>No</v>
      </c>
      <c r="R1550" s="2" t="str">
        <f>IF(COUNTIFS(Calibration!$A:$A,A1550,Calibration!$B:$B,B1550)&gt;0,"Yes","No")</f>
        <v>No</v>
      </c>
      <c r="S1550" s="6"/>
    </row>
    <row r="1551" spans="1:19" ht="23.25" customHeight="1" x14ac:dyDescent="0.2">
      <c r="A1551" s="2">
        <v>304</v>
      </c>
      <c r="B1551" s="2">
        <v>3</v>
      </c>
      <c r="C1551" s="2" t="s">
        <v>485</v>
      </c>
      <c r="D1551" s="2" t="s">
        <v>25</v>
      </c>
      <c r="E1551" s="2">
        <v>20240616</v>
      </c>
      <c r="F1551" s="2">
        <v>20240623</v>
      </c>
      <c r="G1551" s="2">
        <v>1113</v>
      </c>
      <c r="H1551" s="2">
        <v>1113</v>
      </c>
      <c r="I1551" s="2">
        <v>4</v>
      </c>
      <c r="J1551" s="2" t="s">
        <v>310</v>
      </c>
      <c r="K1551" s="2" t="s">
        <v>37</v>
      </c>
      <c r="L1551" s="2" t="s">
        <v>5072</v>
      </c>
      <c r="M1551" s="7" t="s">
        <v>5073</v>
      </c>
      <c r="N1551" s="7" t="s">
        <v>5074</v>
      </c>
      <c r="O1551" s="2"/>
      <c r="P1551" s="2"/>
      <c r="Q1551" s="2" t="str">
        <f>IF(SUMPRODUCT(--ISNUMBER(SEARCH('National Domains'!$A$2:$A$48,L1551)))&gt;0,"Yes","No")</f>
        <v>Yes</v>
      </c>
      <c r="R1551" s="2" t="str">
        <f>IF(COUNTIFS(Calibration!$A:$A,A1551,Calibration!$B:$B,B1551)&gt;0,"Yes","No")</f>
        <v>No</v>
      </c>
      <c r="S1551" s="6"/>
    </row>
    <row r="1552" spans="1:19" ht="34.5" customHeight="1" x14ac:dyDescent="0.2">
      <c r="A1552" s="2">
        <v>304</v>
      </c>
      <c r="B1552" s="2">
        <v>4</v>
      </c>
      <c r="C1552" s="2" t="s">
        <v>485</v>
      </c>
      <c r="D1552" s="2" t="s">
        <v>25</v>
      </c>
      <c r="E1552" s="2">
        <v>20240616</v>
      </c>
      <c r="F1552" s="2">
        <v>20240623</v>
      </c>
      <c r="G1552" s="2">
        <v>1113</v>
      </c>
      <c r="H1552" s="2">
        <v>1113</v>
      </c>
      <c r="I1552" s="2">
        <v>4</v>
      </c>
      <c r="J1552" s="2" t="s">
        <v>310</v>
      </c>
      <c r="K1552" s="2" t="s">
        <v>37</v>
      </c>
      <c r="L1552" s="2" t="s">
        <v>5075</v>
      </c>
      <c r="M1552" s="7" t="s">
        <v>5076</v>
      </c>
      <c r="N1552" s="7" t="s">
        <v>5077</v>
      </c>
      <c r="O1552" s="2"/>
      <c r="P1552" s="2"/>
      <c r="Q1552" s="2" t="str">
        <f>IF(SUMPRODUCT(--ISNUMBER(SEARCH('National Domains'!$A$2:$A$48,L1552)))&gt;0,"Yes","No")</f>
        <v>Yes</v>
      </c>
      <c r="R1552" s="2" t="str">
        <f>IF(COUNTIFS(Calibration!$A:$A,A1552,Calibration!$B:$B,B1552)&gt;0,"Yes","No")</f>
        <v>No</v>
      </c>
      <c r="S1552" s="6"/>
    </row>
    <row r="1553" spans="1:19" ht="34.5" customHeight="1" x14ac:dyDescent="0.2">
      <c r="A1553" s="2">
        <v>304</v>
      </c>
      <c r="B1553" s="2">
        <v>5</v>
      </c>
      <c r="C1553" s="2" t="s">
        <v>485</v>
      </c>
      <c r="D1553" s="2" t="s">
        <v>25</v>
      </c>
      <c r="E1553" s="2">
        <v>20240616</v>
      </c>
      <c r="F1553" s="2">
        <v>20240623</v>
      </c>
      <c r="G1553" s="2">
        <v>1113</v>
      </c>
      <c r="H1553" s="2">
        <v>1113</v>
      </c>
      <c r="I1553" s="2">
        <v>4</v>
      </c>
      <c r="J1553" s="2" t="s">
        <v>310</v>
      </c>
      <c r="K1553" s="2" t="s">
        <v>37</v>
      </c>
      <c r="L1553" s="2" t="s">
        <v>5078</v>
      </c>
      <c r="M1553" s="7" t="s">
        <v>5079</v>
      </c>
      <c r="N1553" s="7" t="s">
        <v>5080</v>
      </c>
      <c r="O1553" s="2"/>
      <c r="P1553" s="2"/>
      <c r="Q1553" s="2" t="str">
        <f>IF(SUMPRODUCT(--ISNUMBER(SEARCH('National Domains'!$A$2:$A$48,L1553)))&gt;0,"Yes","No")</f>
        <v>Yes</v>
      </c>
      <c r="R1553" s="2" t="str">
        <f>IF(COUNTIFS(Calibration!$A:$A,A1553,Calibration!$B:$B,B1553)&gt;0,"Yes","No")</f>
        <v>No</v>
      </c>
      <c r="S1553" s="6"/>
    </row>
    <row r="1554" spans="1:19" ht="34.5" customHeight="1" x14ac:dyDescent="0.2">
      <c r="A1554" s="2">
        <v>304</v>
      </c>
      <c r="B1554" s="2">
        <v>6</v>
      </c>
      <c r="C1554" s="2" t="s">
        <v>485</v>
      </c>
      <c r="D1554" s="2" t="s">
        <v>25</v>
      </c>
      <c r="E1554" s="2">
        <v>20240616</v>
      </c>
      <c r="F1554" s="2">
        <v>20240623</v>
      </c>
      <c r="G1554" s="2">
        <v>1113</v>
      </c>
      <c r="H1554" s="2">
        <v>1113</v>
      </c>
      <c r="I1554" s="2">
        <v>4</v>
      </c>
      <c r="J1554" s="2" t="s">
        <v>310</v>
      </c>
      <c r="K1554" s="2" t="s">
        <v>37</v>
      </c>
      <c r="L1554" s="2" t="s">
        <v>5081</v>
      </c>
      <c r="M1554" s="7" t="s">
        <v>5082</v>
      </c>
      <c r="N1554" s="7" t="s">
        <v>5083</v>
      </c>
      <c r="O1554" s="2"/>
      <c r="P1554" s="2"/>
      <c r="Q1554" s="2" t="str">
        <f>IF(SUMPRODUCT(--ISNUMBER(SEARCH('National Domains'!$A$2:$A$48,L1554)))&gt;0,"Yes","No")</f>
        <v>Yes</v>
      </c>
      <c r="R1554" s="2" t="str">
        <f>IF(COUNTIFS(Calibration!$A:$A,A1554,Calibration!$B:$B,B1554)&gt;0,"Yes","No")</f>
        <v>No</v>
      </c>
      <c r="S1554" s="6"/>
    </row>
    <row r="1555" spans="1:19" ht="34.5" customHeight="1" x14ac:dyDescent="0.2">
      <c r="A1555" s="2">
        <v>305</v>
      </c>
      <c r="B1555" s="2">
        <v>1</v>
      </c>
      <c r="C1555" s="2" t="s">
        <v>486</v>
      </c>
      <c r="D1555" s="2" t="s">
        <v>17</v>
      </c>
      <c r="E1555" s="2">
        <v>20240624</v>
      </c>
      <c r="F1555" s="2">
        <v>20240626</v>
      </c>
      <c r="G1555" s="2">
        <v>1704</v>
      </c>
      <c r="H1555" s="2">
        <v>1704</v>
      </c>
      <c r="I1555" s="2">
        <v>3</v>
      </c>
      <c r="J1555" s="2" t="s">
        <v>260</v>
      </c>
      <c r="K1555" s="2" t="s">
        <v>261</v>
      </c>
      <c r="L1555" s="2" t="s">
        <v>5084</v>
      </c>
      <c r="M1555" s="7" t="s">
        <v>5085</v>
      </c>
      <c r="N1555" s="7" t="s">
        <v>5086</v>
      </c>
      <c r="O1555" s="2"/>
      <c r="P1555" s="2"/>
      <c r="Q1555" s="2" t="str">
        <f>IF(SUMPRODUCT(--ISNUMBER(SEARCH('National Domains'!$A$2:$A$48,L1555)))&gt;0,"Yes","No")</f>
        <v>No</v>
      </c>
      <c r="R1555" s="2" t="str">
        <f>IF(COUNTIFS(Calibration!$A:$A,A1555,Calibration!$B:$B,B1555)&gt;0,"Yes","No")</f>
        <v>No</v>
      </c>
      <c r="S1555" s="6"/>
    </row>
    <row r="1556" spans="1:19" ht="34.5" customHeight="1" x14ac:dyDescent="0.2">
      <c r="A1556" s="2">
        <v>305</v>
      </c>
      <c r="B1556" s="2">
        <v>2</v>
      </c>
      <c r="C1556" s="2" t="s">
        <v>486</v>
      </c>
      <c r="D1556" s="2" t="s">
        <v>17</v>
      </c>
      <c r="E1556" s="2">
        <v>20240624</v>
      </c>
      <c r="F1556" s="2">
        <v>20240626</v>
      </c>
      <c r="G1556" s="2">
        <v>1704</v>
      </c>
      <c r="H1556" s="2">
        <v>1704</v>
      </c>
      <c r="I1556" s="2">
        <v>3</v>
      </c>
      <c r="J1556" s="2" t="s">
        <v>260</v>
      </c>
      <c r="K1556" s="2" t="s">
        <v>261</v>
      </c>
      <c r="L1556" s="2" t="s">
        <v>5087</v>
      </c>
      <c r="M1556" s="7" t="s">
        <v>5088</v>
      </c>
      <c r="N1556" s="7" t="s">
        <v>5089</v>
      </c>
      <c r="O1556" s="2"/>
      <c r="P1556" s="2"/>
      <c r="Q1556" s="2" t="str">
        <f>IF(SUMPRODUCT(--ISNUMBER(SEARCH('National Domains'!$A$2:$A$48,L1556)))&gt;0,"Yes","No")</f>
        <v>No</v>
      </c>
      <c r="R1556" s="2" t="str">
        <f>IF(COUNTIFS(Calibration!$A:$A,A1556,Calibration!$B:$B,B1556)&gt;0,"Yes","No")</f>
        <v>No</v>
      </c>
      <c r="S1556" s="6"/>
    </row>
    <row r="1557" spans="1:19" ht="34.5" customHeight="1" x14ac:dyDescent="0.2">
      <c r="A1557" s="2">
        <v>305</v>
      </c>
      <c r="B1557" s="2">
        <v>3</v>
      </c>
      <c r="C1557" s="2" t="s">
        <v>486</v>
      </c>
      <c r="D1557" s="2" t="s">
        <v>17</v>
      </c>
      <c r="E1557" s="2">
        <v>20240624</v>
      </c>
      <c r="F1557" s="2">
        <v>20240626</v>
      </c>
      <c r="G1557" s="2">
        <v>1704</v>
      </c>
      <c r="H1557" s="2">
        <v>1704</v>
      </c>
      <c r="I1557" s="2">
        <v>3</v>
      </c>
      <c r="J1557" s="2" t="s">
        <v>260</v>
      </c>
      <c r="K1557" s="2" t="s">
        <v>261</v>
      </c>
      <c r="L1557" s="2" t="s">
        <v>5090</v>
      </c>
      <c r="M1557" s="7" t="s">
        <v>741</v>
      </c>
      <c r="N1557" s="7" t="s">
        <v>5091</v>
      </c>
      <c r="O1557" s="2"/>
      <c r="P1557" s="2"/>
      <c r="Q1557" s="2" t="str">
        <f>IF(SUMPRODUCT(--ISNUMBER(SEARCH('National Domains'!$A$2:$A$48,L1557)))&gt;0,"Yes","No")</f>
        <v>Yes</v>
      </c>
      <c r="R1557" s="2" t="str">
        <f>IF(COUNTIFS(Calibration!$A:$A,A1557,Calibration!$B:$B,B1557)&gt;0,"Yes","No")</f>
        <v>No</v>
      </c>
      <c r="S1557" s="6"/>
    </row>
    <row r="1558" spans="1:19" ht="34.5" customHeight="1" x14ac:dyDescent="0.2">
      <c r="A1558" s="2">
        <v>306</v>
      </c>
      <c r="B1558" s="2">
        <v>1</v>
      </c>
      <c r="C1558" s="2" t="s">
        <v>487</v>
      </c>
      <c r="D1558" s="2" t="s">
        <v>21</v>
      </c>
      <c r="E1558" s="2">
        <v>20240617</v>
      </c>
      <c r="F1558" s="2">
        <v>20240707</v>
      </c>
      <c r="G1558" s="2">
        <v>1780</v>
      </c>
      <c r="H1558" s="2">
        <v>1780</v>
      </c>
      <c r="I1558" s="2">
        <v>2</v>
      </c>
      <c r="J1558" s="2" t="s">
        <v>488</v>
      </c>
      <c r="K1558" s="2" t="s">
        <v>74</v>
      </c>
      <c r="L1558" s="2" t="s">
        <v>5092</v>
      </c>
      <c r="M1558" s="7" t="s">
        <v>5093</v>
      </c>
      <c r="N1558" s="7" t="s">
        <v>5094</v>
      </c>
      <c r="O1558" s="2"/>
      <c r="P1558" s="2"/>
      <c r="Q1558" s="2" t="str">
        <f>IF(SUMPRODUCT(--ISNUMBER(SEARCH('National Domains'!$A$2:$A$48,L1558)))&gt;0,"Yes","No")</f>
        <v>No</v>
      </c>
      <c r="R1558" s="2" t="str">
        <f>IF(COUNTIFS(Calibration!$A:$A,A1558,Calibration!$B:$B,B1558)&gt;0,"Yes","No")</f>
        <v>No</v>
      </c>
      <c r="S1558" s="6"/>
    </row>
    <row r="1559" spans="1:19" ht="34.5" customHeight="1" x14ac:dyDescent="0.2">
      <c r="A1559" s="2">
        <v>306</v>
      </c>
      <c r="B1559" s="2">
        <v>2</v>
      </c>
      <c r="C1559" s="2" t="s">
        <v>487</v>
      </c>
      <c r="D1559" s="2" t="s">
        <v>21</v>
      </c>
      <c r="E1559" s="2">
        <v>20240617</v>
      </c>
      <c r="F1559" s="2">
        <v>20240707</v>
      </c>
      <c r="G1559" s="2">
        <v>1780</v>
      </c>
      <c r="H1559" s="2">
        <v>1780</v>
      </c>
      <c r="I1559" s="2">
        <v>2</v>
      </c>
      <c r="J1559" s="2" t="s">
        <v>488</v>
      </c>
      <c r="K1559" s="2" t="s">
        <v>74</v>
      </c>
      <c r="L1559" s="2" t="s">
        <v>5095</v>
      </c>
      <c r="M1559" s="7" t="s">
        <v>5096</v>
      </c>
      <c r="N1559" s="7" t="s">
        <v>5097</v>
      </c>
      <c r="O1559" s="2"/>
      <c r="P1559" s="2"/>
      <c r="Q1559" s="2" t="str">
        <f>IF(SUMPRODUCT(--ISNUMBER(SEARCH('National Domains'!$A$2:$A$48,L1559)))&gt;0,"Yes","No")</f>
        <v>Yes</v>
      </c>
      <c r="R1559" s="2" t="str">
        <f>IF(COUNTIFS(Calibration!$A:$A,A1559,Calibration!$B:$B,B1559)&gt;0,"Yes","No")</f>
        <v>No</v>
      </c>
      <c r="S1559" s="6"/>
    </row>
    <row r="1560" spans="1:19" ht="34.5" customHeight="1" x14ac:dyDescent="0.2">
      <c r="A1560" s="2">
        <v>306</v>
      </c>
      <c r="B1560" s="2">
        <v>3</v>
      </c>
      <c r="C1560" s="2" t="s">
        <v>487</v>
      </c>
      <c r="D1560" s="2" t="s">
        <v>21</v>
      </c>
      <c r="E1560" s="2">
        <v>20240617</v>
      </c>
      <c r="F1560" s="2">
        <v>20240707</v>
      </c>
      <c r="G1560" s="2">
        <v>1780</v>
      </c>
      <c r="H1560" s="2">
        <v>1780</v>
      </c>
      <c r="I1560" s="2">
        <v>2</v>
      </c>
      <c r="J1560" s="2" t="s">
        <v>488</v>
      </c>
      <c r="K1560" s="2" t="s">
        <v>74</v>
      </c>
      <c r="L1560" s="2" t="s">
        <v>5098</v>
      </c>
      <c r="M1560" s="7" t="s">
        <v>5099</v>
      </c>
      <c r="N1560" s="7" t="s">
        <v>5100</v>
      </c>
      <c r="O1560" s="2"/>
      <c r="P1560" s="2"/>
      <c r="Q1560" s="2" t="str">
        <f>IF(SUMPRODUCT(--ISNUMBER(SEARCH('National Domains'!$A$2:$A$48,L1560)))&gt;0,"Yes","No")</f>
        <v>Yes</v>
      </c>
      <c r="R1560" s="2" t="str">
        <f>IF(COUNTIFS(Calibration!$A:$A,A1560,Calibration!$B:$B,B1560)&gt;0,"Yes","No")</f>
        <v>No</v>
      </c>
      <c r="S1560" s="6"/>
    </row>
    <row r="1561" spans="1:19" ht="34.5" customHeight="1" x14ac:dyDescent="0.2">
      <c r="A1561" s="2">
        <v>306</v>
      </c>
      <c r="B1561" s="2">
        <v>4</v>
      </c>
      <c r="C1561" s="2" t="s">
        <v>487</v>
      </c>
      <c r="D1561" s="2" t="s">
        <v>21</v>
      </c>
      <c r="E1561" s="2">
        <v>20240617</v>
      </c>
      <c r="F1561" s="2">
        <v>20240707</v>
      </c>
      <c r="G1561" s="2">
        <v>1780</v>
      </c>
      <c r="H1561" s="2">
        <v>1780</v>
      </c>
      <c r="I1561" s="2">
        <v>2</v>
      </c>
      <c r="J1561" s="2" t="s">
        <v>488</v>
      </c>
      <c r="K1561" s="2" t="s">
        <v>74</v>
      </c>
      <c r="L1561" s="2" t="s">
        <v>5101</v>
      </c>
      <c r="M1561" s="7" t="s">
        <v>5102</v>
      </c>
      <c r="N1561" s="7" t="s">
        <v>5103</v>
      </c>
      <c r="O1561" s="2"/>
      <c r="P1561" s="2"/>
      <c r="Q1561" s="2" t="str">
        <f>IF(SUMPRODUCT(--ISNUMBER(SEARCH('National Domains'!$A$2:$A$48,L1561)))&gt;0,"Yes","No")</f>
        <v>Yes</v>
      </c>
      <c r="R1561" s="2" t="str">
        <f>IF(COUNTIFS(Calibration!$A:$A,A1561,Calibration!$B:$B,B1561)&gt;0,"Yes","No")</f>
        <v>No</v>
      </c>
      <c r="S1561" s="6"/>
    </row>
    <row r="1562" spans="1:19" ht="34.5" customHeight="1" x14ac:dyDescent="0.2">
      <c r="A1562" s="2">
        <v>306</v>
      </c>
      <c r="B1562" s="2">
        <v>5</v>
      </c>
      <c r="C1562" s="2" t="s">
        <v>487</v>
      </c>
      <c r="D1562" s="2" t="s">
        <v>21</v>
      </c>
      <c r="E1562" s="2">
        <v>20240617</v>
      </c>
      <c r="F1562" s="2">
        <v>20240707</v>
      </c>
      <c r="G1562" s="2">
        <v>1780</v>
      </c>
      <c r="H1562" s="2">
        <v>1780</v>
      </c>
      <c r="I1562" s="2">
        <v>2</v>
      </c>
      <c r="J1562" s="2" t="s">
        <v>488</v>
      </c>
      <c r="K1562" s="2" t="s">
        <v>74</v>
      </c>
      <c r="L1562" s="2" t="s">
        <v>5104</v>
      </c>
      <c r="M1562" s="7" t="s">
        <v>5105</v>
      </c>
      <c r="N1562" s="7" t="s">
        <v>5106</v>
      </c>
      <c r="O1562" s="2"/>
      <c r="P1562" s="2"/>
      <c r="Q1562" s="2" t="str">
        <f>IF(SUMPRODUCT(--ISNUMBER(SEARCH('National Domains'!$A$2:$A$48,L1562)))&gt;0,"Yes","No")</f>
        <v>Yes</v>
      </c>
      <c r="R1562" s="2" t="str">
        <f>IF(COUNTIFS(Calibration!$A:$A,A1562,Calibration!$B:$B,B1562)&gt;0,"Yes","No")</f>
        <v>No</v>
      </c>
      <c r="S1562" s="6"/>
    </row>
    <row r="1563" spans="1:19" ht="34.5" customHeight="1" x14ac:dyDescent="0.2">
      <c r="A1563" s="2">
        <v>306</v>
      </c>
      <c r="B1563" s="2">
        <v>6</v>
      </c>
      <c r="C1563" s="2" t="s">
        <v>487</v>
      </c>
      <c r="D1563" s="2" t="s">
        <v>21</v>
      </c>
      <c r="E1563" s="2">
        <v>20240617</v>
      </c>
      <c r="F1563" s="2">
        <v>20240707</v>
      </c>
      <c r="G1563" s="2">
        <v>1780</v>
      </c>
      <c r="H1563" s="2">
        <v>1780</v>
      </c>
      <c r="I1563" s="2">
        <v>2</v>
      </c>
      <c r="J1563" s="2" t="s">
        <v>488</v>
      </c>
      <c r="K1563" s="2" t="s">
        <v>74</v>
      </c>
      <c r="L1563" s="2" t="s">
        <v>5107</v>
      </c>
      <c r="M1563" s="7" t="s">
        <v>5108</v>
      </c>
      <c r="N1563" s="7" t="s">
        <v>5109</v>
      </c>
      <c r="O1563" s="2"/>
      <c r="P1563" s="2"/>
      <c r="Q1563" s="2" t="str">
        <f>IF(SUMPRODUCT(--ISNUMBER(SEARCH('National Domains'!$A$2:$A$48,L1563)))&gt;0,"Yes","No")</f>
        <v>Yes</v>
      </c>
      <c r="R1563" s="2" t="str">
        <f>IF(COUNTIFS(Calibration!$A:$A,A1563,Calibration!$B:$B,B1563)&gt;0,"Yes","No")</f>
        <v>No</v>
      </c>
      <c r="S1563" s="6"/>
    </row>
    <row r="1564" spans="1:19" ht="34.5" customHeight="1" x14ac:dyDescent="0.2">
      <c r="A1564" s="2">
        <v>306</v>
      </c>
      <c r="B1564" s="2">
        <v>7</v>
      </c>
      <c r="C1564" s="2" t="s">
        <v>487</v>
      </c>
      <c r="D1564" s="2" t="s">
        <v>21</v>
      </c>
      <c r="E1564" s="2">
        <v>20240617</v>
      </c>
      <c r="F1564" s="2">
        <v>20240707</v>
      </c>
      <c r="G1564" s="2">
        <v>1780</v>
      </c>
      <c r="H1564" s="2">
        <v>1780</v>
      </c>
      <c r="I1564" s="2">
        <v>2</v>
      </c>
      <c r="J1564" s="2" t="s">
        <v>488</v>
      </c>
      <c r="K1564" s="2" t="s">
        <v>74</v>
      </c>
      <c r="L1564" s="2" t="s">
        <v>5110</v>
      </c>
      <c r="M1564" s="7" t="s">
        <v>5111</v>
      </c>
      <c r="N1564" s="7" t="s">
        <v>5112</v>
      </c>
      <c r="O1564" s="2"/>
      <c r="P1564" s="2"/>
      <c r="Q1564" s="2" t="str">
        <f>IF(SUMPRODUCT(--ISNUMBER(SEARCH('National Domains'!$A$2:$A$48,L1564)))&gt;0,"Yes","No")</f>
        <v>Yes</v>
      </c>
      <c r="R1564" s="2" t="str">
        <f>IF(COUNTIFS(Calibration!$A:$A,A1564,Calibration!$B:$B,B1564)&gt;0,"Yes","No")</f>
        <v>No</v>
      </c>
      <c r="S1564" s="6"/>
    </row>
    <row r="1565" spans="1:19" ht="34.5" customHeight="1" x14ac:dyDescent="0.2">
      <c r="A1565" s="2">
        <v>306</v>
      </c>
      <c r="B1565" s="2">
        <v>8</v>
      </c>
      <c r="C1565" s="2" t="s">
        <v>487</v>
      </c>
      <c r="D1565" s="2" t="s">
        <v>21</v>
      </c>
      <c r="E1565" s="2">
        <v>20240617</v>
      </c>
      <c r="F1565" s="2">
        <v>20240707</v>
      </c>
      <c r="G1565" s="2">
        <v>1780</v>
      </c>
      <c r="H1565" s="2">
        <v>1780</v>
      </c>
      <c r="I1565" s="2">
        <v>2</v>
      </c>
      <c r="J1565" s="2" t="s">
        <v>488</v>
      </c>
      <c r="K1565" s="2" t="s">
        <v>74</v>
      </c>
      <c r="L1565" s="2" t="s">
        <v>5113</v>
      </c>
      <c r="M1565" s="7" t="s">
        <v>5114</v>
      </c>
      <c r="N1565" s="7" t="s">
        <v>5115</v>
      </c>
      <c r="O1565" s="2"/>
      <c r="P1565" s="2"/>
      <c r="Q1565" s="2" t="str">
        <f>IF(SUMPRODUCT(--ISNUMBER(SEARCH('National Domains'!$A$2:$A$48,L1565)))&gt;0,"Yes","No")</f>
        <v>Yes</v>
      </c>
      <c r="R1565" s="2" t="str">
        <f>IF(COUNTIFS(Calibration!$A:$A,A1565,Calibration!$B:$B,B1565)&gt;0,"Yes","No")</f>
        <v>No</v>
      </c>
      <c r="S1565" s="6"/>
    </row>
    <row r="1566" spans="1:19" ht="34.5" customHeight="1" x14ac:dyDescent="0.2">
      <c r="A1566" s="2">
        <v>306</v>
      </c>
      <c r="B1566" s="2">
        <v>9</v>
      </c>
      <c r="C1566" s="2" t="s">
        <v>487</v>
      </c>
      <c r="D1566" s="2" t="s">
        <v>21</v>
      </c>
      <c r="E1566" s="2">
        <v>20240617</v>
      </c>
      <c r="F1566" s="2">
        <v>20240707</v>
      </c>
      <c r="G1566" s="2">
        <v>1780</v>
      </c>
      <c r="H1566" s="2">
        <v>1780</v>
      </c>
      <c r="I1566" s="2">
        <v>2</v>
      </c>
      <c r="J1566" s="2" t="s">
        <v>488</v>
      </c>
      <c r="K1566" s="2" t="s">
        <v>74</v>
      </c>
      <c r="L1566" s="2" t="s">
        <v>5116</v>
      </c>
      <c r="M1566" s="7" t="s">
        <v>5117</v>
      </c>
      <c r="N1566" s="7" t="s">
        <v>5118</v>
      </c>
      <c r="O1566" s="2"/>
      <c r="P1566" s="2"/>
      <c r="Q1566" s="2" t="str">
        <f>IF(SUMPRODUCT(--ISNUMBER(SEARCH('National Domains'!$A$2:$A$48,L1566)))&gt;0,"Yes","No")</f>
        <v>No</v>
      </c>
      <c r="R1566" s="2" t="str">
        <f>IF(COUNTIFS(Calibration!$A:$A,A1566,Calibration!$B:$B,B1566)&gt;0,"Yes","No")</f>
        <v>No</v>
      </c>
      <c r="S1566" s="6"/>
    </row>
    <row r="1567" spans="1:19" ht="34.5" customHeight="1" x14ac:dyDescent="0.2">
      <c r="A1567" s="2">
        <v>306</v>
      </c>
      <c r="B1567" s="2">
        <v>10</v>
      </c>
      <c r="C1567" s="2" t="s">
        <v>487</v>
      </c>
      <c r="D1567" s="2" t="s">
        <v>21</v>
      </c>
      <c r="E1567" s="2">
        <v>20240617</v>
      </c>
      <c r="F1567" s="2">
        <v>20240707</v>
      </c>
      <c r="G1567" s="2">
        <v>1780</v>
      </c>
      <c r="H1567" s="2">
        <v>1780</v>
      </c>
      <c r="I1567" s="2">
        <v>2</v>
      </c>
      <c r="J1567" s="2" t="s">
        <v>488</v>
      </c>
      <c r="K1567" s="2" t="s">
        <v>74</v>
      </c>
      <c r="L1567" s="2" t="s">
        <v>5119</v>
      </c>
      <c r="M1567" s="7" t="s">
        <v>5120</v>
      </c>
      <c r="N1567" s="7" t="s">
        <v>5121</v>
      </c>
      <c r="O1567" s="2"/>
      <c r="P1567" s="2"/>
      <c r="Q1567" s="2" t="str">
        <f>IF(SUMPRODUCT(--ISNUMBER(SEARCH('National Domains'!$A$2:$A$48,L1567)))&gt;0,"Yes","No")</f>
        <v>Yes</v>
      </c>
      <c r="R1567" s="2" t="str">
        <f>IF(COUNTIFS(Calibration!$A:$A,A1567,Calibration!$B:$B,B1567)&gt;0,"Yes","No")</f>
        <v>No</v>
      </c>
      <c r="S1567" s="6"/>
    </row>
    <row r="1568" spans="1:19" ht="34.5" customHeight="1" x14ac:dyDescent="0.2">
      <c r="A1568" s="2">
        <v>306</v>
      </c>
      <c r="B1568" s="2">
        <v>11</v>
      </c>
      <c r="C1568" s="2" t="s">
        <v>487</v>
      </c>
      <c r="D1568" s="2" t="s">
        <v>21</v>
      </c>
      <c r="E1568" s="2">
        <v>20240617</v>
      </c>
      <c r="F1568" s="2">
        <v>20240707</v>
      </c>
      <c r="G1568" s="2">
        <v>1780</v>
      </c>
      <c r="H1568" s="2">
        <v>1780</v>
      </c>
      <c r="I1568" s="2">
        <v>2</v>
      </c>
      <c r="J1568" s="2" t="s">
        <v>488</v>
      </c>
      <c r="K1568" s="2" t="s">
        <v>74</v>
      </c>
      <c r="L1568" s="2" t="s">
        <v>5122</v>
      </c>
      <c r="M1568" s="7" t="s">
        <v>5123</v>
      </c>
      <c r="N1568" s="7" t="s">
        <v>5124</v>
      </c>
      <c r="O1568" s="2"/>
      <c r="P1568" s="2"/>
      <c r="Q1568" s="2" t="str">
        <f>IF(SUMPRODUCT(--ISNUMBER(SEARCH('National Domains'!$A$2:$A$48,L1568)))&gt;0,"Yes","No")</f>
        <v>Yes</v>
      </c>
      <c r="R1568" s="2" t="str">
        <f>IF(COUNTIFS(Calibration!$A:$A,A1568,Calibration!$B:$B,B1568)&gt;0,"Yes","No")</f>
        <v>No</v>
      </c>
      <c r="S1568" s="6"/>
    </row>
    <row r="1569" spans="1:19" ht="34.5" customHeight="1" x14ac:dyDescent="0.2">
      <c r="A1569" s="2">
        <v>306</v>
      </c>
      <c r="B1569" s="2">
        <v>12</v>
      </c>
      <c r="C1569" s="2" t="s">
        <v>487</v>
      </c>
      <c r="D1569" s="2" t="s">
        <v>21</v>
      </c>
      <c r="E1569" s="2">
        <v>20240617</v>
      </c>
      <c r="F1569" s="2">
        <v>20240707</v>
      </c>
      <c r="G1569" s="2">
        <v>1780</v>
      </c>
      <c r="H1569" s="2">
        <v>1780</v>
      </c>
      <c r="I1569" s="2">
        <v>2</v>
      </c>
      <c r="J1569" s="2" t="s">
        <v>488</v>
      </c>
      <c r="K1569" s="2" t="s">
        <v>74</v>
      </c>
      <c r="L1569" s="2" t="s">
        <v>5125</v>
      </c>
      <c r="M1569" s="7" t="s">
        <v>5126</v>
      </c>
      <c r="N1569" s="7" t="s">
        <v>5127</v>
      </c>
      <c r="O1569" s="2"/>
      <c r="P1569" s="2"/>
      <c r="Q1569" s="2" t="str">
        <f>IF(SUMPRODUCT(--ISNUMBER(SEARCH('National Domains'!$A$2:$A$48,L1569)))&gt;0,"Yes","No")</f>
        <v>Yes</v>
      </c>
      <c r="R1569" s="2" t="str">
        <f>IF(COUNTIFS(Calibration!$A:$A,A1569,Calibration!$B:$B,B1569)&gt;0,"Yes","No")</f>
        <v>No</v>
      </c>
      <c r="S1569" s="6"/>
    </row>
    <row r="1570" spans="1:19" ht="34.5" customHeight="1" x14ac:dyDescent="0.2">
      <c r="A1570" s="2">
        <v>307</v>
      </c>
      <c r="B1570" s="2">
        <v>1</v>
      </c>
      <c r="C1570" s="2" t="s">
        <v>489</v>
      </c>
      <c r="D1570" s="2" t="s">
        <v>39</v>
      </c>
      <c r="E1570" s="2">
        <v>20240708</v>
      </c>
      <c r="F1570" s="2">
        <v>20240708</v>
      </c>
      <c r="G1570" s="2">
        <v>7219</v>
      </c>
      <c r="H1570" s="2">
        <v>7219</v>
      </c>
      <c r="I1570" s="2">
        <v>46</v>
      </c>
      <c r="J1570" s="2" t="s">
        <v>125</v>
      </c>
      <c r="K1570" s="2" t="s">
        <v>41</v>
      </c>
      <c r="L1570" s="2" t="s">
        <v>5128</v>
      </c>
      <c r="M1570" s="7" t="s">
        <v>5129</v>
      </c>
      <c r="N1570" s="7" t="s">
        <v>5130</v>
      </c>
      <c r="O1570" s="2"/>
      <c r="P1570" s="2"/>
      <c r="Q1570" s="2" t="str">
        <f>IF(SUMPRODUCT(--ISNUMBER(SEARCH('National Domains'!$A$2:$A$48,L1570)))&gt;0,"Yes","No")</f>
        <v>No</v>
      </c>
      <c r="R1570" s="2" t="str">
        <f>IF(COUNTIFS(Calibration!$A:$A,A1570,Calibration!$B:$B,B1570)&gt;0,"Yes","No")</f>
        <v>No</v>
      </c>
      <c r="S1570" s="6"/>
    </row>
    <row r="1571" spans="1:19" ht="34.5" customHeight="1" x14ac:dyDescent="0.2">
      <c r="A1571" s="2">
        <v>307</v>
      </c>
      <c r="B1571" s="2">
        <v>2</v>
      </c>
      <c r="C1571" s="2" t="s">
        <v>489</v>
      </c>
      <c r="D1571" s="2" t="s">
        <v>39</v>
      </c>
      <c r="E1571" s="2">
        <v>20240708</v>
      </c>
      <c r="F1571" s="2">
        <v>20240708</v>
      </c>
      <c r="G1571" s="2">
        <v>7219</v>
      </c>
      <c r="H1571" s="2">
        <v>7219</v>
      </c>
      <c r="I1571" s="2">
        <v>46</v>
      </c>
      <c r="J1571" s="2" t="s">
        <v>125</v>
      </c>
      <c r="K1571" s="2" t="s">
        <v>41</v>
      </c>
      <c r="L1571" s="2" t="s">
        <v>5131</v>
      </c>
      <c r="M1571" s="7" t="s">
        <v>5132</v>
      </c>
      <c r="N1571" s="7" t="s">
        <v>5133</v>
      </c>
      <c r="O1571" s="2"/>
      <c r="P1571" s="2"/>
      <c r="Q1571" s="2" t="str">
        <f>IF(SUMPRODUCT(--ISNUMBER(SEARCH('National Domains'!$A$2:$A$48,L1571)))&gt;0,"Yes","No")</f>
        <v>No</v>
      </c>
      <c r="R1571" s="2" t="str">
        <f>IF(COUNTIFS(Calibration!$A:$A,A1571,Calibration!$B:$B,B1571)&gt;0,"Yes","No")</f>
        <v>No</v>
      </c>
      <c r="S1571" s="6"/>
    </row>
    <row r="1572" spans="1:19" ht="34.5" customHeight="1" x14ac:dyDescent="0.2">
      <c r="A1572" s="2">
        <v>307</v>
      </c>
      <c r="B1572" s="2">
        <v>3</v>
      </c>
      <c r="C1572" s="2" t="s">
        <v>489</v>
      </c>
      <c r="D1572" s="2" t="s">
        <v>39</v>
      </c>
      <c r="E1572" s="2">
        <v>20240708</v>
      </c>
      <c r="F1572" s="2">
        <v>20240708</v>
      </c>
      <c r="G1572" s="2">
        <v>7219</v>
      </c>
      <c r="H1572" s="2">
        <v>7219</v>
      </c>
      <c r="I1572" s="2">
        <v>46</v>
      </c>
      <c r="J1572" s="2" t="s">
        <v>125</v>
      </c>
      <c r="K1572" s="2" t="s">
        <v>41</v>
      </c>
      <c r="L1572" s="2" t="s">
        <v>5134</v>
      </c>
      <c r="M1572" s="7" t="s">
        <v>5135</v>
      </c>
      <c r="N1572" s="7" t="s">
        <v>5136</v>
      </c>
      <c r="O1572" s="2"/>
      <c r="P1572" s="2"/>
      <c r="Q1572" s="2" t="str">
        <f>IF(SUMPRODUCT(--ISNUMBER(SEARCH('National Domains'!$A$2:$A$48,L1572)))&gt;0,"Yes","No")</f>
        <v>No</v>
      </c>
      <c r="R1572" s="2" t="str">
        <f>IF(COUNTIFS(Calibration!$A:$A,A1572,Calibration!$B:$B,B1572)&gt;0,"Yes","No")</f>
        <v>No</v>
      </c>
      <c r="S1572" s="6"/>
    </row>
    <row r="1573" spans="1:19" ht="23.25" customHeight="1" x14ac:dyDescent="0.2">
      <c r="A1573" s="2">
        <v>307</v>
      </c>
      <c r="B1573" s="2">
        <v>4</v>
      </c>
      <c r="C1573" s="2" t="s">
        <v>489</v>
      </c>
      <c r="D1573" s="2" t="s">
        <v>39</v>
      </c>
      <c r="E1573" s="2">
        <v>20240708</v>
      </c>
      <c r="F1573" s="2">
        <v>20240708</v>
      </c>
      <c r="G1573" s="2">
        <v>7219</v>
      </c>
      <c r="H1573" s="2">
        <v>7219</v>
      </c>
      <c r="I1573" s="2">
        <v>46</v>
      </c>
      <c r="J1573" s="2" t="s">
        <v>125</v>
      </c>
      <c r="K1573" s="2" t="s">
        <v>41</v>
      </c>
      <c r="L1573" s="2" t="s">
        <v>5137</v>
      </c>
      <c r="M1573" s="7" t="s">
        <v>5138</v>
      </c>
      <c r="N1573" s="7" t="s">
        <v>5139</v>
      </c>
      <c r="O1573" s="2"/>
      <c r="P1573" s="2"/>
      <c r="Q1573" s="2" t="str">
        <f>IF(SUMPRODUCT(--ISNUMBER(SEARCH('National Domains'!$A$2:$A$48,L1573)))&gt;0,"Yes","No")</f>
        <v>No</v>
      </c>
      <c r="R1573" s="2" t="str">
        <f>IF(COUNTIFS(Calibration!$A:$A,A1573,Calibration!$B:$B,B1573)&gt;0,"Yes","No")</f>
        <v>No</v>
      </c>
      <c r="S1573" s="6"/>
    </row>
    <row r="1574" spans="1:19" ht="34.5" customHeight="1" x14ac:dyDescent="0.2">
      <c r="A1574" s="2">
        <v>307</v>
      </c>
      <c r="B1574" s="2">
        <v>5</v>
      </c>
      <c r="C1574" s="2" t="s">
        <v>489</v>
      </c>
      <c r="D1574" s="2" t="s">
        <v>39</v>
      </c>
      <c r="E1574" s="2">
        <v>20240708</v>
      </c>
      <c r="F1574" s="2">
        <v>20240708</v>
      </c>
      <c r="G1574" s="2">
        <v>7219</v>
      </c>
      <c r="H1574" s="2">
        <v>7219</v>
      </c>
      <c r="I1574" s="2">
        <v>46</v>
      </c>
      <c r="J1574" s="2" t="s">
        <v>125</v>
      </c>
      <c r="K1574" s="2" t="s">
        <v>41</v>
      </c>
      <c r="L1574" s="2" t="s">
        <v>5140</v>
      </c>
      <c r="M1574" s="7" t="s">
        <v>5141</v>
      </c>
      <c r="N1574" s="7" t="s">
        <v>5142</v>
      </c>
      <c r="O1574" s="2"/>
      <c r="P1574" s="2"/>
      <c r="Q1574" s="2" t="str">
        <f>IF(SUMPRODUCT(--ISNUMBER(SEARCH('National Domains'!$A$2:$A$48,L1574)))&gt;0,"Yes","No")</f>
        <v>No</v>
      </c>
      <c r="R1574" s="2" t="str">
        <f>IF(COUNTIFS(Calibration!$A:$A,A1574,Calibration!$B:$B,B1574)&gt;0,"Yes","No")</f>
        <v>No</v>
      </c>
      <c r="S1574" s="6"/>
    </row>
    <row r="1575" spans="1:19" ht="34.5" customHeight="1" x14ac:dyDescent="0.2">
      <c r="A1575" s="2">
        <v>307</v>
      </c>
      <c r="B1575" s="2">
        <v>6</v>
      </c>
      <c r="C1575" s="2" t="s">
        <v>489</v>
      </c>
      <c r="D1575" s="2" t="s">
        <v>39</v>
      </c>
      <c r="E1575" s="2">
        <v>20240708</v>
      </c>
      <c r="F1575" s="2">
        <v>20240708</v>
      </c>
      <c r="G1575" s="2">
        <v>7219</v>
      </c>
      <c r="H1575" s="2">
        <v>7219</v>
      </c>
      <c r="I1575" s="2">
        <v>46</v>
      </c>
      <c r="J1575" s="2" t="s">
        <v>125</v>
      </c>
      <c r="K1575" s="2" t="s">
        <v>41</v>
      </c>
      <c r="L1575" s="2" t="s">
        <v>5143</v>
      </c>
      <c r="M1575" s="7" t="s">
        <v>5144</v>
      </c>
      <c r="N1575" s="7" t="s">
        <v>5145</v>
      </c>
      <c r="O1575" s="2"/>
      <c r="P1575" s="2"/>
      <c r="Q1575" s="2" t="str">
        <f>IF(SUMPRODUCT(--ISNUMBER(SEARCH('National Domains'!$A$2:$A$48,L1575)))&gt;0,"Yes","No")</f>
        <v>No</v>
      </c>
      <c r="R1575" s="2" t="str">
        <f>IF(COUNTIFS(Calibration!$A:$A,A1575,Calibration!$B:$B,B1575)&gt;0,"Yes","No")</f>
        <v>No</v>
      </c>
      <c r="S1575" s="6"/>
    </row>
    <row r="1576" spans="1:19" ht="34.5" customHeight="1" x14ac:dyDescent="0.2">
      <c r="A1576" s="2">
        <v>307</v>
      </c>
      <c r="B1576" s="2">
        <v>7</v>
      </c>
      <c r="C1576" s="2" t="s">
        <v>489</v>
      </c>
      <c r="D1576" s="2" t="s">
        <v>39</v>
      </c>
      <c r="E1576" s="2">
        <v>20240708</v>
      </c>
      <c r="F1576" s="2">
        <v>20240708</v>
      </c>
      <c r="G1576" s="2">
        <v>7219</v>
      </c>
      <c r="H1576" s="2">
        <v>7219</v>
      </c>
      <c r="I1576" s="2">
        <v>46</v>
      </c>
      <c r="J1576" s="2" t="s">
        <v>125</v>
      </c>
      <c r="K1576" s="2" t="s">
        <v>41</v>
      </c>
      <c r="L1576" s="2" t="s">
        <v>5146</v>
      </c>
      <c r="M1576" s="7" t="s">
        <v>5147</v>
      </c>
      <c r="N1576" s="7" t="s">
        <v>5148</v>
      </c>
      <c r="O1576" s="2"/>
      <c r="P1576" s="2"/>
      <c r="Q1576" s="2" t="str">
        <f>IF(SUMPRODUCT(--ISNUMBER(SEARCH('National Domains'!$A$2:$A$48,L1576)))&gt;0,"Yes","No")</f>
        <v>No</v>
      </c>
      <c r="R1576" s="2" t="str">
        <f>IF(COUNTIFS(Calibration!$A:$A,A1576,Calibration!$B:$B,B1576)&gt;0,"Yes","No")</f>
        <v>No</v>
      </c>
      <c r="S1576" s="6"/>
    </row>
    <row r="1577" spans="1:19" ht="34.5" customHeight="1" x14ac:dyDescent="0.2">
      <c r="A1577" s="2">
        <v>307</v>
      </c>
      <c r="B1577" s="2">
        <v>8</v>
      </c>
      <c r="C1577" s="2" t="s">
        <v>489</v>
      </c>
      <c r="D1577" s="2" t="s">
        <v>39</v>
      </c>
      <c r="E1577" s="2">
        <v>20240708</v>
      </c>
      <c r="F1577" s="2">
        <v>20240708</v>
      </c>
      <c r="G1577" s="2">
        <v>7219</v>
      </c>
      <c r="H1577" s="2">
        <v>7219</v>
      </c>
      <c r="I1577" s="2">
        <v>46</v>
      </c>
      <c r="J1577" s="2" t="s">
        <v>125</v>
      </c>
      <c r="K1577" s="2" t="s">
        <v>41</v>
      </c>
      <c r="L1577" s="2" t="s">
        <v>5149</v>
      </c>
      <c r="M1577" s="7" t="s">
        <v>5150</v>
      </c>
      <c r="N1577" s="7" t="s">
        <v>5151</v>
      </c>
      <c r="O1577" s="2"/>
      <c r="P1577" s="2"/>
      <c r="Q1577" s="2" t="str">
        <f>IF(SUMPRODUCT(--ISNUMBER(SEARCH('National Domains'!$A$2:$A$48,L1577)))&gt;0,"Yes","No")</f>
        <v>No</v>
      </c>
      <c r="R1577" s="2" t="str">
        <f>IF(COUNTIFS(Calibration!$A:$A,A1577,Calibration!$B:$B,B1577)&gt;0,"Yes","No")</f>
        <v>No</v>
      </c>
      <c r="S1577" s="6"/>
    </row>
    <row r="1578" spans="1:19" ht="23.25" customHeight="1" x14ac:dyDescent="0.2">
      <c r="A1578" s="2">
        <v>307</v>
      </c>
      <c r="B1578" s="2">
        <v>9</v>
      </c>
      <c r="C1578" s="2" t="s">
        <v>489</v>
      </c>
      <c r="D1578" s="2" t="s">
        <v>39</v>
      </c>
      <c r="E1578" s="2">
        <v>20240708</v>
      </c>
      <c r="F1578" s="2">
        <v>20240708</v>
      </c>
      <c r="G1578" s="2">
        <v>7219</v>
      </c>
      <c r="H1578" s="2">
        <v>7219</v>
      </c>
      <c r="I1578" s="2">
        <v>46</v>
      </c>
      <c r="J1578" s="2" t="s">
        <v>125</v>
      </c>
      <c r="K1578" s="2" t="s">
        <v>41</v>
      </c>
      <c r="L1578" s="2" t="s">
        <v>5152</v>
      </c>
      <c r="M1578" s="7" t="s">
        <v>5153</v>
      </c>
      <c r="N1578" s="7" t="s">
        <v>5154</v>
      </c>
      <c r="O1578" s="2"/>
      <c r="P1578" s="2"/>
      <c r="Q1578" s="2" t="str">
        <f>IF(SUMPRODUCT(--ISNUMBER(SEARCH('National Domains'!$A$2:$A$48,L1578)))&gt;0,"Yes","No")</f>
        <v>Yes</v>
      </c>
      <c r="R1578" s="2" t="str">
        <f>IF(COUNTIFS(Calibration!$A:$A,A1578,Calibration!$B:$B,B1578)&gt;0,"Yes","No")</f>
        <v>No</v>
      </c>
      <c r="S1578" s="6"/>
    </row>
    <row r="1579" spans="1:19" ht="34.5" customHeight="1" x14ac:dyDescent="0.2">
      <c r="A1579" s="2">
        <v>307</v>
      </c>
      <c r="B1579" s="2">
        <v>10</v>
      </c>
      <c r="C1579" s="2" t="s">
        <v>489</v>
      </c>
      <c r="D1579" s="2" t="s">
        <v>39</v>
      </c>
      <c r="E1579" s="2">
        <v>20240708</v>
      </c>
      <c r="F1579" s="2">
        <v>20240708</v>
      </c>
      <c r="G1579" s="2">
        <v>7219</v>
      </c>
      <c r="H1579" s="2">
        <v>7219</v>
      </c>
      <c r="I1579" s="2">
        <v>46</v>
      </c>
      <c r="J1579" s="2" t="s">
        <v>125</v>
      </c>
      <c r="K1579" s="2" t="s">
        <v>41</v>
      </c>
      <c r="L1579" s="2" t="s">
        <v>5155</v>
      </c>
      <c r="M1579" s="7" t="s">
        <v>5156</v>
      </c>
      <c r="N1579" s="7" t="s">
        <v>5157</v>
      </c>
      <c r="O1579" s="2"/>
      <c r="P1579" s="2"/>
      <c r="Q1579" s="2" t="str">
        <f>IF(SUMPRODUCT(--ISNUMBER(SEARCH('National Domains'!$A$2:$A$48,L1579)))&gt;0,"Yes","No")</f>
        <v>Yes</v>
      </c>
      <c r="R1579" s="2" t="str">
        <f>IF(COUNTIFS(Calibration!$A:$A,A1579,Calibration!$B:$B,B1579)&gt;0,"Yes","No")</f>
        <v>No</v>
      </c>
      <c r="S1579" s="6"/>
    </row>
    <row r="1580" spans="1:19" ht="23.25" customHeight="1" x14ac:dyDescent="0.2">
      <c r="A1580" s="2">
        <v>307</v>
      </c>
      <c r="B1580" s="2">
        <v>11</v>
      </c>
      <c r="C1580" s="2" t="s">
        <v>489</v>
      </c>
      <c r="D1580" s="2" t="s">
        <v>39</v>
      </c>
      <c r="E1580" s="2">
        <v>20240708</v>
      </c>
      <c r="F1580" s="2">
        <v>20240708</v>
      </c>
      <c r="G1580" s="2">
        <v>7219</v>
      </c>
      <c r="H1580" s="2">
        <v>7219</v>
      </c>
      <c r="I1580" s="2">
        <v>46</v>
      </c>
      <c r="J1580" s="2" t="s">
        <v>125</v>
      </c>
      <c r="K1580" s="2" t="s">
        <v>41</v>
      </c>
      <c r="L1580" s="2" t="s">
        <v>5158</v>
      </c>
      <c r="M1580" s="7" t="s">
        <v>5159</v>
      </c>
      <c r="N1580" s="7" t="s">
        <v>5160</v>
      </c>
      <c r="O1580" s="2"/>
      <c r="P1580" s="2"/>
      <c r="Q1580" s="2" t="str">
        <f>IF(SUMPRODUCT(--ISNUMBER(SEARCH('National Domains'!$A$2:$A$48,L1580)))&gt;0,"Yes","No")</f>
        <v>No</v>
      </c>
      <c r="R1580" s="2" t="str">
        <f>IF(COUNTIFS(Calibration!$A:$A,A1580,Calibration!$B:$B,B1580)&gt;0,"Yes","No")</f>
        <v>No</v>
      </c>
      <c r="S1580" s="6"/>
    </row>
    <row r="1581" spans="1:19" ht="34.5" customHeight="1" x14ac:dyDescent="0.2">
      <c r="A1581" s="2">
        <v>307</v>
      </c>
      <c r="B1581" s="2">
        <v>12</v>
      </c>
      <c r="C1581" s="2" t="s">
        <v>489</v>
      </c>
      <c r="D1581" s="2" t="s">
        <v>39</v>
      </c>
      <c r="E1581" s="2">
        <v>20240708</v>
      </c>
      <c r="F1581" s="2">
        <v>20240708</v>
      </c>
      <c r="G1581" s="2">
        <v>7219</v>
      </c>
      <c r="H1581" s="2">
        <v>7219</v>
      </c>
      <c r="I1581" s="2">
        <v>46</v>
      </c>
      <c r="J1581" s="2" t="s">
        <v>125</v>
      </c>
      <c r="K1581" s="2" t="s">
        <v>41</v>
      </c>
      <c r="L1581" s="2" t="s">
        <v>5161</v>
      </c>
      <c r="M1581" s="7" t="s">
        <v>5162</v>
      </c>
      <c r="N1581" s="7" t="s">
        <v>5163</v>
      </c>
      <c r="O1581" s="2"/>
      <c r="P1581" s="2"/>
      <c r="Q1581" s="2" t="str">
        <f>IF(SUMPRODUCT(--ISNUMBER(SEARCH('National Domains'!$A$2:$A$48,L1581)))&gt;0,"Yes","No")</f>
        <v>No</v>
      </c>
      <c r="R1581" s="2" t="str">
        <f>IF(COUNTIFS(Calibration!$A:$A,A1581,Calibration!$B:$B,B1581)&gt;0,"Yes","No")</f>
        <v>No</v>
      </c>
      <c r="S1581" s="6"/>
    </row>
    <row r="1582" spans="1:19" ht="34.5" customHeight="1" x14ac:dyDescent="0.2">
      <c r="A1582" s="2">
        <v>307</v>
      </c>
      <c r="B1582" s="2">
        <v>13</v>
      </c>
      <c r="C1582" s="2" t="s">
        <v>489</v>
      </c>
      <c r="D1582" s="2" t="s">
        <v>39</v>
      </c>
      <c r="E1582" s="2">
        <v>20240708</v>
      </c>
      <c r="F1582" s="2">
        <v>20240708</v>
      </c>
      <c r="G1582" s="2">
        <v>7219</v>
      </c>
      <c r="H1582" s="2">
        <v>7219</v>
      </c>
      <c r="I1582" s="2">
        <v>46</v>
      </c>
      <c r="J1582" s="2" t="s">
        <v>125</v>
      </c>
      <c r="K1582" s="2" t="s">
        <v>41</v>
      </c>
      <c r="L1582" s="2" t="s">
        <v>5164</v>
      </c>
      <c r="M1582" s="7" t="s">
        <v>5165</v>
      </c>
      <c r="N1582" s="7" t="s">
        <v>5166</v>
      </c>
      <c r="O1582" s="2"/>
      <c r="P1582" s="2"/>
      <c r="Q1582" s="2" t="str">
        <f>IF(SUMPRODUCT(--ISNUMBER(SEARCH('National Domains'!$A$2:$A$48,L1582)))&gt;0,"Yes","No")</f>
        <v>No</v>
      </c>
      <c r="R1582" s="2" t="str">
        <f>IF(COUNTIFS(Calibration!$A:$A,A1582,Calibration!$B:$B,B1582)&gt;0,"Yes","No")</f>
        <v>No</v>
      </c>
      <c r="S1582" s="6"/>
    </row>
    <row r="1583" spans="1:19" ht="34.5" customHeight="1" x14ac:dyDescent="0.2">
      <c r="A1583" s="2">
        <v>307</v>
      </c>
      <c r="B1583" s="2">
        <v>14</v>
      </c>
      <c r="C1583" s="2" t="s">
        <v>489</v>
      </c>
      <c r="D1583" s="2" t="s">
        <v>39</v>
      </c>
      <c r="E1583" s="2">
        <v>20240708</v>
      </c>
      <c r="F1583" s="2">
        <v>20240708</v>
      </c>
      <c r="G1583" s="2">
        <v>7219</v>
      </c>
      <c r="H1583" s="2">
        <v>7219</v>
      </c>
      <c r="I1583" s="2">
        <v>46</v>
      </c>
      <c r="J1583" s="2" t="s">
        <v>125</v>
      </c>
      <c r="K1583" s="2" t="s">
        <v>41</v>
      </c>
      <c r="L1583" s="2" t="s">
        <v>5167</v>
      </c>
      <c r="M1583" s="7" t="s">
        <v>5168</v>
      </c>
      <c r="N1583" s="7" t="s">
        <v>5169</v>
      </c>
      <c r="O1583" s="2"/>
      <c r="P1583" s="2"/>
      <c r="Q1583" s="2" t="str">
        <f>IF(SUMPRODUCT(--ISNUMBER(SEARCH('National Domains'!$A$2:$A$48,L1583)))&gt;0,"Yes","No")</f>
        <v>Yes</v>
      </c>
      <c r="R1583" s="2" t="str">
        <f>IF(COUNTIFS(Calibration!$A:$A,A1583,Calibration!$B:$B,B1583)&gt;0,"Yes","No")</f>
        <v>No</v>
      </c>
      <c r="S1583" s="6"/>
    </row>
    <row r="1584" spans="1:19" ht="34.5" customHeight="1" x14ac:dyDescent="0.2">
      <c r="A1584" s="2">
        <v>308</v>
      </c>
      <c r="B1584" s="2">
        <v>1</v>
      </c>
      <c r="C1584" s="2" t="s">
        <v>490</v>
      </c>
      <c r="D1584" s="2" t="s">
        <v>17</v>
      </c>
      <c r="E1584" s="2">
        <v>20240713</v>
      </c>
      <c r="F1584" s="2">
        <v>20240716</v>
      </c>
      <c r="G1584" s="2">
        <v>2435</v>
      </c>
      <c r="H1584" s="2">
        <v>2435</v>
      </c>
      <c r="I1584" s="2">
        <v>2</v>
      </c>
      <c r="J1584" s="2" t="s">
        <v>250</v>
      </c>
      <c r="K1584" s="2" t="s">
        <v>251</v>
      </c>
      <c r="L1584" s="2" t="s">
        <v>5170</v>
      </c>
      <c r="M1584" s="7" t="s">
        <v>5171</v>
      </c>
      <c r="N1584" s="7" t="s">
        <v>5172</v>
      </c>
      <c r="O1584" s="2"/>
      <c r="P1584" s="2"/>
      <c r="Q1584" s="2" t="str">
        <f>IF(SUMPRODUCT(--ISNUMBER(SEARCH('National Domains'!$A$2:$A$48,L1584)))&gt;0,"Yes","No")</f>
        <v>Yes</v>
      </c>
      <c r="R1584" s="2" t="str">
        <f>IF(COUNTIFS(Calibration!$A:$A,A1584,Calibration!$B:$B,B1584)&gt;0,"Yes","No")</f>
        <v>No</v>
      </c>
      <c r="S1584" s="6"/>
    </row>
    <row r="1585" spans="1:19" ht="34.5" customHeight="1" x14ac:dyDescent="0.2">
      <c r="A1585" s="2">
        <v>308</v>
      </c>
      <c r="B1585" s="2">
        <v>2</v>
      </c>
      <c r="C1585" s="2" t="s">
        <v>490</v>
      </c>
      <c r="D1585" s="2" t="s">
        <v>17</v>
      </c>
      <c r="E1585" s="2">
        <v>20240713</v>
      </c>
      <c r="F1585" s="2">
        <v>20240716</v>
      </c>
      <c r="G1585" s="2">
        <v>2435</v>
      </c>
      <c r="H1585" s="2">
        <v>2435</v>
      </c>
      <c r="I1585" s="2">
        <v>2</v>
      </c>
      <c r="J1585" s="2" t="s">
        <v>250</v>
      </c>
      <c r="K1585" s="2" t="s">
        <v>251</v>
      </c>
      <c r="L1585" s="2" t="s">
        <v>5173</v>
      </c>
      <c r="M1585" s="7" t="s">
        <v>5174</v>
      </c>
      <c r="N1585" s="7" t="s">
        <v>5175</v>
      </c>
      <c r="O1585" s="2"/>
      <c r="P1585" s="2"/>
      <c r="Q1585" s="2" t="str">
        <f>IF(SUMPRODUCT(--ISNUMBER(SEARCH('National Domains'!$A$2:$A$48,L1585)))&gt;0,"Yes","No")</f>
        <v>No</v>
      </c>
      <c r="R1585" s="2" t="str">
        <f>IF(COUNTIFS(Calibration!$A:$A,A1585,Calibration!$B:$B,B1585)&gt;0,"Yes","No")</f>
        <v>No</v>
      </c>
      <c r="S1585" s="6"/>
    </row>
    <row r="1586" spans="1:19" ht="34.5" customHeight="1" x14ac:dyDescent="0.2">
      <c r="A1586" s="2">
        <v>309</v>
      </c>
      <c r="B1586" s="2">
        <v>1</v>
      </c>
      <c r="C1586" s="2" t="s">
        <v>491</v>
      </c>
      <c r="D1586" s="2" t="s">
        <v>39</v>
      </c>
      <c r="E1586" s="2">
        <v>20240805</v>
      </c>
      <c r="F1586" s="2">
        <v>20240809</v>
      </c>
      <c r="G1586" s="2">
        <v>2476</v>
      </c>
      <c r="H1586" s="2">
        <v>2476</v>
      </c>
      <c r="I1586" s="2">
        <v>17</v>
      </c>
      <c r="J1586" s="2" t="s">
        <v>78</v>
      </c>
      <c r="K1586" s="2" t="s">
        <v>27</v>
      </c>
      <c r="L1586" s="2" t="s">
        <v>5176</v>
      </c>
      <c r="M1586" s="7" t="s">
        <v>5177</v>
      </c>
      <c r="N1586" s="7" t="s">
        <v>5178</v>
      </c>
      <c r="O1586" s="2"/>
      <c r="P1586" s="2"/>
      <c r="Q1586" s="2" t="str">
        <f>IF(SUMPRODUCT(--ISNUMBER(SEARCH('National Domains'!$A$2:$A$48,L1586)))&gt;0,"Yes","No")</f>
        <v>No</v>
      </c>
      <c r="R1586" s="2" t="str">
        <f>IF(COUNTIFS(Calibration!$A:$A,A1586,Calibration!$B:$B,B1586)&gt;0,"Yes","No")</f>
        <v>No</v>
      </c>
      <c r="S1586" s="6"/>
    </row>
    <row r="1587" spans="1:19" ht="34.5" customHeight="1" x14ac:dyDescent="0.2">
      <c r="A1587" s="2">
        <v>309</v>
      </c>
      <c r="B1587" s="2">
        <v>2</v>
      </c>
      <c r="C1587" s="2" t="s">
        <v>491</v>
      </c>
      <c r="D1587" s="2" t="s">
        <v>39</v>
      </c>
      <c r="E1587" s="2">
        <v>20240805</v>
      </c>
      <c r="F1587" s="2">
        <v>20240809</v>
      </c>
      <c r="G1587" s="2">
        <v>2476</v>
      </c>
      <c r="H1587" s="2">
        <v>2476</v>
      </c>
      <c r="I1587" s="2">
        <v>17</v>
      </c>
      <c r="J1587" s="2" t="s">
        <v>78</v>
      </c>
      <c r="K1587" s="2" t="s">
        <v>27</v>
      </c>
      <c r="L1587" s="2" t="s">
        <v>5179</v>
      </c>
      <c r="M1587" s="7" t="s">
        <v>5180</v>
      </c>
      <c r="N1587" s="7" t="s">
        <v>5181</v>
      </c>
      <c r="O1587" s="2"/>
      <c r="P1587" s="2"/>
      <c r="Q1587" s="2" t="str">
        <f>IF(SUMPRODUCT(--ISNUMBER(SEARCH('National Domains'!$A$2:$A$48,L1587)))&gt;0,"Yes","No")</f>
        <v>No</v>
      </c>
      <c r="R1587" s="2" t="str">
        <f>IF(COUNTIFS(Calibration!$A:$A,A1587,Calibration!$B:$B,B1587)&gt;0,"Yes","No")</f>
        <v>No</v>
      </c>
      <c r="S1587" s="6"/>
    </row>
    <row r="1588" spans="1:19" ht="34.5" customHeight="1" x14ac:dyDescent="0.2">
      <c r="A1588" s="2">
        <v>309</v>
      </c>
      <c r="B1588" s="2">
        <v>3</v>
      </c>
      <c r="C1588" s="2" t="s">
        <v>491</v>
      </c>
      <c r="D1588" s="2" t="s">
        <v>39</v>
      </c>
      <c r="E1588" s="2">
        <v>20240805</v>
      </c>
      <c r="F1588" s="2">
        <v>20240809</v>
      </c>
      <c r="G1588" s="2">
        <v>2476</v>
      </c>
      <c r="H1588" s="2">
        <v>2476</v>
      </c>
      <c r="I1588" s="2">
        <v>17</v>
      </c>
      <c r="J1588" s="2" t="s">
        <v>78</v>
      </c>
      <c r="K1588" s="2" t="s">
        <v>27</v>
      </c>
      <c r="L1588" s="2" t="s">
        <v>5182</v>
      </c>
      <c r="M1588" s="7" t="s">
        <v>5183</v>
      </c>
      <c r="N1588" s="7" t="s">
        <v>5184</v>
      </c>
      <c r="O1588" s="2"/>
      <c r="P1588" s="2"/>
      <c r="Q1588" s="2" t="str">
        <f>IF(SUMPRODUCT(--ISNUMBER(SEARCH('National Domains'!$A$2:$A$48,L1588)))&gt;0,"Yes","No")</f>
        <v>No</v>
      </c>
      <c r="R1588" s="2" t="str">
        <f>IF(COUNTIFS(Calibration!$A:$A,A1588,Calibration!$B:$B,B1588)&gt;0,"Yes","No")</f>
        <v>No</v>
      </c>
      <c r="S1588" s="6"/>
    </row>
    <row r="1589" spans="1:19" ht="34.5" customHeight="1" x14ac:dyDescent="0.2">
      <c r="A1589" s="2">
        <v>309</v>
      </c>
      <c r="B1589" s="2">
        <v>4</v>
      </c>
      <c r="C1589" s="2" t="s">
        <v>491</v>
      </c>
      <c r="D1589" s="2" t="s">
        <v>39</v>
      </c>
      <c r="E1589" s="2">
        <v>20240805</v>
      </c>
      <c r="F1589" s="2">
        <v>20240809</v>
      </c>
      <c r="G1589" s="2">
        <v>2476</v>
      </c>
      <c r="H1589" s="2">
        <v>2476</v>
      </c>
      <c r="I1589" s="2">
        <v>17</v>
      </c>
      <c r="J1589" s="2" t="s">
        <v>78</v>
      </c>
      <c r="K1589" s="2" t="s">
        <v>27</v>
      </c>
      <c r="L1589" s="2" t="s">
        <v>5185</v>
      </c>
      <c r="M1589" s="7" t="s">
        <v>5186</v>
      </c>
      <c r="N1589" s="7" t="s">
        <v>5187</v>
      </c>
      <c r="O1589" s="2"/>
      <c r="P1589" s="2"/>
      <c r="Q1589" s="2" t="str">
        <f>IF(SUMPRODUCT(--ISNUMBER(SEARCH('National Domains'!$A$2:$A$48,L1589)))&gt;0,"Yes","No")</f>
        <v>No</v>
      </c>
      <c r="R1589" s="2" t="str">
        <f>IF(COUNTIFS(Calibration!$A:$A,A1589,Calibration!$B:$B,B1589)&gt;0,"Yes","No")</f>
        <v>No</v>
      </c>
      <c r="S1589" s="6"/>
    </row>
    <row r="1590" spans="1:19" ht="34.5" customHeight="1" x14ac:dyDescent="0.2">
      <c r="A1590" s="2">
        <v>309</v>
      </c>
      <c r="B1590" s="2">
        <v>5</v>
      </c>
      <c r="C1590" s="2" t="s">
        <v>491</v>
      </c>
      <c r="D1590" s="2" t="s">
        <v>39</v>
      </c>
      <c r="E1590" s="2">
        <v>20240805</v>
      </c>
      <c r="F1590" s="2">
        <v>20240809</v>
      </c>
      <c r="G1590" s="2">
        <v>2476</v>
      </c>
      <c r="H1590" s="2">
        <v>2476</v>
      </c>
      <c r="I1590" s="2">
        <v>17</v>
      </c>
      <c r="J1590" s="2" t="s">
        <v>78</v>
      </c>
      <c r="K1590" s="2" t="s">
        <v>27</v>
      </c>
      <c r="L1590" s="2" t="s">
        <v>5188</v>
      </c>
      <c r="M1590" s="7" t="s">
        <v>5189</v>
      </c>
      <c r="N1590" s="7" t="s">
        <v>5190</v>
      </c>
      <c r="O1590" s="2"/>
      <c r="P1590" s="2"/>
      <c r="Q1590" s="2" t="str">
        <f>IF(SUMPRODUCT(--ISNUMBER(SEARCH('National Domains'!$A$2:$A$48,L1590)))&gt;0,"Yes","No")</f>
        <v>No</v>
      </c>
      <c r="R1590" s="2" t="str">
        <f>IF(COUNTIFS(Calibration!$A:$A,A1590,Calibration!$B:$B,B1590)&gt;0,"Yes","No")</f>
        <v>No</v>
      </c>
      <c r="S1590" s="6"/>
    </row>
    <row r="1591" spans="1:19" ht="34.5" customHeight="1" x14ac:dyDescent="0.2">
      <c r="A1591" s="2">
        <v>309</v>
      </c>
      <c r="B1591" s="2">
        <v>6</v>
      </c>
      <c r="C1591" s="2" t="s">
        <v>491</v>
      </c>
      <c r="D1591" s="2" t="s">
        <v>39</v>
      </c>
      <c r="E1591" s="2">
        <v>20240805</v>
      </c>
      <c r="F1591" s="2">
        <v>20240809</v>
      </c>
      <c r="G1591" s="2">
        <v>2476</v>
      </c>
      <c r="H1591" s="2">
        <v>2476</v>
      </c>
      <c r="I1591" s="2">
        <v>17</v>
      </c>
      <c r="J1591" s="2" t="s">
        <v>78</v>
      </c>
      <c r="K1591" s="2" t="s">
        <v>27</v>
      </c>
      <c r="L1591" s="2" t="s">
        <v>5191</v>
      </c>
      <c r="M1591" s="7" t="s">
        <v>5192</v>
      </c>
      <c r="N1591" s="7" t="s">
        <v>5193</v>
      </c>
      <c r="O1591" s="2"/>
      <c r="P1591" s="2"/>
      <c r="Q1591" s="2" t="str">
        <f>IF(SUMPRODUCT(--ISNUMBER(SEARCH('National Domains'!$A$2:$A$48,L1591)))&gt;0,"Yes","No")</f>
        <v>No</v>
      </c>
      <c r="R1591" s="2" t="str">
        <f>IF(COUNTIFS(Calibration!$A:$A,A1591,Calibration!$B:$B,B1591)&gt;0,"Yes","No")</f>
        <v>No</v>
      </c>
      <c r="S1591" s="6"/>
    </row>
    <row r="1592" spans="1:19" ht="34.5" customHeight="1" x14ac:dyDescent="0.2">
      <c r="A1592" s="2">
        <v>309</v>
      </c>
      <c r="B1592" s="2">
        <v>7</v>
      </c>
      <c r="C1592" s="2" t="s">
        <v>491</v>
      </c>
      <c r="D1592" s="2" t="s">
        <v>39</v>
      </c>
      <c r="E1592" s="2">
        <v>20240805</v>
      </c>
      <c r="F1592" s="2">
        <v>20240809</v>
      </c>
      <c r="G1592" s="2">
        <v>2476</v>
      </c>
      <c r="H1592" s="2">
        <v>2476</v>
      </c>
      <c r="I1592" s="2">
        <v>17</v>
      </c>
      <c r="J1592" s="2" t="s">
        <v>78</v>
      </c>
      <c r="K1592" s="2" t="s">
        <v>27</v>
      </c>
      <c r="L1592" s="2" t="s">
        <v>5194</v>
      </c>
      <c r="M1592" s="7" t="s">
        <v>5195</v>
      </c>
      <c r="N1592" s="7" t="s">
        <v>5196</v>
      </c>
      <c r="O1592" s="2"/>
      <c r="P1592" s="2"/>
      <c r="Q1592" s="2" t="str">
        <f>IF(SUMPRODUCT(--ISNUMBER(SEARCH('National Domains'!$A$2:$A$48,L1592)))&gt;0,"Yes","No")</f>
        <v>No</v>
      </c>
      <c r="R1592" s="2" t="str">
        <f>IF(COUNTIFS(Calibration!$A:$A,A1592,Calibration!$B:$B,B1592)&gt;0,"Yes","No")</f>
        <v>No</v>
      </c>
      <c r="S1592" s="6"/>
    </row>
    <row r="1593" spans="1:19" ht="34.5" customHeight="1" x14ac:dyDescent="0.2">
      <c r="A1593" s="2">
        <v>309</v>
      </c>
      <c r="B1593" s="2">
        <v>8</v>
      </c>
      <c r="C1593" s="2" t="s">
        <v>491</v>
      </c>
      <c r="D1593" s="2" t="s">
        <v>39</v>
      </c>
      <c r="E1593" s="2">
        <v>20240805</v>
      </c>
      <c r="F1593" s="2">
        <v>20240809</v>
      </c>
      <c r="G1593" s="2">
        <v>2476</v>
      </c>
      <c r="H1593" s="2">
        <v>2476</v>
      </c>
      <c r="I1593" s="2">
        <v>17</v>
      </c>
      <c r="J1593" s="2" t="s">
        <v>78</v>
      </c>
      <c r="K1593" s="2" t="s">
        <v>27</v>
      </c>
      <c r="L1593" s="2" t="s">
        <v>5197</v>
      </c>
      <c r="M1593" s="7" t="s">
        <v>5198</v>
      </c>
      <c r="N1593" s="7" t="s">
        <v>5199</v>
      </c>
      <c r="O1593" s="2"/>
      <c r="P1593" s="2"/>
      <c r="Q1593" s="2" t="str">
        <f>IF(SUMPRODUCT(--ISNUMBER(SEARCH('National Domains'!$A$2:$A$48,L1593)))&gt;0,"Yes","No")</f>
        <v>No</v>
      </c>
      <c r="R1593" s="2" t="str">
        <f>IF(COUNTIFS(Calibration!$A:$A,A1593,Calibration!$B:$B,B1593)&gt;0,"Yes","No")</f>
        <v>No</v>
      </c>
      <c r="S1593" s="6"/>
    </row>
    <row r="1594" spans="1:19" ht="34.5" customHeight="1" x14ac:dyDescent="0.2">
      <c r="A1594" s="2">
        <v>309</v>
      </c>
      <c r="B1594" s="2">
        <v>9</v>
      </c>
      <c r="C1594" s="2" t="s">
        <v>491</v>
      </c>
      <c r="D1594" s="2" t="s">
        <v>39</v>
      </c>
      <c r="E1594" s="2">
        <v>20240805</v>
      </c>
      <c r="F1594" s="2">
        <v>20240809</v>
      </c>
      <c r="G1594" s="2">
        <v>2476</v>
      </c>
      <c r="H1594" s="2">
        <v>2476</v>
      </c>
      <c r="I1594" s="2">
        <v>17</v>
      </c>
      <c r="J1594" s="2" t="s">
        <v>78</v>
      </c>
      <c r="K1594" s="2" t="s">
        <v>27</v>
      </c>
      <c r="L1594" s="2" t="s">
        <v>5200</v>
      </c>
      <c r="M1594" s="7" t="s">
        <v>5201</v>
      </c>
      <c r="N1594" s="7" t="s">
        <v>5202</v>
      </c>
      <c r="O1594" s="2"/>
      <c r="P1594" s="2"/>
      <c r="Q1594" s="2" t="str">
        <f>IF(SUMPRODUCT(--ISNUMBER(SEARCH('National Domains'!$A$2:$A$48,L1594)))&gt;0,"Yes","No")</f>
        <v>No</v>
      </c>
      <c r="R1594" s="2" t="str">
        <f>IF(COUNTIFS(Calibration!$A:$A,A1594,Calibration!$B:$B,B1594)&gt;0,"Yes","No")</f>
        <v>No</v>
      </c>
      <c r="S1594" s="6"/>
    </row>
    <row r="1595" spans="1:19" ht="34.5" customHeight="1" x14ac:dyDescent="0.2">
      <c r="A1595" s="2">
        <v>309</v>
      </c>
      <c r="B1595" s="2">
        <v>10</v>
      </c>
      <c r="C1595" s="2" t="s">
        <v>491</v>
      </c>
      <c r="D1595" s="2" t="s">
        <v>39</v>
      </c>
      <c r="E1595" s="2">
        <v>20240805</v>
      </c>
      <c r="F1595" s="2">
        <v>20240809</v>
      </c>
      <c r="G1595" s="2">
        <v>2476</v>
      </c>
      <c r="H1595" s="2">
        <v>2476</v>
      </c>
      <c r="I1595" s="2">
        <v>17</v>
      </c>
      <c r="J1595" s="2" t="s">
        <v>78</v>
      </c>
      <c r="K1595" s="2" t="s">
        <v>27</v>
      </c>
      <c r="L1595" s="2" t="s">
        <v>5203</v>
      </c>
      <c r="M1595" s="7" t="s">
        <v>5204</v>
      </c>
      <c r="N1595" s="7" t="s">
        <v>5205</v>
      </c>
      <c r="O1595" s="2"/>
      <c r="P1595" s="2"/>
      <c r="Q1595" s="2" t="str">
        <f>IF(SUMPRODUCT(--ISNUMBER(SEARCH('National Domains'!$A$2:$A$48,L1595)))&gt;0,"Yes","No")</f>
        <v>No</v>
      </c>
      <c r="R1595" s="2" t="str">
        <f>IF(COUNTIFS(Calibration!$A:$A,A1595,Calibration!$B:$B,B1595)&gt;0,"Yes","No")</f>
        <v>No</v>
      </c>
      <c r="S1595" s="6"/>
    </row>
    <row r="1596" spans="1:19" ht="34.5" customHeight="1" x14ac:dyDescent="0.2">
      <c r="A1596" s="2">
        <v>309</v>
      </c>
      <c r="B1596" s="2">
        <v>11</v>
      </c>
      <c r="C1596" s="2" t="s">
        <v>491</v>
      </c>
      <c r="D1596" s="2" t="s">
        <v>39</v>
      </c>
      <c r="E1596" s="2">
        <v>20240805</v>
      </c>
      <c r="F1596" s="2">
        <v>20240809</v>
      </c>
      <c r="G1596" s="2">
        <v>2476</v>
      </c>
      <c r="H1596" s="2">
        <v>2476</v>
      </c>
      <c r="I1596" s="2">
        <v>17</v>
      </c>
      <c r="J1596" s="2" t="s">
        <v>78</v>
      </c>
      <c r="K1596" s="2" t="s">
        <v>27</v>
      </c>
      <c r="L1596" s="2" t="s">
        <v>5206</v>
      </c>
      <c r="M1596" s="7" t="s">
        <v>5207</v>
      </c>
      <c r="N1596" s="7" t="s">
        <v>5208</v>
      </c>
      <c r="O1596" s="2"/>
      <c r="P1596" s="2"/>
      <c r="Q1596" s="2" t="str">
        <f>IF(SUMPRODUCT(--ISNUMBER(SEARCH('National Domains'!$A$2:$A$48,L1596)))&gt;0,"Yes","No")</f>
        <v>No</v>
      </c>
      <c r="R1596" s="2" t="str">
        <f>IF(COUNTIFS(Calibration!$A:$A,A1596,Calibration!$B:$B,B1596)&gt;0,"Yes","No")</f>
        <v>No</v>
      </c>
      <c r="S1596" s="6"/>
    </row>
    <row r="1597" spans="1:19" ht="34.5" customHeight="1" x14ac:dyDescent="0.2">
      <c r="A1597" s="2">
        <v>309</v>
      </c>
      <c r="B1597" s="2">
        <v>12</v>
      </c>
      <c r="C1597" s="2" t="s">
        <v>491</v>
      </c>
      <c r="D1597" s="2" t="s">
        <v>39</v>
      </c>
      <c r="E1597" s="2">
        <v>20240805</v>
      </c>
      <c r="F1597" s="2">
        <v>20240809</v>
      </c>
      <c r="G1597" s="2">
        <v>2476</v>
      </c>
      <c r="H1597" s="2">
        <v>2476</v>
      </c>
      <c r="I1597" s="2">
        <v>17</v>
      </c>
      <c r="J1597" s="2" t="s">
        <v>78</v>
      </c>
      <c r="K1597" s="2" t="s">
        <v>27</v>
      </c>
      <c r="L1597" s="2" t="s">
        <v>5209</v>
      </c>
      <c r="M1597" s="7" t="s">
        <v>5210</v>
      </c>
      <c r="N1597" s="7" t="s">
        <v>5211</v>
      </c>
      <c r="O1597" s="2"/>
      <c r="P1597" s="2"/>
      <c r="Q1597" s="2" t="str">
        <f>IF(SUMPRODUCT(--ISNUMBER(SEARCH('National Domains'!$A$2:$A$48,L1597)))&gt;0,"Yes","No")</f>
        <v>No</v>
      </c>
      <c r="R1597" s="2" t="str">
        <f>IF(COUNTIFS(Calibration!$A:$A,A1597,Calibration!$B:$B,B1597)&gt;0,"Yes","No")</f>
        <v>No</v>
      </c>
      <c r="S1597" s="6"/>
    </row>
    <row r="1598" spans="1:19" ht="23.25" customHeight="1" x14ac:dyDescent="0.2">
      <c r="A1598" s="2">
        <v>309</v>
      </c>
      <c r="B1598" s="2">
        <v>13</v>
      </c>
      <c r="C1598" s="2" t="s">
        <v>491</v>
      </c>
      <c r="D1598" s="2" t="s">
        <v>39</v>
      </c>
      <c r="E1598" s="2">
        <v>20240805</v>
      </c>
      <c r="F1598" s="2">
        <v>20240809</v>
      </c>
      <c r="G1598" s="2">
        <v>2476</v>
      </c>
      <c r="H1598" s="2">
        <v>2476</v>
      </c>
      <c r="I1598" s="2">
        <v>17</v>
      </c>
      <c r="J1598" s="2" t="s">
        <v>78</v>
      </c>
      <c r="K1598" s="2" t="s">
        <v>27</v>
      </c>
      <c r="L1598" s="2" t="s">
        <v>5212</v>
      </c>
      <c r="M1598" s="7" t="s">
        <v>5213</v>
      </c>
      <c r="N1598" s="7" t="s">
        <v>5214</v>
      </c>
      <c r="O1598" s="2"/>
      <c r="P1598" s="2"/>
      <c r="Q1598" s="2" t="str">
        <f>IF(SUMPRODUCT(--ISNUMBER(SEARCH('National Domains'!$A$2:$A$48,L1598)))&gt;0,"Yes","No")</f>
        <v>No</v>
      </c>
      <c r="R1598" s="2" t="str">
        <f>IF(COUNTIFS(Calibration!$A:$A,A1598,Calibration!$B:$B,B1598)&gt;0,"Yes","No")</f>
        <v>No</v>
      </c>
      <c r="S1598" s="6"/>
    </row>
    <row r="1599" spans="1:19" ht="34.5" customHeight="1" x14ac:dyDescent="0.2">
      <c r="A1599" s="2">
        <v>309</v>
      </c>
      <c r="B1599" s="2">
        <v>14</v>
      </c>
      <c r="C1599" s="2" t="s">
        <v>491</v>
      </c>
      <c r="D1599" s="2" t="s">
        <v>39</v>
      </c>
      <c r="E1599" s="2">
        <v>20240805</v>
      </c>
      <c r="F1599" s="2">
        <v>20240809</v>
      </c>
      <c r="G1599" s="2">
        <v>2476</v>
      </c>
      <c r="H1599" s="2">
        <v>2476</v>
      </c>
      <c r="I1599" s="2">
        <v>17</v>
      </c>
      <c r="J1599" s="2" t="s">
        <v>78</v>
      </c>
      <c r="K1599" s="2" t="s">
        <v>27</v>
      </c>
      <c r="L1599" s="2" t="s">
        <v>5215</v>
      </c>
      <c r="M1599" s="7" t="s">
        <v>5216</v>
      </c>
      <c r="N1599" s="7" t="s">
        <v>5217</v>
      </c>
      <c r="O1599" s="2"/>
      <c r="P1599" s="2"/>
      <c r="Q1599" s="2" t="str">
        <f>IF(SUMPRODUCT(--ISNUMBER(SEARCH('National Domains'!$A$2:$A$48,L1599)))&gt;0,"Yes","No")</f>
        <v>No</v>
      </c>
      <c r="R1599" s="2" t="str">
        <f>IF(COUNTIFS(Calibration!$A:$A,A1599,Calibration!$B:$B,B1599)&gt;0,"Yes","No")</f>
        <v>No</v>
      </c>
      <c r="S1599" s="6"/>
    </row>
    <row r="1600" spans="1:19" ht="34.5" customHeight="1" x14ac:dyDescent="0.2">
      <c r="A1600" s="2">
        <v>309</v>
      </c>
      <c r="B1600" s="2">
        <v>15</v>
      </c>
      <c r="C1600" s="2" t="s">
        <v>491</v>
      </c>
      <c r="D1600" s="2" t="s">
        <v>39</v>
      </c>
      <c r="E1600" s="2">
        <v>20240805</v>
      </c>
      <c r="F1600" s="2">
        <v>20240809</v>
      </c>
      <c r="G1600" s="2">
        <v>2476</v>
      </c>
      <c r="H1600" s="2">
        <v>2476</v>
      </c>
      <c r="I1600" s="2">
        <v>17</v>
      </c>
      <c r="J1600" s="2" t="s">
        <v>78</v>
      </c>
      <c r="K1600" s="2" t="s">
        <v>27</v>
      </c>
      <c r="L1600" s="2" t="s">
        <v>5218</v>
      </c>
      <c r="M1600" s="7" t="s">
        <v>5219</v>
      </c>
      <c r="N1600" s="7" t="s">
        <v>5220</v>
      </c>
      <c r="O1600" s="2"/>
      <c r="P1600" s="2"/>
      <c r="Q1600" s="2" t="str">
        <f>IF(SUMPRODUCT(--ISNUMBER(SEARCH('National Domains'!$A$2:$A$48,L1600)))&gt;0,"Yes","No")</f>
        <v>No</v>
      </c>
      <c r="R1600" s="2" t="str">
        <f>IF(COUNTIFS(Calibration!$A:$A,A1600,Calibration!$B:$B,B1600)&gt;0,"Yes","No")</f>
        <v>No</v>
      </c>
      <c r="S1600" s="6"/>
    </row>
    <row r="1601" spans="1:19" ht="23.25" customHeight="1" x14ac:dyDescent="0.2">
      <c r="A1601" s="2">
        <v>309</v>
      </c>
      <c r="B1601" s="2">
        <v>16</v>
      </c>
      <c r="C1601" s="2" t="s">
        <v>491</v>
      </c>
      <c r="D1601" s="2" t="s">
        <v>39</v>
      </c>
      <c r="E1601" s="2">
        <v>20240805</v>
      </c>
      <c r="F1601" s="2">
        <v>20240809</v>
      </c>
      <c r="G1601" s="2">
        <v>2476</v>
      </c>
      <c r="H1601" s="2">
        <v>2476</v>
      </c>
      <c r="I1601" s="2">
        <v>17</v>
      </c>
      <c r="J1601" s="2" t="s">
        <v>78</v>
      </c>
      <c r="K1601" s="2" t="s">
        <v>27</v>
      </c>
      <c r="L1601" s="2" t="s">
        <v>5221</v>
      </c>
      <c r="M1601" s="7" t="s">
        <v>5222</v>
      </c>
      <c r="N1601" s="7" t="s">
        <v>5223</v>
      </c>
      <c r="O1601" s="2"/>
      <c r="P1601" s="2"/>
      <c r="Q1601" s="2" t="str">
        <f>IF(SUMPRODUCT(--ISNUMBER(SEARCH('National Domains'!$A$2:$A$48,L1601)))&gt;0,"Yes","No")</f>
        <v>Yes</v>
      </c>
      <c r="R1601" s="2" t="str">
        <f>IF(COUNTIFS(Calibration!$A:$A,A1601,Calibration!$B:$B,B1601)&gt;0,"Yes","No")</f>
        <v>No</v>
      </c>
      <c r="S1601" s="6"/>
    </row>
    <row r="1602" spans="1:19" ht="34.5" customHeight="1" x14ac:dyDescent="0.2">
      <c r="A1602" s="2">
        <v>309</v>
      </c>
      <c r="B1602" s="2">
        <v>17</v>
      </c>
      <c r="C1602" s="2" t="s">
        <v>491</v>
      </c>
      <c r="D1602" s="2" t="s">
        <v>39</v>
      </c>
      <c r="E1602" s="2">
        <v>20240805</v>
      </c>
      <c r="F1602" s="2">
        <v>20240809</v>
      </c>
      <c r="G1602" s="2">
        <v>2476</v>
      </c>
      <c r="H1602" s="2">
        <v>2476</v>
      </c>
      <c r="I1602" s="2">
        <v>17</v>
      </c>
      <c r="J1602" s="2" t="s">
        <v>78</v>
      </c>
      <c r="K1602" s="2" t="s">
        <v>27</v>
      </c>
      <c r="L1602" s="2" t="s">
        <v>5224</v>
      </c>
      <c r="M1602" s="7" t="s">
        <v>5225</v>
      </c>
      <c r="N1602" s="7" t="s">
        <v>5226</v>
      </c>
      <c r="O1602" s="2"/>
      <c r="P1602" s="2"/>
      <c r="Q1602" s="2" t="str">
        <f>IF(SUMPRODUCT(--ISNUMBER(SEARCH('National Domains'!$A$2:$A$48,L1602)))&gt;0,"Yes","No")</f>
        <v>Yes</v>
      </c>
      <c r="R1602" s="2" t="str">
        <f>IF(COUNTIFS(Calibration!$A:$A,A1602,Calibration!$B:$B,B1602)&gt;0,"Yes","No")</f>
        <v>No</v>
      </c>
      <c r="S1602" s="6"/>
    </row>
    <row r="1603" spans="1:19" ht="34.5" customHeight="1" x14ac:dyDescent="0.2">
      <c r="A1603" s="2">
        <v>309</v>
      </c>
      <c r="B1603" s="2">
        <v>18</v>
      </c>
      <c r="C1603" s="2" t="s">
        <v>491</v>
      </c>
      <c r="D1603" s="2" t="s">
        <v>39</v>
      </c>
      <c r="E1603" s="2">
        <v>20240805</v>
      </c>
      <c r="F1603" s="2">
        <v>20240809</v>
      </c>
      <c r="G1603" s="2">
        <v>2476</v>
      </c>
      <c r="H1603" s="2">
        <v>2476</v>
      </c>
      <c r="I1603" s="2">
        <v>17</v>
      </c>
      <c r="J1603" s="2" t="s">
        <v>78</v>
      </c>
      <c r="K1603" s="2" t="s">
        <v>27</v>
      </c>
      <c r="L1603" s="2" t="s">
        <v>5227</v>
      </c>
      <c r="M1603" s="7" t="s">
        <v>5228</v>
      </c>
      <c r="N1603" s="7" t="s">
        <v>5229</v>
      </c>
      <c r="O1603" s="2"/>
      <c r="P1603" s="2"/>
      <c r="Q1603" s="2" t="str">
        <f>IF(SUMPRODUCT(--ISNUMBER(SEARCH('National Domains'!$A$2:$A$48,L1603)))&gt;0,"Yes","No")</f>
        <v>Yes</v>
      </c>
      <c r="R1603" s="2" t="str">
        <f>IF(COUNTIFS(Calibration!$A:$A,A1603,Calibration!$B:$B,B1603)&gt;0,"Yes","No")</f>
        <v>No</v>
      </c>
      <c r="S1603" s="6"/>
    </row>
    <row r="1604" spans="1:19" ht="34.5" customHeight="1" x14ac:dyDescent="0.2">
      <c r="A1604" s="2">
        <v>309</v>
      </c>
      <c r="B1604" s="2">
        <v>19</v>
      </c>
      <c r="C1604" s="2" t="s">
        <v>491</v>
      </c>
      <c r="D1604" s="2" t="s">
        <v>39</v>
      </c>
      <c r="E1604" s="2">
        <v>20240805</v>
      </c>
      <c r="F1604" s="2">
        <v>20240809</v>
      </c>
      <c r="G1604" s="2">
        <v>2476</v>
      </c>
      <c r="H1604" s="2">
        <v>2476</v>
      </c>
      <c r="I1604" s="2">
        <v>17</v>
      </c>
      <c r="J1604" s="2" t="s">
        <v>78</v>
      </c>
      <c r="K1604" s="2" t="s">
        <v>27</v>
      </c>
      <c r="L1604" s="2" t="s">
        <v>5230</v>
      </c>
      <c r="M1604" s="7" t="s">
        <v>5231</v>
      </c>
      <c r="N1604" s="7" t="s">
        <v>5232</v>
      </c>
      <c r="O1604" s="2"/>
      <c r="P1604" s="2"/>
      <c r="Q1604" s="2" t="str">
        <f>IF(SUMPRODUCT(--ISNUMBER(SEARCH('National Domains'!$A$2:$A$48,L1604)))&gt;0,"Yes","No")</f>
        <v>Yes</v>
      </c>
      <c r="R1604" s="2" t="str">
        <f>IF(COUNTIFS(Calibration!$A:$A,A1604,Calibration!$B:$B,B1604)&gt;0,"Yes","No")</f>
        <v>No</v>
      </c>
      <c r="S1604" s="6"/>
    </row>
    <row r="1605" spans="1:19" ht="34.5" customHeight="1" x14ac:dyDescent="0.2">
      <c r="A1605" s="2">
        <v>309</v>
      </c>
      <c r="B1605" s="2">
        <v>20</v>
      </c>
      <c r="C1605" s="2" t="s">
        <v>491</v>
      </c>
      <c r="D1605" s="2" t="s">
        <v>39</v>
      </c>
      <c r="E1605" s="2">
        <v>20240805</v>
      </c>
      <c r="F1605" s="2">
        <v>20240809</v>
      </c>
      <c r="G1605" s="2">
        <v>2476</v>
      </c>
      <c r="H1605" s="2">
        <v>2476</v>
      </c>
      <c r="I1605" s="2">
        <v>17</v>
      </c>
      <c r="J1605" s="2" t="s">
        <v>78</v>
      </c>
      <c r="K1605" s="2" t="s">
        <v>27</v>
      </c>
      <c r="L1605" s="2" t="s">
        <v>5233</v>
      </c>
      <c r="M1605" s="7" t="s">
        <v>5234</v>
      </c>
      <c r="N1605" s="7" t="s">
        <v>5235</v>
      </c>
      <c r="O1605" s="2"/>
      <c r="P1605" s="2"/>
      <c r="Q1605" s="2" t="str">
        <f>IF(SUMPRODUCT(--ISNUMBER(SEARCH('National Domains'!$A$2:$A$48,L1605)))&gt;0,"Yes","No")</f>
        <v>Yes</v>
      </c>
      <c r="R1605" s="2" t="str">
        <f>IF(COUNTIFS(Calibration!$A:$A,A1605,Calibration!$B:$B,B1605)&gt;0,"Yes","No")</f>
        <v>No</v>
      </c>
      <c r="S1605" s="6"/>
    </row>
    <row r="1606" spans="1:19" ht="34.5" customHeight="1" x14ac:dyDescent="0.2">
      <c r="A1606" s="2">
        <v>309</v>
      </c>
      <c r="B1606" s="2">
        <v>21</v>
      </c>
      <c r="C1606" s="2" t="s">
        <v>491</v>
      </c>
      <c r="D1606" s="2" t="s">
        <v>39</v>
      </c>
      <c r="E1606" s="2">
        <v>20240805</v>
      </c>
      <c r="F1606" s="2">
        <v>20240809</v>
      </c>
      <c r="G1606" s="2">
        <v>2476</v>
      </c>
      <c r="H1606" s="2">
        <v>2476</v>
      </c>
      <c r="I1606" s="2">
        <v>17</v>
      </c>
      <c r="J1606" s="2" t="s">
        <v>78</v>
      </c>
      <c r="K1606" s="2" t="s">
        <v>27</v>
      </c>
      <c r="L1606" s="2" t="s">
        <v>5236</v>
      </c>
      <c r="M1606" s="7" t="s">
        <v>5237</v>
      </c>
      <c r="N1606" s="7" t="s">
        <v>5238</v>
      </c>
      <c r="O1606" s="2"/>
      <c r="P1606" s="2"/>
      <c r="Q1606" s="2" t="str">
        <f>IF(SUMPRODUCT(--ISNUMBER(SEARCH('National Domains'!$A$2:$A$48,L1606)))&gt;0,"Yes","No")</f>
        <v>No</v>
      </c>
      <c r="R1606" s="2" t="str">
        <f>IF(COUNTIFS(Calibration!$A:$A,A1606,Calibration!$B:$B,B1606)&gt;0,"Yes","No")</f>
        <v>No</v>
      </c>
      <c r="S1606" s="6"/>
    </row>
    <row r="1607" spans="1:19" ht="34.5" customHeight="1" x14ac:dyDescent="0.2">
      <c r="A1607" s="2">
        <v>309</v>
      </c>
      <c r="B1607" s="2">
        <v>22</v>
      </c>
      <c r="C1607" s="2" t="s">
        <v>491</v>
      </c>
      <c r="D1607" s="2" t="s">
        <v>39</v>
      </c>
      <c r="E1607" s="2">
        <v>20240805</v>
      </c>
      <c r="F1607" s="2">
        <v>20240809</v>
      </c>
      <c r="G1607" s="2">
        <v>2476</v>
      </c>
      <c r="H1607" s="2">
        <v>2476</v>
      </c>
      <c r="I1607" s="2">
        <v>17</v>
      </c>
      <c r="J1607" s="2" t="s">
        <v>78</v>
      </c>
      <c r="K1607" s="2" t="s">
        <v>27</v>
      </c>
      <c r="L1607" s="2" t="s">
        <v>5239</v>
      </c>
      <c r="M1607" s="7" t="s">
        <v>5240</v>
      </c>
      <c r="N1607" s="7" t="s">
        <v>5241</v>
      </c>
      <c r="O1607" s="2"/>
      <c r="P1607" s="2"/>
      <c r="Q1607" s="2" t="str">
        <f>IF(SUMPRODUCT(--ISNUMBER(SEARCH('National Domains'!$A$2:$A$48,L1607)))&gt;0,"Yes","No")</f>
        <v>No</v>
      </c>
      <c r="R1607" s="2" t="str">
        <f>IF(COUNTIFS(Calibration!$A:$A,A1607,Calibration!$B:$B,B1607)&gt;0,"Yes","No")</f>
        <v>No</v>
      </c>
      <c r="S1607" s="6"/>
    </row>
    <row r="1608" spans="1:19" ht="34.5" customHeight="1" x14ac:dyDescent="0.2">
      <c r="A1608" s="2">
        <v>309</v>
      </c>
      <c r="B1608" s="2">
        <v>23</v>
      </c>
      <c r="C1608" s="2" t="s">
        <v>491</v>
      </c>
      <c r="D1608" s="2" t="s">
        <v>39</v>
      </c>
      <c r="E1608" s="2">
        <v>20240805</v>
      </c>
      <c r="F1608" s="2">
        <v>20240809</v>
      </c>
      <c r="G1608" s="2">
        <v>2476</v>
      </c>
      <c r="H1608" s="2">
        <v>2476</v>
      </c>
      <c r="I1608" s="2">
        <v>17</v>
      </c>
      <c r="J1608" s="2" t="s">
        <v>78</v>
      </c>
      <c r="K1608" s="2" t="s">
        <v>27</v>
      </c>
      <c r="L1608" s="2" t="s">
        <v>5242</v>
      </c>
      <c r="M1608" s="7" t="s">
        <v>5243</v>
      </c>
      <c r="N1608" s="7" t="s">
        <v>5244</v>
      </c>
      <c r="O1608" s="2"/>
      <c r="P1608" s="2"/>
      <c r="Q1608" s="2" t="str">
        <f>IF(SUMPRODUCT(--ISNUMBER(SEARCH('National Domains'!$A$2:$A$48,L1608)))&gt;0,"Yes","No")</f>
        <v>Yes</v>
      </c>
      <c r="R1608" s="2" t="str">
        <f>IF(COUNTIFS(Calibration!$A:$A,A1608,Calibration!$B:$B,B1608)&gt;0,"Yes","No")</f>
        <v>No</v>
      </c>
      <c r="S1608" s="6"/>
    </row>
    <row r="1609" spans="1:19" ht="34.5" customHeight="1" x14ac:dyDescent="0.2">
      <c r="A1609" s="4">
        <v>309</v>
      </c>
      <c r="B1609" s="4">
        <v>24</v>
      </c>
      <c r="C1609" s="4" t="s">
        <v>491</v>
      </c>
      <c r="D1609" s="4" t="s">
        <v>39</v>
      </c>
      <c r="E1609" s="4">
        <v>20240805</v>
      </c>
      <c r="F1609" s="4">
        <v>20240809</v>
      </c>
      <c r="G1609" s="4">
        <v>2476</v>
      </c>
      <c r="H1609" s="4">
        <v>2476</v>
      </c>
      <c r="I1609" s="4">
        <v>17</v>
      </c>
      <c r="J1609" s="4" t="s">
        <v>78</v>
      </c>
      <c r="K1609" s="4" t="s">
        <v>27</v>
      </c>
      <c r="L1609" s="4" t="s">
        <v>5245</v>
      </c>
      <c r="M1609" s="5" t="s">
        <v>5246</v>
      </c>
      <c r="N1609" s="5" t="s">
        <v>5247</v>
      </c>
      <c r="O1609" s="4"/>
      <c r="P1609" s="4"/>
      <c r="Q1609" s="4" t="str">
        <f>IF(SUMPRODUCT(--ISNUMBER(SEARCH('National Domains'!$A$2:$A$48,L1609)))&gt;0,"Yes","No")</f>
        <v>Yes</v>
      </c>
      <c r="R1609" s="4" t="str">
        <f>IF(COUNTIFS(Calibration!$A:$A,A1609,Calibration!$B:$B,B1609)&gt;0,"Yes","No")</f>
        <v>Yes</v>
      </c>
      <c r="S1609" s="6"/>
    </row>
    <row r="1610" spans="1:19" ht="34.5" customHeight="1" x14ac:dyDescent="0.2">
      <c r="A1610" s="2">
        <v>309</v>
      </c>
      <c r="B1610" s="2">
        <v>25</v>
      </c>
      <c r="C1610" s="2" t="s">
        <v>491</v>
      </c>
      <c r="D1610" s="2" t="s">
        <v>39</v>
      </c>
      <c r="E1610" s="2">
        <v>20240805</v>
      </c>
      <c r="F1610" s="2">
        <v>20240809</v>
      </c>
      <c r="G1610" s="2">
        <v>2476</v>
      </c>
      <c r="H1610" s="2">
        <v>2476</v>
      </c>
      <c r="I1610" s="2">
        <v>17</v>
      </c>
      <c r="J1610" s="2" t="s">
        <v>78</v>
      </c>
      <c r="K1610" s="2" t="s">
        <v>27</v>
      </c>
      <c r="L1610" s="2" t="s">
        <v>5248</v>
      </c>
      <c r="M1610" s="7" t="s">
        <v>5249</v>
      </c>
      <c r="N1610" s="7" t="s">
        <v>5250</v>
      </c>
      <c r="O1610" s="2"/>
      <c r="P1610" s="2"/>
      <c r="Q1610" s="2" t="str">
        <f>IF(SUMPRODUCT(--ISNUMBER(SEARCH('National Domains'!$A$2:$A$48,L1610)))&gt;0,"Yes","No")</f>
        <v>No</v>
      </c>
      <c r="R1610" s="2" t="str">
        <f>IF(COUNTIFS(Calibration!$A:$A,A1610,Calibration!$B:$B,B1610)&gt;0,"Yes","No")</f>
        <v>No</v>
      </c>
      <c r="S1610" s="6"/>
    </row>
    <row r="1611" spans="1:19" ht="34.5" customHeight="1" x14ac:dyDescent="0.2">
      <c r="A1611" s="2">
        <v>309</v>
      </c>
      <c r="B1611" s="2">
        <v>26</v>
      </c>
      <c r="C1611" s="2" t="s">
        <v>491</v>
      </c>
      <c r="D1611" s="2" t="s">
        <v>39</v>
      </c>
      <c r="E1611" s="2">
        <v>20240805</v>
      </c>
      <c r="F1611" s="2">
        <v>20240809</v>
      </c>
      <c r="G1611" s="2">
        <v>2476</v>
      </c>
      <c r="H1611" s="2">
        <v>2476</v>
      </c>
      <c r="I1611" s="2">
        <v>17</v>
      </c>
      <c r="J1611" s="2" t="s">
        <v>78</v>
      </c>
      <c r="K1611" s="2" t="s">
        <v>27</v>
      </c>
      <c r="L1611" s="2" t="s">
        <v>5251</v>
      </c>
      <c r="M1611" s="7" t="s">
        <v>5252</v>
      </c>
      <c r="N1611" s="7" t="s">
        <v>5253</v>
      </c>
      <c r="O1611" s="2"/>
      <c r="P1611" s="2"/>
      <c r="Q1611" s="2" t="str">
        <f>IF(SUMPRODUCT(--ISNUMBER(SEARCH('National Domains'!$A$2:$A$48,L1611)))&gt;0,"Yes","No")</f>
        <v>No</v>
      </c>
      <c r="R1611" s="2" t="str">
        <f>IF(COUNTIFS(Calibration!$A:$A,A1611,Calibration!$B:$B,B1611)&gt;0,"Yes","No")</f>
        <v>No</v>
      </c>
      <c r="S1611" s="6"/>
    </row>
    <row r="1612" spans="1:19" ht="34.5" customHeight="1" x14ac:dyDescent="0.2">
      <c r="A1612" s="2">
        <v>310</v>
      </c>
      <c r="B1612" s="2">
        <v>1</v>
      </c>
      <c r="C1612" s="2" t="s">
        <v>492</v>
      </c>
      <c r="D1612" s="2" t="s">
        <v>39</v>
      </c>
      <c r="E1612" s="2">
        <v>20240911</v>
      </c>
      <c r="F1612" s="2">
        <v>20240912</v>
      </c>
      <c r="G1612" s="2">
        <v>1291</v>
      </c>
      <c r="H1612" s="2">
        <v>1291</v>
      </c>
      <c r="I1612" s="2">
        <v>0</v>
      </c>
      <c r="J1612" s="2" t="s">
        <v>46</v>
      </c>
      <c r="K1612" s="2" t="s">
        <v>41</v>
      </c>
      <c r="L1612" s="2" t="s">
        <v>5254</v>
      </c>
      <c r="M1612" s="7" t="s">
        <v>5255</v>
      </c>
      <c r="N1612" s="7" t="s">
        <v>5256</v>
      </c>
      <c r="O1612" s="2"/>
      <c r="P1612" s="2"/>
      <c r="Q1612" s="2" t="str">
        <f>IF(SUMPRODUCT(--ISNUMBER(SEARCH('National Domains'!$A$2:$A$48,L1612)))&gt;0,"Yes","No")</f>
        <v>No</v>
      </c>
      <c r="R1612" s="2" t="str">
        <f>IF(COUNTIFS(Calibration!$A:$A,A1612,Calibration!$B:$B,B1612)&gt;0,"Yes","No")</f>
        <v>No</v>
      </c>
      <c r="S1612" s="6"/>
    </row>
    <row r="1613" spans="1:19" ht="34.5" customHeight="1" x14ac:dyDescent="0.2">
      <c r="A1613" s="2">
        <v>310</v>
      </c>
      <c r="B1613" s="2">
        <v>2</v>
      </c>
      <c r="C1613" s="2" t="s">
        <v>492</v>
      </c>
      <c r="D1613" s="2" t="s">
        <v>39</v>
      </c>
      <c r="E1613" s="2">
        <v>20240911</v>
      </c>
      <c r="F1613" s="2">
        <v>20240912</v>
      </c>
      <c r="G1613" s="2">
        <v>1291</v>
      </c>
      <c r="H1613" s="2">
        <v>1291</v>
      </c>
      <c r="I1613" s="2">
        <v>0</v>
      </c>
      <c r="J1613" s="2" t="s">
        <v>46</v>
      </c>
      <c r="K1613" s="2" t="s">
        <v>41</v>
      </c>
      <c r="L1613" s="2" t="s">
        <v>5257</v>
      </c>
      <c r="M1613" s="7" t="s">
        <v>5258</v>
      </c>
      <c r="N1613" s="7" t="s">
        <v>5259</v>
      </c>
      <c r="O1613" s="2"/>
      <c r="P1613" s="2"/>
      <c r="Q1613" s="2" t="str">
        <f>IF(SUMPRODUCT(--ISNUMBER(SEARCH('National Domains'!$A$2:$A$48,L1613)))&gt;0,"Yes","No")</f>
        <v>No</v>
      </c>
      <c r="R1613" s="2" t="str">
        <f>IF(COUNTIFS(Calibration!$A:$A,A1613,Calibration!$B:$B,B1613)&gt;0,"Yes","No")</f>
        <v>No</v>
      </c>
      <c r="S1613" s="6"/>
    </row>
    <row r="1614" spans="1:19" ht="34.5" customHeight="1" x14ac:dyDescent="0.2">
      <c r="A1614" s="2">
        <v>310</v>
      </c>
      <c r="B1614" s="2">
        <v>3</v>
      </c>
      <c r="C1614" s="2" t="s">
        <v>492</v>
      </c>
      <c r="D1614" s="2" t="s">
        <v>39</v>
      </c>
      <c r="E1614" s="2">
        <v>20240911</v>
      </c>
      <c r="F1614" s="2">
        <v>20240912</v>
      </c>
      <c r="G1614" s="2">
        <v>1291</v>
      </c>
      <c r="H1614" s="2">
        <v>1291</v>
      </c>
      <c r="I1614" s="2">
        <v>0</v>
      </c>
      <c r="J1614" s="2" t="s">
        <v>46</v>
      </c>
      <c r="K1614" s="2" t="s">
        <v>41</v>
      </c>
      <c r="L1614" s="2" t="s">
        <v>5260</v>
      </c>
      <c r="M1614" s="7" t="s">
        <v>5261</v>
      </c>
      <c r="N1614" s="7" t="s">
        <v>5262</v>
      </c>
      <c r="O1614" s="2"/>
      <c r="P1614" s="2"/>
      <c r="Q1614" s="2" t="str">
        <f>IF(SUMPRODUCT(--ISNUMBER(SEARCH('National Domains'!$A$2:$A$48,L1614)))&gt;0,"Yes","No")</f>
        <v>No</v>
      </c>
      <c r="R1614" s="2" t="str">
        <f>IF(COUNTIFS(Calibration!$A:$A,A1614,Calibration!$B:$B,B1614)&gt;0,"Yes","No")</f>
        <v>No</v>
      </c>
      <c r="S1614" s="6"/>
    </row>
    <row r="1615" spans="1:19" ht="34.5" customHeight="1" x14ac:dyDescent="0.2">
      <c r="A1615" s="2">
        <v>310</v>
      </c>
      <c r="B1615" s="2">
        <v>4</v>
      </c>
      <c r="C1615" s="2" t="s">
        <v>492</v>
      </c>
      <c r="D1615" s="2" t="s">
        <v>39</v>
      </c>
      <c r="E1615" s="2">
        <v>20240911</v>
      </c>
      <c r="F1615" s="2">
        <v>20240912</v>
      </c>
      <c r="G1615" s="2">
        <v>1291</v>
      </c>
      <c r="H1615" s="2">
        <v>1291</v>
      </c>
      <c r="I1615" s="2">
        <v>0</v>
      </c>
      <c r="J1615" s="2" t="s">
        <v>46</v>
      </c>
      <c r="K1615" s="2" t="s">
        <v>41</v>
      </c>
      <c r="L1615" s="2" t="s">
        <v>5263</v>
      </c>
      <c r="M1615" s="7" t="s">
        <v>5264</v>
      </c>
      <c r="N1615" s="7" t="s">
        <v>5265</v>
      </c>
      <c r="O1615" s="2"/>
      <c r="P1615" s="2"/>
      <c r="Q1615" s="2" t="str">
        <f>IF(SUMPRODUCT(--ISNUMBER(SEARCH('National Domains'!$A$2:$A$48,L1615)))&gt;0,"Yes","No")</f>
        <v>No</v>
      </c>
      <c r="R1615" s="2" t="str">
        <f>IF(COUNTIFS(Calibration!$A:$A,A1615,Calibration!$B:$B,B1615)&gt;0,"Yes","No")</f>
        <v>No</v>
      </c>
      <c r="S1615" s="6"/>
    </row>
    <row r="1616" spans="1:19" ht="34.5" customHeight="1" x14ac:dyDescent="0.2">
      <c r="A1616" s="2">
        <v>310</v>
      </c>
      <c r="B1616" s="2">
        <v>5</v>
      </c>
      <c r="C1616" s="2" t="s">
        <v>492</v>
      </c>
      <c r="D1616" s="2" t="s">
        <v>39</v>
      </c>
      <c r="E1616" s="2">
        <v>20240911</v>
      </c>
      <c r="F1616" s="2">
        <v>20240912</v>
      </c>
      <c r="G1616" s="2">
        <v>1291</v>
      </c>
      <c r="H1616" s="2">
        <v>1291</v>
      </c>
      <c r="I1616" s="2">
        <v>0</v>
      </c>
      <c r="J1616" s="2" t="s">
        <v>46</v>
      </c>
      <c r="K1616" s="2" t="s">
        <v>41</v>
      </c>
      <c r="L1616" s="2" t="s">
        <v>5266</v>
      </c>
      <c r="M1616" s="7" t="s">
        <v>5267</v>
      </c>
      <c r="N1616" s="7" t="s">
        <v>5268</v>
      </c>
      <c r="O1616" s="2"/>
      <c r="P1616" s="2"/>
      <c r="Q1616" s="2" t="str">
        <f>IF(SUMPRODUCT(--ISNUMBER(SEARCH('National Domains'!$A$2:$A$48,L1616)))&gt;0,"Yes","No")</f>
        <v>No</v>
      </c>
      <c r="R1616" s="2" t="str">
        <f>IF(COUNTIFS(Calibration!$A:$A,A1616,Calibration!$B:$B,B1616)&gt;0,"Yes","No")</f>
        <v>No</v>
      </c>
      <c r="S1616" s="6"/>
    </row>
    <row r="1617" spans="1:19" ht="34.5" customHeight="1" x14ac:dyDescent="0.2">
      <c r="A1617" s="2">
        <v>310</v>
      </c>
      <c r="B1617" s="2">
        <v>6</v>
      </c>
      <c r="C1617" s="2" t="s">
        <v>492</v>
      </c>
      <c r="D1617" s="2" t="s">
        <v>39</v>
      </c>
      <c r="E1617" s="2">
        <v>20240911</v>
      </c>
      <c r="F1617" s="2">
        <v>20240912</v>
      </c>
      <c r="G1617" s="2">
        <v>1291</v>
      </c>
      <c r="H1617" s="2">
        <v>1291</v>
      </c>
      <c r="I1617" s="2">
        <v>0</v>
      </c>
      <c r="J1617" s="2" t="s">
        <v>46</v>
      </c>
      <c r="K1617" s="2" t="s">
        <v>41</v>
      </c>
      <c r="L1617" s="2" t="s">
        <v>5269</v>
      </c>
      <c r="M1617" s="7" t="s">
        <v>5270</v>
      </c>
      <c r="N1617" s="7" t="s">
        <v>5271</v>
      </c>
      <c r="O1617" s="2"/>
      <c r="P1617" s="2"/>
      <c r="Q1617" s="2" t="str">
        <f>IF(SUMPRODUCT(--ISNUMBER(SEARCH('National Domains'!$A$2:$A$48,L1617)))&gt;0,"Yes","No")</f>
        <v>No</v>
      </c>
      <c r="R1617" s="2" t="str">
        <f>IF(COUNTIFS(Calibration!$A:$A,A1617,Calibration!$B:$B,B1617)&gt;0,"Yes","No")</f>
        <v>No</v>
      </c>
      <c r="S1617" s="6"/>
    </row>
    <row r="1618" spans="1:19" ht="34.5" customHeight="1" x14ac:dyDescent="0.2">
      <c r="A1618" s="2">
        <v>310</v>
      </c>
      <c r="B1618" s="2">
        <v>7</v>
      </c>
      <c r="C1618" s="2" t="s">
        <v>492</v>
      </c>
      <c r="D1618" s="2" t="s">
        <v>39</v>
      </c>
      <c r="E1618" s="2">
        <v>20240911</v>
      </c>
      <c r="F1618" s="2">
        <v>20240912</v>
      </c>
      <c r="G1618" s="2">
        <v>1291</v>
      </c>
      <c r="H1618" s="2">
        <v>1291</v>
      </c>
      <c r="I1618" s="2">
        <v>0</v>
      </c>
      <c r="J1618" s="2" t="s">
        <v>46</v>
      </c>
      <c r="K1618" s="2" t="s">
        <v>41</v>
      </c>
      <c r="L1618" s="2" t="s">
        <v>5272</v>
      </c>
      <c r="M1618" s="7" t="s">
        <v>5273</v>
      </c>
      <c r="N1618" s="7" t="s">
        <v>5274</v>
      </c>
      <c r="O1618" s="2"/>
      <c r="P1618" s="2"/>
      <c r="Q1618" s="2" t="str">
        <f>IF(SUMPRODUCT(--ISNUMBER(SEARCH('National Domains'!$A$2:$A$48,L1618)))&gt;0,"Yes","No")</f>
        <v>No</v>
      </c>
      <c r="R1618" s="2" t="str">
        <f>IF(COUNTIFS(Calibration!$A:$A,A1618,Calibration!$B:$B,B1618)&gt;0,"Yes","No")</f>
        <v>No</v>
      </c>
      <c r="S1618" s="6"/>
    </row>
    <row r="1619" spans="1:19" ht="23.25" customHeight="1" x14ac:dyDescent="0.2">
      <c r="A1619" s="2">
        <v>310</v>
      </c>
      <c r="B1619" s="2">
        <v>8</v>
      </c>
      <c r="C1619" s="2" t="s">
        <v>492</v>
      </c>
      <c r="D1619" s="2" t="s">
        <v>39</v>
      </c>
      <c r="E1619" s="2">
        <v>20240911</v>
      </c>
      <c r="F1619" s="2">
        <v>20240912</v>
      </c>
      <c r="G1619" s="2">
        <v>1291</v>
      </c>
      <c r="H1619" s="2">
        <v>1291</v>
      </c>
      <c r="I1619" s="2">
        <v>0</v>
      </c>
      <c r="J1619" s="2" t="s">
        <v>46</v>
      </c>
      <c r="K1619" s="2" t="s">
        <v>41</v>
      </c>
      <c r="L1619" s="2" t="s">
        <v>5275</v>
      </c>
      <c r="M1619" s="7" t="s">
        <v>5276</v>
      </c>
      <c r="N1619" s="7" t="s">
        <v>5277</v>
      </c>
      <c r="O1619" s="2"/>
      <c r="P1619" s="2"/>
      <c r="Q1619" s="2" t="str">
        <f>IF(SUMPRODUCT(--ISNUMBER(SEARCH('National Domains'!$A$2:$A$48,L1619)))&gt;0,"Yes","No")</f>
        <v>Yes</v>
      </c>
      <c r="R1619" s="2" t="str">
        <f>IF(COUNTIFS(Calibration!$A:$A,A1619,Calibration!$B:$B,B1619)&gt;0,"Yes","No")</f>
        <v>No</v>
      </c>
      <c r="S1619" s="6"/>
    </row>
    <row r="1620" spans="1:19" ht="34.5" customHeight="1" x14ac:dyDescent="0.2">
      <c r="A1620" s="2">
        <v>310</v>
      </c>
      <c r="B1620" s="2">
        <v>9</v>
      </c>
      <c r="C1620" s="2" t="s">
        <v>492</v>
      </c>
      <c r="D1620" s="2" t="s">
        <v>39</v>
      </c>
      <c r="E1620" s="2">
        <v>20240911</v>
      </c>
      <c r="F1620" s="2">
        <v>20240912</v>
      </c>
      <c r="G1620" s="2">
        <v>1291</v>
      </c>
      <c r="H1620" s="2">
        <v>1291</v>
      </c>
      <c r="I1620" s="2">
        <v>0</v>
      </c>
      <c r="J1620" s="2" t="s">
        <v>46</v>
      </c>
      <c r="K1620" s="2" t="s">
        <v>41</v>
      </c>
      <c r="L1620" s="2" t="s">
        <v>5278</v>
      </c>
      <c r="M1620" s="7" t="s">
        <v>5279</v>
      </c>
      <c r="N1620" s="7" t="s">
        <v>5280</v>
      </c>
      <c r="O1620" s="2"/>
      <c r="P1620" s="2"/>
      <c r="Q1620" s="2" t="str">
        <f>IF(SUMPRODUCT(--ISNUMBER(SEARCH('National Domains'!$A$2:$A$48,L1620)))&gt;0,"Yes","No")</f>
        <v>Yes</v>
      </c>
      <c r="R1620" s="2" t="str">
        <f>IF(COUNTIFS(Calibration!$A:$A,A1620,Calibration!$B:$B,B1620)&gt;0,"Yes","No")</f>
        <v>No</v>
      </c>
      <c r="S1620" s="6"/>
    </row>
    <row r="1621" spans="1:19" ht="34.5" customHeight="1" x14ac:dyDescent="0.2">
      <c r="A1621" s="2">
        <v>310</v>
      </c>
      <c r="B1621" s="2">
        <v>10</v>
      </c>
      <c r="C1621" s="2" t="s">
        <v>492</v>
      </c>
      <c r="D1621" s="2" t="s">
        <v>39</v>
      </c>
      <c r="E1621" s="2">
        <v>20240911</v>
      </c>
      <c r="F1621" s="2">
        <v>20240912</v>
      </c>
      <c r="G1621" s="2">
        <v>1291</v>
      </c>
      <c r="H1621" s="2">
        <v>1291</v>
      </c>
      <c r="I1621" s="2">
        <v>0</v>
      </c>
      <c r="J1621" s="2" t="s">
        <v>46</v>
      </c>
      <c r="K1621" s="2" t="s">
        <v>41</v>
      </c>
      <c r="L1621" s="2" t="s">
        <v>5281</v>
      </c>
      <c r="M1621" s="7" t="s">
        <v>5282</v>
      </c>
      <c r="N1621" s="7" t="s">
        <v>5283</v>
      </c>
      <c r="O1621" s="2"/>
      <c r="P1621" s="2"/>
      <c r="Q1621" s="2" t="str">
        <f>IF(SUMPRODUCT(--ISNUMBER(SEARCH('National Domains'!$A$2:$A$48,L1621)))&gt;0,"Yes","No")</f>
        <v>Yes</v>
      </c>
      <c r="R1621" s="2" t="str">
        <f>IF(COUNTIFS(Calibration!$A:$A,A1621,Calibration!$B:$B,B1621)&gt;0,"Yes","No")</f>
        <v>No</v>
      </c>
      <c r="S1621" s="6"/>
    </row>
    <row r="1622" spans="1:19" ht="34.5" customHeight="1" x14ac:dyDescent="0.2">
      <c r="A1622" s="2">
        <v>310</v>
      </c>
      <c r="B1622" s="2">
        <v>11</v>
      </c>
      <c r="C1622" s="2" t="s">
        <v>492</v>
      </c>
      <c r="D1622" s="2" t="s">
        <v>39</v>
      </c>
      <c r="E1622" s="2">
        <v>20240911</v>
      </c>
      <c r="F1622" s="2">
        <v>20240912</v>
      </c>
      <c r="G1622" s="2">
        <v>1291</v>
      </c>
      <c r="H1622" s="2">
        <v>1291</v>
      </c>
      <c r="I1622" s="2">
        <v>0</v>
      </c>
      <c r="J1622" s="2" t="s">
        <v>46</v>
      </c>
      <c r="K1622" s="2" t="s">
        <v>41</v>
      </c>
      <c r="L1622" s="2" t="s">
        <v>5284</v>
      </c>
      <c r="M1622" s="7" t="s">
        <v>5285</v>
      </c>
      <c r="N1622" s="7" t="s">
        <v>5286</v>
      </c>
      <c r="O1622" s="2"/>
      <c r="P1622" s="2"/>
      <c r="Q1622" s="2" t="str">
        <f>IF(SUMPRODUCT(--ISNUMBER(SEARCH('National Domains'!$A$2:$A$48,L1622)))&gt;0,"Yes","No")</f>
        <v>Yes</v>
      </c>
      <c r="R1622" s="2" t="str">
        <f>IF(COUNTIFS(Calibration!$A:$A,A1622,Calibration!$B:$B,B1622)&gt;0,"Yes","No")</f>
        <v>No</v>
      </c>
      <c r="S1622" s="6"/>
    </row>
    <row r="1623" spans="1:19" ht="34.5" customHeight="1" x14ac:dyDescent="0.2">
      <c r="A1623" s="2">
        <v>310</v>
      </c>
      <c r="B1623" s="2">
        <v>12</v>
      </c>
      <c r="C1623" s="2" t="s">
        <v>492</v>
      </c>
      <c r="D1623" s="2" t="s">
        <v>39</v>
      </c>
      <c r="E1623" s="2">
        <v>20240911</v>
      </c>
      <c r="F1623" s="2">
        <v>20240912</v>
      </c>
      <c r="G1623" s="2">
        <v>1291</v>
      </c>
      <c r="H1623" s="2">
        <v>1291</v>
      </c>
      <c r="I1623" s="2">
        <v>0</v>
      </c>
      <c r="J1623" s="2" t="s">
        <v>46</v>
      </c>
      <c r="K1623" s="2" t="s">
        <v>41</v>
      </c>
      <c r="L1623" s="2" t="s">
        <v>5287</v>
      </c>
      <c r="M1623" s="7" t="s">
        <v>5288</v>
      </c>
      <c r="N1623" s="7" t="s">
        <v>5289</v>
      </c>
      <c r="O1623" s="2"/>
      <c r="P1623" s="2"/>
      <c r="Q1623" s="2" t="str">
        <f>IF(SUMPRODUCT(--ISNUMBER(SEARCH('National Domains'!$A$2:$A$48,L1623)))&gt;0,"Yes","No")</f>
        <v>Yes</v>
      </c>
      <c r="R1623" s="2" t="str">
        <f>IF(COUNTIFS(Calibration!$A:$A,A1623,Calibration!$B:$B,B1623)&gt;0,"Yes","No")</f>
        <v>No</v>
      </c>
      <c r="S1623" s="6"/>
    </row>
    <row r="1624" spans="1:19" ht="34.5" customHeight="1" x14ac:dyDescent="0.2">
      <c r="A1624" s="2">
        <v>310</v>
      </c>
      <c r="B1624" s="2">
        <v>13</v>
      </c>
      <c r="C1624" s="2" t="s">
        <v>492</v>
      </c>
      <c r="D1624" s="2" t="s">
        <v>39</v>
      </c>
      <c r="E1624" s="2">
        <v>20240911</v>
      </c>
      <c r="F1624" s="2">
        <v>20240912</v>
      </c>
      <c r="G1624" s="2">
        <v>1291</v>
      </c>
      <c r="H1624" s="2">
        <v>1291</v>
      </c>
      <c r="I1624" s="2">
        <v>0</v>
      </c>
      <c r="J1624" s="2" t="s">
        <v>46</v>
      </c>
      <c r="K1624" s="2" t="s">
        <v>41</v>
      </c>
      <c r="L1624" s="2" t="s">
        <v>5290</v>
      </c>
      <c r="M1624" s="7" t="s">
        <v>5291</v>
      </c>
      <c r="N1624" s="7" t="s">
        <v>5292</v>
      </c>
      <c r="O1624" s="2"/>
      <c r="P1624" s="2"/>
      <c r="Q1624" s="2" t="str">
        <f>IF(SUMPRODUCT(--ISNUMBER(SEARCH('National Domains'!$A$2:$A$48,L1624)))&gt;0,"Yes","No")</f>
        <v>No</v>
      </c>
      <c r="R1624" s="2" t="str">
        <f>IF(COUNTIFS(Calibration!$A:$A,A1624,Calibration!$B:$B,B1624)&gt;0,"Yes","No")</f>
        <v>No</v>
      </c>
      <c r="S1624" s="6"/>
    </row>
    <row r="1625" spans="1:19" ht="34.5" customHeight="1" x14ac:dyDescent="0.2">
      <c r="A1625" s="2">
        <v>310</v>
      </c>
      <c r="B1625" s="2">
        <v>14</v>
      </c>
      <c r="C1625" s="2" t="s">
        <v>492</v>
      </c>
      <c r="D1625" s="2" t="s">
        <v>39</v>
      </c>
      <c r="E1625" s="2">
        <v>20240911</v>
      </c>
      <c r="F1625" s="2">
        <v>20240912</v>
      </c>
      <c r="G1625" s="2">
        <v>1291</v>
      </c>
      <c r="H1625" s="2">
        <v>1291</v>
      </c>
      <c r="I1625" s="2">
        <v>0</v>
      </c>
      <c r="J1625" s="2" t="s">
        <v>46</v>
      </c>
      <c r="K1625" s="2" t="s">
        <v>41</v>
      </c>
      <c r="L1625" s="2" t="s">
        <v>5293</v>
      </c>
      <c r="M1625" s="7" t="s">
        <v>5294</v>
      </c>
      <c r="N1625" s="7" t="s">
        <v>5295</v>
      </c>
      <c r="O1625" s="2"/>
      <c r="P1625" s="2"/>
      <c r="Q1625" s="2" t="str">
        <f>IF(SUMPRODUCT(--ISNUMBER(SEARCH('National Domains'!$A$2:$A$48,L1625)))&gt;0,"Yes","No")</f>
        <v>No</v>
      </c>
      <c r="R1625" s="2" t="str">
        <f>IF(COUNTIFS(Calibration!$A:$A,A1625,Calibration!$B:$B,B1625)&gt;0,"Yes","No")</f>
        <v>No</v>
      </c>
      <c r="S1625" s="6"/>
    </row>
    <row r="1626" spans="1:19" ht="34.5" customHeight="1" x14ac:dyDescent="0.2">
      <c r="A1626" s="2">
        <v>310</v>
      </c>
      <c r="B1626" s="2">
        <v>15</v>
      </c>
      <c r="C1626" s="2" t="s">
        <v>492</v>
      </c>
      <c r="D1626" s="2" t="s">
        <v>39</v>
      </c>
      <c r="E1626" s="2">
        <v>20240911</v>
      </c>
      <c r="F1626" s="2">
        <v>20240912</v>
      </c>
      <c r="G1626" s="2">
        <v>1291</v>
      </c>
      <c r="H1626" s="2">
        <v>1291</v>
      </c>
      <c r="I1626" s="2">
        <v>0</v>
      </c>
      <c r="J1626" s="2" t="s">
        <v>46</v>
      </c>
      <c r="K1626" s="2" t="s">
        <v>41</v>
      </c>
      <c r="L1626" s="2" t="s">
        <v>5296</v>
      </c>
      <c r="M1626" s="7" t="s">
        <v>5297</v>
      </c>
      <c r="N1626" s="7" t="s">
        <v>5298</v>
      </c>
      <c r="O1626" s="2"/>
      <c r="P1626" s="2"/>
      <c r="Q1626" s="2" t="str">
        <f>IF(SUMPRODUCT(--ISNUMBER(SEARCH('National Domains'!$A$2:$A$48,L1626)))&gt;0,"Yes","No")</f>
        <v>Yes</v>
      </c>
      <c r="R1626" s="2" t="str">
        <f>IF(COUNTIFS(Calibration!$A:$A,A1626,Calibration!$B:$B,B1626)&gt;0,"Yes","No")</f>
        <v>No</v>
      </c>
      <c r="S1626" s="6"/>
    </row>
    <row r="1627" spans="1:19" ht="34.5" customHeight="1" x14ac:dyDescent="0.2">
      <c r="A1627" s="2">
        <v>311</v>
      </c>
      <c r="B1627" s="2">
        <v>1</v>
      </c>
      <c r="C1627" s="2" t="s">
        <v>493</v>
      </c>
      <c r="D1627" s="2" t="s">
        <v>39</v>
      </c>
      <c r="E1627" s="2">
        <v>20240924</v>
      </c>
      <c r="F1627" s="2">
        <v>20240929</v>
      </c>
      <c r="G1627" s="2">
        <v>78721</v>
      </c>
      <c r="H1627" s="2">
        <v>78721</v>
      </c>
      <c r="I1627" s="2">
        <v>219</v>
      </c>
      <c r="J1627" s="2" t="s">
        <v>494</v>
      </c>
      <c r="K1627" s="2" t="s">
        <v>15</v>
      </c>
      <c r="L1627" s="2" t="s">
        <v>5299</v>
      </c>
      <c r="M1627" s="7" t="s">
        <v>5300</v>
      </c>
      <c r="N1627" s="7" t="s">
        <v>5301</v>
      </c>
      <c r="O1627" s="2"/>
      <c r="P1627" s="2"/>
      <c r="Q1627" s="2" t="str">
        <f>IF(SUMPRODUCT(--ISNUMBER(SEARCH('National Domains'!$A$2:$A$48,L1627)))&gt;0,"Yes","No")</f>
        <v>No</v>
      </c>
      <c r="R1627" s="2" t="str">
        <f>IF(COUNTIFS(Calibration!$A:$A,A1627,Calibration!$B:$B,B1627)&gt;0,"Yes","No")</f>
        <v>No</v>
      </c>
      <c r="S1627" s="6"/>
    </row>
    <row r="1628" spans="1:19" ht="23.25" customHeight="1" x14ac:dyDescent="0.2">
      <c r="A1628" s="2">
        <v>311</v>
      </c>
      <c r="B1628" s="2">
        <v>2</v>
      </c>
      <c r="C1628" s="2" t="s">
        <v>493</v>
      </c>
      <c r="D1628" s="2" t="s">
        <v>39</v>
      </c>
      <c r="E1628" s="2">
        <v>20240924</v>
      </c>
      <c r="F1628" s="2">
        <v>20240929</v>
      </c>
      <c r="G1628" s="2">
        <v>78721</v>
      </c>
      <c r="H1628" s="2">
        <v>78721</v>
      </c>
      <c r="I1628" s="2">
        <v>219</v>
      </c>
      <c r="J1628" s="2" t="s">
        <v>494</v>
      </c>
      <c r="K1628" s="2" t="s">
        <v>15</v>
      </c>
      <c r="L1628" s="2" t="s">
        <v>5302</v>
      </c>
      <c r="M1628" s="7" t="s">
        <v>5303</v>
      </c>
      <c r="N1628" s="7" t="s">
        <v>5304</v>
      </c>
      <c r="O1628" s="2"/>
      <c r="P1628" s="2"/>
      <c r="Q1628" s="2" t="str">
        <f>IF(SUMPRODUCT(--ISNUMBER(SEARCH('National Domains'!$A$2:$A$48,L1628)))&gt;0,"Yes","No")</f>
        <v>No</v>
      </c>
      <c r="R1628" s="2" t="str">
        <f>IF(COUNTIFS(Calibration!$A:$A,A1628,Calibration!$B:$B,B1628)&gt;0,"Yes","No")</f>
        <v>No</v>
      </c>
      <c r="S1628" s="6"/>
    </row>
    <row r="1629" spans="1:19" ht="34.5" customHeight="1" x14ac:dyDescent="0.2">
      <c r="A1629" s="2">
        <v>311</v>
      </c>
      <c r="B1629" s="2">
        <v>3</v>
      </c>
      <c r="C1629" s="2" t="s">
        <v>493</v>
      </c>
      <c r="D1629" s="2" t="s">
        <v>39</v>
      </c>
      <c r="E1629" s="2">
        <v>20240924</v>
      </c>
      <c r="F1629" s="2">
        <v>20240929</v>
      </c>
      <c r="G1629" s="2">
        <v>78721</v>
      </c>
      <c r="H1629" s="2">
        <v>78721</v>
      </c>
      <c r="I1629" s="2">
        <v>219</v>
      </c>
      <c r="J1629" s="2" t="s">
        <v>494</v>
      </c>
      <c r="K1629" s="2" t="s">
        <v>15</v>
      </c>
      <c r="L1629" s="2" t="s">
        <v>5305</v>
      </c>
      <c r="M1629" s="7" t="s">
        <v>5306</v>
      </c>
      <c r="N1629" s="7" t="s">
        <v>5307</v>
      </c>
      <c r="O1629" s="2"/>
      <c r="P1629" s="2"/>
      <c r="Q1629" s="2" t="str">
        <f>IF(SUMPRODUCT(--ISNUMBER(SEARCH('National Domains'!$A$2:$A$48,L1629)))&gt;0,"Yes","No")</f>
        <v>No</v>
      </c>
      <c r="R1629" s="2" t="str">
        <f>IF(COUNTIFS(Calibration!$A:$A,A1629,Calibration!$B:$B,B1629)&gt;0,"Yes","No")</f>
        <v>No</v>
      </c>
      <c r="S1629" s="6"/>
    </row>
    <row r="1630" spans="1:19" ht="34.5" customHeight="1" x14ac:dyDescent="0.2">
      <c r="A1630" s="2">
        <v>311</v>
      </c>
      <c r="B1630" s="2">
        <v>4</v>
      </c>
      <c r="C1630" s="2" t="s">
        <v>493</v>
      </c>
      <c r="D1630" s="2" t="s">
        <v>39</v>
      </c>
      <c r="E1630" s="2">
        <v>20240924</v>
      </c>
      <c r="F1630" s="2">
        <v>20240929</v>
      </c>
      <c r="G1630" s="2">
        <v>78721</v>
      </c>
      <c r="H1630" s="2">
        <v>78721</v>
      </c>
      <c r="I1630" s="2">
        <v>219</v>
      </c>
      <c r="J1630" s="2" t="s">
        <v>494</v>
      </c>
      <c r="K1630" s="2" t="s">
        <v>15</v>
      </c>
      <c r="L1630" s="2" t="s">
        <v>5308</v>
      </c>
      <c r="M1630" s="7" t="s">
        <v>5309</v>
      </c>
      <c r="N1630" s="7" t="s">
        <v>5310</v>
      </c>
      <c r="O1630" s="2"/>
      <c r="P1630" s="2"/>
      <c r="Q1630" s="2" t="str">
        <f>IF(SUMPRODUCT(--ISNUMBER(SEARCH('National Domains'!$A$2:$A$48,L1630)))&gt;0,"Yes","No")</f>
        <v>No</v>
      </c>
      <c r="R1630" s="2" t="str">
        <f>IF(COUNTIFS(Calibration!$A:$A,A1630,Calibration!$B:$B,B1630)&gt;0,"Yes","No")</f>
        <v>No</v>
      </c>
      <c r="S1630" s="6"/>
    </row>
    <row r="1631" spans="1:19" ht="34.5" customHeight="1" x14ac:dyDescent="0.2">
      <c r="A1631" s="2">
        <v>311</v>
      </c>
      <c r="B1631" s="2">
        <v>5</v>
      </c>
      <c r="C1631" s="2" t="s">
        <v>493</v>
      </c>
      <c r="D1631" s="2" t="s">
        <v>39</v>
      </c>
      <c r="E1631" s="2">
        <v>20240924</v>
      </c>
      <c r="F1631" s="2">
        <v>20240929</v>
      </c>
      <c r="G1631" s="2">
        <v>78721</v>
      </c>
      <c r="H1631" s="2">
        <v>78721</v>
      </c>
      <c r="I1631" s="2">
        <v>219</v>
      </c>
      <c r="J1631" s="2" t="s">
        <v>494</v>
      </c>
      <c r="K1631" s="2" t="s">
        <v>15</v>
      </c>
      <c r="L1631" s="2" t="s">
        <v>5311</v>
      </c>
      <c r="M1631" s="7" t="s">
        <v>5312</v>
      </c>
      <c r="N1631" s="7" t="s">
        <v>5313</v>
      </c>
      <c r="O1631" s="2"/>
      <c r="P1631" s="2"/>
      <c r="Q1631" s="2" t="str">
        <f>IF(SUMPRODUCT(--ISNUMBER(SEARCH('National Domains'!$A$2:$A$48,L1631)))&gt;0,"Yes","No")</f>
        <v>No</v>
      </c>
      <c r="R1631" s="2" t="str">
        <f>IF(COUNTIFS(Calibration!$A:$A,A1631,Calibration!$B:$B,B1631)&gt;0,"Yes","No")</f>
        <v>No</v>
      </c>
      <c r="S1631" s="6"/>
    </row>
    <row r="1632" spans="1:19" ht="34.5" customHeight="1" x14ac:dyDescent="0.2">
      <c r="A1632" s="2">
        <v>311</v>
      </c>
      <c r="B1632" s="2">
        <v>6</v>
      </c>
      <c r="C1632" s="2" t="s">
        <v>493</v>
      </c>
      <c r="D1632" s="2" t="s">
        <v>39</v>
      </c>
      <c r="E1632" s="2">
        <v>20240924</v>
      </c>
      <c r="F1632" s="2">
        <v>20240929</v>
      </c>
      <c r="G1632" s="2">
        <v>78721</v>
      </c>
      <c r="H1632" s="2">
        <v>78721</v>
      </c>
      <c r="I1632" s="2">
        <v>219</v>
      </c>
      <c r="J1632" s="2" t="s">
        <v>494</v>
      </c>
      <c r="K1632" s="2" t="s">
        <v>15</v>
      </c>
      <c r="L1632" s="2" t="s">
        <v>5314</v>
      </c>
      <c r="M1632" s="7" t="s">
        <v>5315</v>
      </c>
      <c r="N1632" s="7" t="s">
        <v>5316</v>
      </c>
      <c r="O1632" s="2"/>
      <c r="P1632" s="2"/>
      <c r="Q1632" s="2" t="str">
        <f>IF(SUMPRODUCT(--ISNUMBER(SEARCH('National Domains'!$A$2:$A$48,L1632)))&gt;0,"Yes","No")</f>
        <v>No</v>
      </c>
      <c r="R1632" s="2" t="str">
        <f>IF(COUNTIFS(Calibration!$A:$A,A1632,Calibration!$B:$B,B1632)&gt;0,"Yes","No")</f>
        <v>No</v>
      </c>
      <c r="S1632" s="6"/>
    </row>
    <row r="1633" spans="1:19" ht="34.5" customHeight="1" x14ac:dyDescent="0.2">
      <c r="A1633" s="2">
        <v>311</v>
      </c>
      <c r="B1633" s="2">
        <v>7</v>
      </c>
      <c r="C1633" s="2" t="s">
        <v>493</v>
      </c>
      <c r="D1633" s="2" t="s">
        <v>39</v>
      </c>
      <c r="E1633" s="2">
        <v>20240924</v>
      </c>
      <c r="F1633" s="2">
        <v>20240929</v>
      </c>
      <c r="G1633" s="2">
        <v>78721</v>
      </c>
      <c r="H1633" s="2">
        <v>78721</v>
      </c>
      <c r="I1633" s="2">
        <v>219</v>
      </c>
      <c r="J1633" s="2" t="s">
        <v>494</v>
      </c>
      <c r="K1633" s="2" t="s">
        <v>15</v>
      </c>
      <c r="L1633" s="2" t="s">
        <v>5317</v>
      </c>
      <c r="M1633" s="7" t="s">
        <v>5318</v>
      </c>
      <c r="N1633" s="7" t="s">
        <v>5319</v>
      </c>
      <c r="O1633" s="2"/>
      <c r="P1633" s="2"/>
      <c r="Q1633" s="2" t="str">
        <f>IF(SUMPRODUCT(--ISNUMBER(SEARCH('National Domains'!$A$2:$A$48,L1633)))&gt;0,"Yes","No")</f>
        <v>No</v>
      </c>
      <c r="R1633" s="2" t="str">
        <f>IF(COUNTIFS(Calibration!$A:$A,A1633,Calibration!$B:$B,B1633)&gt;0,"Yes","No")</f>
        <v>No</v>
      </c>
      <c r="S1633" s="6"/>
    </row>
    <row r="1634" spans="1:19" ht="34.5" customHeight="1" x14ac:dyDescent="0.2">
      <c r="A1634" s="2">
        <v>311</v>
      </c>
      <c r="B1634" s="2">
        <v>8</v>
      </c>
      <c r="C1634" s="2" t="s">
        <v>493</v>
      </c>
      <c r="D1634" s="2" t="s">
        <v>39</v>
      </c>
      <c r="E1634" s="2">
        <v>20240924</v>
      </c>
      <c r="F1634" s="2">
        <v>20240929</v>
      </c>
      <c r="G1634" s="2">
        <v>78721</v>
      </c>
      <c r="H1634" s="2">
        <v>78721</v>
      </c>
      <c r="I1634" s="2">
        <v>219</v>
      </c>
      <c r="J1634" s="2" t="s">
        <v>494</v>
      </c>
      <c r="K1634" s="2" t="s">
        <v>15</v>
      </c>
      <c r="L1634" s="2" t="s">
        <v>5320</v>
      </c>
      <c r="M1634" s="7" t="s">
        <v>5321</v>
      </c>
      <c r="N1634" s="7" t="s">
        <v>5322</v>
      </c>
      <c r="O1634" s="2"/>
      <c r="P1634" s="2"/>
      <c r="Q1634" s="2" t="str">
        <f>IF(SUMPRODUCT(--ISNUMBER(SEARCH('National Domains'!$A$2:$A$48,L1634)))&gt;0,"Yes","No")</f>
        <v>No</v>
      </c>
      <c r="R1634" s="2" t="str">
        <f>IF(COUNTIFS(Calibration!$A:$A,A1634,Calibration!$B:$B,B1634)&gt;0,"Yes","No")</f>
        <v>No</v>
      </c>
      <c r="S1634" s="6"/>
    </row>
    <row r="1635" spans="1:19" ht="34.5" customHeight="1" x14ac:dyDescent="0.2">
      <c r="A1635" s="2">
        <v>311</v>
      </c>
      <c r="B1635" s="2">
        <v>9</v>
      </c>
      <c r="C1635" s="2" t="s">
        <v>493</v>
      </c>
      <c r="D1635" s="2" t="s">
        <v>39</v>
      </c>
      <c r="E1635" s="2">
        <v>20240924</v>
      </c>
      <c r="F1635" s="2">
        <v>20240929</v>
      </c>
      <c r="G1635" s="2">
        <v>78721</v>
      </c>
      <c r="H1635" s="2">
        <v>78721</v>
      </c>
      <c r="I1635" s="2">
        <v>219</v>
      </c>
      <c r="J1635" s="2" t="s">
        <v>494</v>
      </c>
      <c r="K1635" s="2" t="s">
        <v>15</v>
      </c>
      <c r="L1635" s="2" t="s">
        <v>5323</v>
      </c>
      <c r="M1635" s="7" t="s">
        <v>5324</v>
      </c>
      <c r="N1635" s="7" t="s">
        <v>5325</v>
      </c>
      <c r="O1635" s="2"/>
      <c r="P1635" s="2"/>
      <c r="Q1635" s="2" t="str">
        <f>IF(SUMPRODUCT(--ISNUMBER(SEARCH('National Domains'!$A$2:$A$48,L1635)))&gt;0,"Yes","No")</f>
        <v>No</v>
      </c>
      <c r="R1635" s="2" t="str">
        <f>IF(COUNTIFS(Calibration!$A:$A,A1635,Calibration!$B:$B,B1635)&gt;0,"Yes","No")</f>
        <v>No</v>
      </c>
      <c r="S1635" s="6"/>
    </row>
    <row r="1636" spans="1:19" ht="34.5" customHeight="1" x14ac:dyDescent="0.2">
      <c r="A1636" s="2">
        <v>311</v>
      </c>
      <c r="B1636" s="2">
        <v>10</v>
      </c>
      <c r="C1636" s="2" t="s">
        <v>493</v>
      </c>
      <c r="D1636" s="2" t="s">
        <v>39</v>
      </c>
      <c r="E1636" s="2">
        <v>20240924</v>
      </c>
      <c r="F1636" s="2">
        <v>20240929</v>
      </c>
      <c r="G1636" s="2">
        <v>78721</v>
      </c>
      <c r="H1636" s="2">
        <v>78721</v>
      </c>
      <c r="I1636" s="2">
        <v>219</v>
      </c>
      <c r="J1636" s="2" t="s">
        <v>494</v>
      </c>
      <c r="K1636" s="2" t="s">
        <v>15</v>
      </c>
      <c r="L1636" s="2" t="s">
        <v>5326</v>
      </c>
      <c r="M1636" s="7" t="s">
        <v>5327</v>
      </c>
      <c r="N1636" s="7" t="s">
        <v>5328</v>
      </c>
      <c r="O1636" s="2"/>
      <c r="P1636" s="2"/>
      <c r="Q1636" s="2" t="str">
        <f>IF(SUMPRODUCT(--ISNUMBER(SEARCH('National Domains'!$A$2:$A$48,L1636)))&gt;0,"Yes","No")</f>
        <v>Yes</v>
      </c>
      <c r="R1636" s="2" t="str">
        <f>IF(COUNTIFS(Calibration!$A:$A,A1636,Calibration!$B:$B,B1636)&gt;0,"Yes","No")</f>
        <v>No</v>
      </c>
      <c r="S1636" s="6"/>
    </row>
    <row r="1637" spans="1:19" ht="34.5" customHeight="1" x14ac:dyDescent="0.2">
      <c r="A1637" s="2">
        <v>311</v>
      </c>
      <c r="B1637" s="2">
        <v>11</v>
      </c>
      <c r="C1637" s="2" t="s">
        <v>493</v>
      </c>
      <c r="D1637" s="2" t="s">
        <v>39</v>
      </c>
      <c r="E1637" s="2">
        <v>20240924</v>
      </c>
      <c r="F1637" s="2">
        <v>20240929</v>
      </c>
      <c r="G1637" s="2">
        <v>78721</v>
      </c>
      <c r="H1637" s="2">
        <v>78721</v>
      </c>
      <c r="I1637" s="2">
        <v>219</v>
      </c>
      <c r="J1637" s="2" t="s">
        <v>494</v>
      </c>
      <c r="K1637" s="2" t="s">
        <v>15</v>
      </c>
      <c r="L1637" s="2" t="s">
        <v>5329</v>
      </c>
      <c r="M1637" s="7" t="s">
        <v>5330</v>
      </c>
      <c r="N1637" s="7" t="s">
        <v>5331</v>
      </c>
      <c r="O1637" s="2"/>
      <c r="P1637" s="2"/>
      <c r="Q1637" s="2" t="str">
        <f>IF(SUMPRODUCT(--ISNUMBER(SEARCH('National Domains'!$A$2:$A$48,L1637)))&gt;0,"Yes","No")</f>
        <v>Yes</v>
      </c>
      <c r="R1637" s="2" t="str">
        <f>IF(COUNTIFS(Calibration!$A:$A,A1637,Calibration!$B:$B,B1637)&gt;0,"Yes","No")</f>
        <v>No</v>
      </c>
      <c r="S1637" s="6"/>
    </row>
    <row r="1638" spans="1:19" ht="34.5" customHeight="1" x14ac:dyDescent="0.2">
      <c r="A1638" s="2">
        <v>311</v>
      </c>
      <c r="B1638" s="2">
        <v>12</v>
      </c>
      <c r="C1638" s="2" t="s">
        <v>493</v>
      </c>
      <c r="D1638" s="2" t="s">
        <v>39</v>
      </c>
      <c r="E1638" s="2">
        <v>20240924</v>
      </c>
      <c r="F1638" s="2">
        <v>20240929</v>
      </c>
      <c r="G1638" s="2">
        <v>78721</v>
      </c>
      <c r="H1638" s="2">
        <v>78721</v>
      </c>
      <c r="I1638" s="2">
        <v>219</v>
      </c>
      <c r="J1638" s="2" t="s">
        <v>494</v>
      </c>
      <c r="K1638" s="2" t="s">
        <v>15</v>
      </c>
      <c r="L1638" s="2" t="s">
        <v>5332</v>
      </c>
      <c r="M1638" s="7" t="s">
        <v>5333</v>
      </c>
      <c r="N1638" s="7" t="s">
        <v>5334</v>
      </c>
      <c r="O1638" s="2"/>
      <c r="P1638" s="2"/>
      <c r="Q1638" s="2" t="str">
        <f>IF(SUMPRODUCT(--ISNUMBER(SEARCH('National Domains'!$A$2:$A$48,L1638)))&gt;0,"Yes","No")</f>
        <v>Yes</v>
      </c>
      <c r="R1638" s="2" t="str">
        <f>IF(COUNTIFS(Calibration!$A:$A,A1638,Calibration!$B:$B,B1638)&gt;0,"Yes","No")</f>
        <v>No</v>
      </c>
      <c r="S1638" s="6"/>
    </row>
    <row r="1639" spans="1:19" ht="34.5" customHeight="1" x14ac:dyDescent="0.2">
      <c r="A1639" s="2">
        <v>311</v>
      </c>
      <c r="B1639" s="2">
        <v>13</v>
      </c>
      <c r="C1639" s="2" t="s">
        <v>493</v>
      </c>
      <c r="D1639" s="2" t="s">
        <v>39</v>
      </c>
      <c r="E1639" s="2">
        <v>20240924</v>
      </c>
      <c r="F1639" s="2">
        <v>20240929</v>
      </c>
      <c r="G1639" s="2">
        <v>78721</v>
      </c>
      <c r="H1639" s="2">
        <v>78721</v>
      </c>
      <c r="I1639" s="2">
        <v>219</v>
      </c>
      <c r="J1639" s="2" t="s">
        <v>494</v>
      </c>
      <c r="K1639" s="2" t="s">
        <v>15</v>
      </c>
      <c r="L1639" s="2" t="s">
        <v>5335</v>
      </c>
      <c r="M1639" s="7" t="s">
        <v>5336</v>
      </c>
      <c r="N1639" s="7" t="s">
        <v>5337</v>
      </c>
      <c r="O1639" s="2"/>
      <c r="P1639" s="2"/>
      <c r="Q1639" s="2" t="str">
        <f>IF(SUMPRODUCT(--ISNUMBER(SEARCH('National Domains'!$A$2:$A$48,L1639)))&gt;0,"Yes","No")</f>
        <v>Yes</v>
      </c>
      <c r="R1639" s="2" t="str">
        <f>IF(COUNTIFS(Calibration!$A:$A,A1639,Calibration!$B:$B,B1639)&gt;0,"Yes","No")</f>
        <v>No</v>
      </c>
      <c r="S1639" s="6"/>
    </row>
    <row r="1640" spans="1:19" ht="34.5" customHeight="1" x14ac:dyDescent="0.2">
      <c r="A1640" s="2">
        <v>311</v>
      </c>
      <c r="B1640" s="2">
        <v>14</v>
      </c>
      <c r="C1640" s="2" t="s">
        <v>493</v>
      </c>
      <c r="D1640" s="2" t="s">
        <v>39</v>
      </c>
      <c r="E1640" s="2">
        <v>20240924</v>
      </c>
      <c r="F1640" s="2">
        <v>20240929</v>
      </c>
      <c r="G1640" s="2">
        <v>78721</v>
      </c>
      <c r="H1640" s="2">
        <v>78721</v>
      </c>
      <c r="I1640" s="2">
        <v>219</v>
      </c>
      <c r="J1640" s="2" t="s">
        <v>494</v>
      </c>
      <c r="K1640" s="2" t="s">
        <v>15</v>
      </c>
      <c r="L1640" s="2" t="s">
        <v>5338</v>
      </c>
      <c r="M1640" s="7" t="s">
        <v>5339</v>
      </c>
      <c r="N1640" s="7" t="s">
        <v>5340</v>
      </c>
      <c r="O1640" s="2"/>
      <c r="P1640" s="2"/>
      <c r="Q1640" s="2" t="str">
        <f>IF(SUMPRODUCT(--ISNUMBER(SEARCH('National Domains'!$A$2:$A$48,L1640)))&gt;0,"Yes","No")</f>
        <v>Yes</v>
      </c>
      <c r="R1640" s="2" t="str">
        <f>IF(COUNTIFS(Calibration!$A:$A,A1640,Calibration!$B:$B,B1640)&gt;0,"Yes","No")</f>
        <v>No</v>
      </c>
      <c r="S1640" s="6"/>
    </row>
    <row r="1641" spans="1:19" ht="34.5" customHeight="1" x14ac:dyDescent="0.2">
      <c r="A1641" s="2">
        <v>311</v>
      </c>
      <c r="B1641" s="2">
        <v>15</v>
      </c>
      <c r="C1641" s="2" t="s">
        <v>493</v>
      </c>
      <c r="D1641" s="2" t="s">
        <v>39</v>
      </c>
      <c r="E1641" s="2">
        <v>20240924</v>
      </c>
      <c r="F1641" s="2">
        <v>20240929</v>
      </c>
      <c r="G1641" s="2">
        <v>78721</v>
      </c>
      <c r="H1641" s="2">
        <v>78721</v>
      </c>
      <c r="I1641" s="2">
        <v>219</v>
      </c>
      <c r="J1641" s="2" t="s">
        <v>494</v>
      </c>
      <c r="K1641" s="2" t="s">
        <v>15</v>
      </c>
      <c r="L1641" s="2" t="s">
        <v>5341</v>
      </c>
      <c r="M1641" s="7" t="s">
        <v>5342</v>
      </c>
      <c r="N1641" s="7" t="s">
        <v>5343</v>
      </c>
      <c r="O1641" s="2"/>
      <c r="P1641" s="2"/>
      <c r="Q1641" s="2" t="str">
        <f>IF(SUMPRODUCT(--ISNUMBER(SEARCH('National Domains'!$A$2:$A$48,L1641)))&gt;0,"Yes","No")</f>
        <v>No</v>
      </c>
      <c r="R1641" s="2" t="str">
        <f>IF(COUNTIFS(Calibration!$A:$A,A1641,Calibration!$B:$B,B1641)&gt;0,"Yes","No")</f>
        <v>No</v>
      </c>
      <c r="S1641" s="6"/>
    </row>
    <row r="1642" spans="1:19" ht="34.5" customHeight="1" x14ac:dyDescent="0.2">
      <c r="A1642" s="2">
        <v>311</v>
      </c>
      <c r="B1642" s="2">
        <v>16</v>
      </c>
      <c r="C1642" s="2" t="s">
        <v>493</v>
      </c>
      <c r="D1642" s="2" t="s">
        <v>39</v>
      </c>
      <c r="E1642" s="2">
        <v>20240924</v>
      </c>
      <c r="F1642" s="2">
        <v>20240929</v>
      </c>
      <c r="G1642" s="2">
        <v>78721</v>
      </c>
      <c r="H1642" s="2">
        <v>78721</v>
      </c>
      <c r="I1642" s="2">
        <v>219</v>
      </c>
      <c r="J1642" s="2" t="s">
        <v>494</v>
      </c>
      <c r="K1642" s="2" t="s">
        <v>15</v>
      </c>
      <c r="L1642" s="2" t="s">
        <v>5344</v>
      </c>
      <c r="M1642" s="7" t="s">
        <v>5345</v>
      </c>
      <c r="N1642" s="7" t="s">
        <v>5346</v>
      </c>
      <c r="O1642" s="2"/>
      <c r="P1642" s="2"/>
      <c r="Q1642" s="2" t="str">
        <f>IF(SUMPRODUCT(--ISNUMBER(SEARCH('National Domains'!$A$2:$A$48,L1642)))&gt;0,"Yes","No")</f>
        <v>No</v>
      </c>
      <c r="R1642" s="2" t="str">
        <f>IF(COUNTIFS(Calibration!$A:$A,A1642,Calibration!$B:$B,B1642)&gt;0,"Yes","No")</f>
        <v>No</v>
      </c>
      <c r="S1642" s="6"/>
    </row>
    <row r="1643" spans="1:19" ht="34.5" customHeight="1" x14ac:dyDescent="0.2">
      <c r="A1643" s="2">
        <v>311</v>
      </c>
      <c r="B1643" s="2">
        <v>17</v>
      </c>
      <c r="C1643" s="2" t="s">
        <v>493</v>
      </c>
      <c r="D1643" s="2" t="s">
        <v>39</v>
      </c>
      <c r="E1643" s="2">
        <v>20240924</v>
      </c>
      <c r="F1643" s="2">
        <v>20240929</v>
      </c>
      <c r="G1643" s="2">
        <v>78721</v>
      </c>
      <c r="H1643" s="2">
        <v>78721</v>
      </c>
      <c r="I1643" s="2">
        <v>219</v>
      </c>
      <c r="J1643" s="2" t="s">
        <v>494</v>
      </c>
      <c r="K1643" s="2" t="s">
        <v>15</v>
      </c>
      <c r="L1643" s="2" t="s">
        <v>5347</v>
      </c>
      <c r="M1643" s="7" t="s">
        <v>5348</v>
      </c>
      <c r="N1643" s="7" t="s">
        <v>5349</v>
      </c>
      <c r="O1643" s="2"/>
      <c r="P1643" s="2"/>
      <c r="Q1643" s="2" t="str">
        <f>IF(SUMPRODUCT(--ISNUMBER(SEARCH('National Domains'!$A$2:$A$48,L1643)))&gt;0,"Yes","No")</f>
        <v>No</v>
      </c>
      <c r="R1643" s="2" t="str">
        <f>IF(COUNTIFS(Calibration!$A:$A,A1643,Calibration!$B:$B,B1643)&gt;0,"Yes","No")</f>
        <v>No</v>
      </c>
      <c r="S1643" s="6"/>
    </row>
    <row r="1644" spans="1:19" ht="34.5" customHeight="1" x14ac:dyDescent="0.2">
      <c r="A1644" s="2">
        <v>311</v>
      </c>
      <c r="B1644" s="2">
        <v>18</v>
      </c>
      <c r="C1644" s="2" t="s">
        <v>493</v>
      </c>
      <c r="D1644" s="2" t="s">
        <v>39</v>
      </c>
      <c r="E1644" s="2">
        <v>20240924</v>
      </c>
      <c r="F1644" s="2">
        <v>20240929</v>
      </c>
      <c r="G1644" s="2">
        <v>78721</v>
      </c>
      <c r="H1644" s="2">
        <v>78721</v>
      </c>
      <c r="I1644" s="2">
        <v>219</v>
      </c>
      <c r="J1644" s="2" t="s">
        <v>494</v>
      </c>
      <c r="K1644" s="2" t="s">
        <v>15</v>
      </c>
      <c r="L1644" s="2" t="s">
        <v>5350</v>
      </c>
      <c r="M1644" s="7" t="s">
        <v>5351</v>
      </c>
      <c r="N1644" s="7" t="s">
        <v>5352</v>
      </c>
      <c r="O1644" s="2"/>
      <c r="P1644" s="2"/>
      <c r="Q1644" s="2" t="str">
        <f>IF(SUMPRODUCT(--ISNUMBER(SEARCH('National Domains'!$A$2:$A$48,L1644)))&gt;0,"Yes","No")</f>
        <v>Yes</v>
      </c>
      <c r="R1644" s="2" t="str">
        <f>IF(COUNTIFS(Calibration!$A:$A,A1644,Calibration!$B:$B,B1644)&gt;0,"Yes","No")</f>
        <v>No</v>
      </c>
      <c r="S1644" s="6"/>
    </row>
    <row r="1645" spans="1:19" ht="34.5" customHeight="1" x14ac:dyDescent="0.2">
      <c r="A1645" s="2">
        <v>311</v>
      </c>
      <c r="B1645" s="2">
        <v>19</v>
      </c>
      <c r="C1645" s="2" t="s">
        <v>493</v>
      </c>
      <c r="D1645" s="2" t="s">
        <v>39</v>
      </c>
      <c r="E1645" s="2">
        <v>20240924</v>
      </c>
      <c r="F1645" s="2">
        <v>20240929</v>
      </c>
      <c r="G1645" s="2">
        <v>78721</v>
      </c>
      <c r="H1645" s="2">
        <v>78721</v>
      </c>
      <c r="I1645" s="2">
        <v>219</v>
      </c>
      <c r="J1645" s="2" t="s">
        <v>494</v>
      </c>
      <c r="K1645" s="2" t="s">
        <v>15</v>
      </c>
      <c r="L1645" s="2" t="s">
        <v>5353</v>
      </c>
      <c r="M1645" s="7" t="s">
        <v>5354</v>
      </c>
      <c r="N1645" s="7" t="s">
        <v>5355</v>
      </c>
      <c r="O1645" s="2"/>
      <c r="P1645" s="2"/>
      <c r="Q1645" s="2" t="str">
        <f>IF(SUMPRODUCT(--ISNUMBER(SEARCH('National Domains'!$A$2:$A$48,L1645)))&gt;0,"Yes","No")</f>
        <v>Yes</v>
      </c>
      <c r="R1645" s="2" t="str">
        <f>IF(COUNTIFS(Calibration!$A:$A,A1645,Calibration!$B:$B,B1645)&gt;0,"Yes","No")</f>
        <v>No</v>
      </c>
      <c r="S1645" s="6"/>
    </row>
    <row r="1646" spans="1:19" ht="34.5" customHeight="1" x14ac:dyDescent="0.2">
      <c r="A1646" s="2">
        <v>311</v>
      </c>
      <c r="B1646" s="2">
        <v>20</v>
      </c>
      <c r="C1646" s="2" t="s">
        <v>493</v>
      </c>
      <c r="D1646" s="2" t="s">
        <v>39</v>
      </c>
      <c r="E1646" s="2">
        <v>20240924</v>
      </c>
      <c r="F1646" s="2">
        <v>20240929</v>
      </c>
      <c r="G1646" s="2">
        <v>78721</v>
      </c>
      <c r="H1646" s="2">
        <v>78721</v>
      </c>
      <c r="I1646" s="2">
        <v>219</v>
      </c>
      <c r="J1646" s="2" t="s">
        <v>494</v>
      </c>
      <c r="K1646" s="2" t="s">
        <v>15</v>
      </c>
      <c r="L1646" s="2" t="s">
        <v>5356</v>
      </c>
      <c r="M1646" s="7" t="s">
        <v>5357</v>
      </c>
      <c r="N1646" s="7" t="s">
        <v>5358</v>
      </c>
      <c r="O1646" s="2"/>
      <c r="P1646" s="2"/>
      <c r="Q1646" s="2" t="str">
        <f>IF(SUMPRODUCT(--ISNUMBER(SEARCH('National Domains'!$A$2:$A$48,L1646)))&gt;0,"Yes","No")</f>
        <v>Yes</v>
      </c>
      <c r="R1646" s="2" t="str">
        <f>IF(COUNTIFS(Calibration!$A:$A,A1646,Calibration!$B:$B,B1646)&gt;0,"Yes","No")</f>
        <v>No</v>
      </c>
      <c r="S1646" s="6"/>
    </row>
    <row r="1647" spans="1:19" ht="34.5" customHeight="1" x14ac:dyDescent="0.2">
      <c r="A1647" s="2">
        <v>311</v>
      </c>
      <c r="B1647" s="2">
        <v>21</v>
      </c>
      <c r="C1647" s="2" t="s">
        <v>493</v>
      </c>
      <c r="D1647" s="2" t="s">
        <v>39</v>
      </c>
      <c r="E1647" s="2">
        <v>20240924</v>
      </c>
      <c r="F1647" s="2">
        <v>20240929</v>
      </c>
      <c r="G1647" s="2">
        <v>78721</v>
      </c>
      <c r="H1647" s="2">
        <v>78721</v>
      </c>
      <c r="I1647" s="2">
        <v>219</v>
      </c>
      <c r="J1647" s="2" t="s">
        <v>494</v>
      </c>
      <c r="K1647" s="2" t="s">
        <v>15</v>
      </c>
      <c r="L1647" s="2" t="s">
        <v>5359</v>
      </c>
      <c r="M1647" s="7" t="s">
        <v>5360</v>
      </c>
      <c r="N1647" s="7" t="s">
        <v>5361</v>
      </c>
      <c r="O1647" s="2"/>
      <c r="P1647" s="2"/>
      <c r="Q1647" s="2" t="str">
        <f>IF(SUMPRODUCT(--ISNUMBER(SEARCH('National Domains'!$A$2:$A$48,L1647)))&gt;0,"Yes","No")</f>
        <v>No</v>
      </c>
      <c r="R1647" s="2" t="str">
        <f>IF(COUNTIFS(Calibration!$A:$A,A1647,Calibration!$B:$B,B1647)&gt;0,"Yes","No")</f>
        <v>No</v>
      </c>
      <c r="S1647" s="6"/>
    </row>
    <row r="1648" spans="1:19" ht="34.5" customHeight="1" x14ac:dyDescent="0.2">
      <c r="A1648" s="2">
        <v>311</v>
      </c>
      <c r="B1648" s="2">
        <v>22</v>
      </c>
      <c r="C1648" s="2" t="s">
        <v>493</v>
      </c>
      <c r="D1648" s="2" t="s">
        <v>39</v>
      </c>
      <c r="E1648" s="2">
        <v>20240924</v>
      </c>
      <c r="F1648" s="2">
        <v>20240929</v>
      </c>
      <c r="G1648" s="2">
        <v>78721</v>
      </c>
      <c r="H1648" s="2">
        <v>78721</v>
      </c>
      <c r="I1648" s="2">
        <v>219</v>
      </c>
      <c r="J1648" s="2" t="s">
        <v>494</v>
      </c>
      <c r="K1648" s="2" t="s">
        <v>15</v>
      </c>
      <c r="L1648" s="2" t="s">
        <v>5362</v>
      </c>
      <c r="M1648" s="7" t="s">
        <v>5363</v>
      </c>
      <c r="N1648" s="7" t="s">
        <v>5364</v>
      </c>
      <c r="O1648" s="2"/>
      <c r="P1648" s="2"/>
      <c r="Q1648" s="2" t="str">
        <f>IF(SUMPRODUCT(--ISNUMBER(SEARCH('National Domains'!$A$2:$A$48,L1648)))&gt;0,"Yes","No")</f>
        <v>No</v>
      </c>
      <c r="R1648" s="2" t="str">
        <f>IF(COUNTIFS(Calibration!$A:$A,A1648,Calibration!$B:$B,B1648)&gt;0,"Yes","No")</f>
        <v>No</v>
      </c>
      <c r="S1648" s="6"/>
    </row>
    <row r="1649" spans="1:19" ht="34.5" customHeight="1" x14ac:dyDescent="0.2">
      <c r="A1649" s="4">
        <v>311</v>
      </c>
      <c r="B1649" s="4">
        <v>23</v>
      </c>
      <c r="C1649" s="4" t="s">
        <v>493</v>
      </c>
      <c r="D1649" s="4" t="s">
        <v>39</v>
      </c>
      <c r="E1649" s="4">
        <v>20240924</v>
      </c>
      <c r="F1649" s="4">
        <v>20240929</v>
      </c>
      <c r="G1649" s="4">
        <v>78721</v>
      </c>
      <c r="H1649" s="4">
        <v>78721</v>
      </c>
      <c r="I1649" s="4">
        <v>219</v>
      </c>
      <c r="J1649" s="4" t="s">
        <v>494</v>
      </c>
      <c r="K1649" s="4" t="s">
        <v>15</v>
      </c>
      <c r="L1649" s="4" t="s">
        <v>5365</v>
      </c>
      <c r="M1649" s="5" t="s">
        <v>5366</v>
      </c>
      <c r="N1649" s="5" t="s">
        <v>5367</v>
      </c>
      <c r="O1649" s="4"/>
      <c r="P1649" s="4"/>
      <c r="Q1649" s="4" t="str">
        <f>IF(SUMPRODUCT(--ISNUMBER(SEARCH('National Domains'!$A$2:$A$48,L1649)))&gt;0,"Yes","No")</f>
        <v>No</v>
      </c>
      <c r="R1649" s="4" t="str">
        <f>IF(COUNTIFS(Calibration!$A:$A,A1649,Calibration!$B:$B,B1649)&gt;0,"Yes","No")</f>
        <v>Yes</v>
      </c>
      <c r="S1649" s="6"/>
    </row>
    <row r="1650" spans="1:19" ht="34.5" customHeight="1" x14ac:dyDescent="0.2">
      <c r="A1650" s="2">
        <v>311</v>
      </c>
      <c r="B1650" s="2">
        <v>24</v>
      </c>
      <c r="C1650" s="2" t="s">
        <v>493</v>
      </c>
      <c r="D1650" s="2" t="s">
        <v>39</v>
      </c>
      <c r="E1650" s="2">
        <v>20240924</v>
      </c>
      <c r="F1650" s="2">
        <v>20240929</v>
      </c>
      <c r="G1650" s="2">
        <v>78721</v>
      </c>
      <c r="H1650" s="2">
        <v>78721</v>
      </c>
      <c r="I1650" s="2">
        <v>219</v>
      </c>
      <c r="J1650" s="2" t="s">
        <v>494</v>
      </c>
      <c r="K1650" s="2" t="s">
        <v>15</v>
      </c>
      <c r="L1650" s="2" t="s">
        <v>5368</v>
      </c>
      <c r="M1650" s="7" t="s">
        <v>5369</v>
      </c>
      <c r="N1650" s="7" t="s">
        <v>5370</v>
      </c>
      <c r="O1650" s="2"/>
      <c r="P1650" s="2"/>
      <c r="Q1650" s="2" t="str">
        <f>IF(SUMPRODUCT(--ISNUMBER(SEARCH('National Domains'!$A$2:$A$48,L1650)))&gt;0,"Yes","No")</f>
        <v>No</v>
      </c>
      <c r="R1650" s="2" t="str">
        <f>IF(COUNTIFS(Calibration!$A:$A,A1650,Calibration!$B:$B,B1650)&gt;0,"Yes","No")</f>
        <v>No</v>
      </c>
      <c r="S1650" s="6"/>
    </row>
    <row r="1651" spans="1:19" ht="34.5" customHeight="1" x14ac:dyDescent="0.2">
      <c r="A1651" s="2">
        <v>311</v>
      </c>
      <c r="B1651" s="2">
        <v>25</v>
      </c>
      <c r="C1651" s="2" t="s">
        <v>493</v>
      </c>
      <c r="D1651" s="2" t="s">
        <v>39</v>
      </c>
      <c r="E1651" s="2">
        <v>20240924</v>
      </c>
      <c r="F1651" s="2">
        <v>20240929</v>
      </c>
      <c r="G1651" s="2">
        <v>78721</v>
      </c>
      <c r="H1651" s="2">
        <v>78721</v>
      </c>
      <c r="I1651" s="2">
        <v>219</v>
      </c>
      <c r="J1651" s="2" t="s">
        <v>494</v>
      </c>
      <c r="K1651" s="2" t="s">
        <v>15</v>
      </c>
      <c r="L1651" s="2" t="s">
        <v>5371</v>
      </c>
      <c r="M1651" s="7" t="s">
        <v>5372</v>
      </c>
      <c r="N1651" s="7" t="s">
        <v>5373</v>
      </c>
      <c r="O1651" s="2"/>
      <c r="P1651" s="2"/>
      <c r="Q1651" s="2" t="str">
        <f>IF(SUMPRODUCT(--ISNUMBER(SEARCH('National Domains'!$A$2:$A$48,L1651)))&gt;0,"Yes","No")</f>
        <v>No</v>
      </c>
      <c r="R1651" s="2" t="str">
        <f>IF(COUNTIFS(Calibration!$A:$A,A1651,Calibration!$B:$B,B1651)&gt;0,"Yes","No")</f>
        <v>No</v>
      </c>
      <c r="S1651" s="6"/>
    </row>
    <row r="1652" spans="1:19" ht="34.5" customHeight="1" x14ac:dyDescent="0.2">
      <c r="A1652" s="2">
        <v>311</v>
      </c>
      <c r="B1652" s="2">
        <v>26</v>
      </c>
      <c r="C1652" s="2" t="s">
        <v>493</v>
      </c>
      <c r="D1652" s="2" t="s">
        <v>39</v>
      </c>
      <c r="E1652" s="2">
        <v>20240924</v>
      </c>
      <c r="F1652" s="2">
        <v>20240929</v>
      </c>
      <c r="G1652" s="2">
        <v>78721</v>
      </c>
      <c r="H1652" s="2">
        <v>78721</v>
      </c>
      <c r="I1652" s="2">
        <v>219</v>
      </c>
      <c r="J1652" s="2" t="s">
        <v>494</v>
      </c>
      <c r="K1652" s="2" t="s">
        <v>15</v>
      </c>
      <c r="L1652" s="2" t="s">
        <v>5374</v>
      </c>
      <c r="M1652" s="7" t="s">
        <v>5375</v>
      </c>
      <c r="N1652" s="7" t="s">
        <v>5376</v>
      </c>
      <c r="O1652" s="2"/>
      <c r="P1652" s="2"/>
      <c r="Q1652" s="2" t="str">
        <f>IF(SUMPRODUCT(--ISNUMBER(SEARCH('National Domains'!$A$2:$A$48,L1652)))&gt;0,"Yes","No")</f>
        <v>No</v>
      </c>
      <c r="R1652" s="2" t="str">
        <f>IF(COUNTIFS(Calibration!$A:$A,A1652,Calibration!$B:$B,B1652)&gt;0,"Yes","No")</f>
        <v>No</v>
      </c>
      <c r="S1652" s="6"/>
    </row>
    <row r="1653" spans="1:19" ht="34.5" customHeight="1" x14ac:dyDescent="0.2">
      <c r="A1653" s="2">
        <v>312</v>
      </c>
      <c r="B1653" s="2">
        <v>1</v>
      </c>
      <c r="C1653" s="2" t="s">
        <v>495</v>
      </c>
      <c r="D1653" s="2" t="s">
        <v>39</v>
      </c>
      <c r="E1653" s="2">
        <v>20241009</v>
      </c>
      <c r="F1653" s="2">
        <v>20241010</v>
      </c>
      <c r="G1653" s="2">
        <v>34250</v>
      </c>
      <c r="H1653" s="2">
        <v>34250</v>
      </c>
      <c r="I1653" s="2">
        <v>32</v>
      </c>
      <c r="J1653" s="2" t="s">
        <v>26</v>
      </c>
      <c r="K1653" s="2" t="s">
        <v>27</v>
      </c>
      <c r="L1653" s="2" t="s">
        <v>5377</v>
      </c>
      <c r="M1653" s="7" t="s">
        <v>5378</v>
      </c>
      <c r="N1653" s="7" t="s">
        <v>5379</v>
      </c>
      <c r="O1653" s="2"/>
      <c r="P1653" s="2"/>
      <c r="Q1653" s="2" t="str">
        <f>IF(SUMPRODUCT(--ISNUMBER(SEARCH('National Domains'!$A$2:$A$48,L1653)))&gt;0,"Yes","No")</f>
        <v>No</v>
      </c>
      <c r="R1653" s="2" t="str">
        <f>IF(COUNTIFS(Calibration!$A:$A,A1653,Calibration!$B:$B,B1653)&gt;0,"Yes","No")</f>
        <v>No</v>
      </c>
      <c r="S1653" s="6"/>
    </row>
    <row r="1654" spans="1:19" ht="34.5" customHeight="1" x14ac:dyDescent="0.2">
      <c r="A1654" s="2">
        <v>312</v>
      </c>
      <c r="B1654" s="2">
        <v>2</v>
      </c>
      <c r="C1654" s="2" t="s">
        <v>495</v>
      </c>
      <c r="D1654" s="2" t="s">
        <v>39</v>
      </c>
      <c r="E1654" s="2">
        <v>20241009</v>
      </c>
      <c r="F1654" s="2">
        <v>20241010</v>
      </c>
      <c r="G1654" s="2">
        <v>34250</v>
      </c>
      <c r="H1654" s="2">
        <v>34250</v>
      </c>
      <c r="I1654" s="2">
        <v>32</v>
      </c>
      <c r="J1654" s="2" t="s">
        <v>26</v>
      </c>
      <c r="K1654" s="2" t="s">
        <v>27</v>
      </c>
      <c r="L1654" s="2" t="s">
        <v>5380</v>
      </c>
      <c r="M1654" s="7" t="s">
        <v>5381</v>
      </c>
      <c r="N1654" s="7" t="s">
        <v>5382</v>
      </c>
      <c r="O1654" s="2"/>
      <c r="P1654" s="2"/>
      <c r="Q1654" s="2" t="str">
        <f>IF(SUMPRODUCT(--ISNUMBER(SEARCH('National Domains'!$A$2:$A$48,L1654)))&gt;0,"Yes","No")</f>
        <v>No</v>
      </c>
      <c r="R1654" s="2" t="str">
        <f>IF(COUNTIFS(Calibration!$A:$A,A1654,Calibration!$B:$B,B1654)&gt;0,"Yes","No")</f>
        <v>No</v>
      </c>
      <c r="S1654" s="6"/>
    </row>
    <row r="1655" spans="1:19" ht="34.5" customHeight="1" x14ac:dyDescent="0.2">
      <c r="A1655" s="2">
        <v>312</v>
      </c>
      <c r="B1655" s="2">
        <v>3</v>
      </c>
      <c r="C1655" s="2" t="s">
        <v>495</v>
      </c>
      <c r="D1655" s="2" t="s">
        <v>39</v>
      </c>
      <c r="E1655" s="2">
        <v>20241009</v>
      </c>
      <c r="F1655" s="2">
        <v>20241010</v>
      </c>
      <c r="G1655" s="2">
        <v>34250</v>
      </c>
      <c r="H1655" s="2">
        <v>34250</v>
      </c>
      <c r="I1655" s="2">
        <v>32</v>
      </c>
      <c r="J1655" s="2" t="s">
        <v>26</v>
      </c>
      <c r="K1655" s="2" t="s">
        <v>27</v>
      </c>
      <c r="L1655" s="2" t="s">
        <v>5383</v>
      </c>
      <c r="M1655" s="7" t="s">
        <v>5384</v>
      </c>
      <c r="N1655" s="7" t="s">
        <v>5385</v>
      </c>
      <c r="O1655" s="2"/>
      <c r="P1655" s="2"/>
      <c r="Q1655" s="2" t="str">
        <f>IF(SUMPRODUCT(--ISNUMBER(SEARCH('National Domains'!$A$2:$A$48,L1655)))&gt;0,"Yes","No")</f>
        <v>No</v>
      </c>
      <c r="R1655" s="2" t="str">
        <f>IF(COUNTIFS(Calibration!$A:$A,A1655,Calibration!$B:$B,B1655)&gt;0,"Yes","No")</f>
        <v>No</v>
      </c>
      <c r="S1655" s="6"/>
    </row>
    <row r="1656" spans="1:19" ht="34.5" customHeight="1" x14ac:dyDescent="0.2">
      <c r="A1656" s="2">
        <v>312</v>
      </c>
      <c r="B1656" s="2">
        <v>4</v>
      </c>
      <c r="C1656" s="2" t="s">
        <v>495</v>
      </c>
      <c r="D1656" s="2" t="s">
        <v>39</v>
      </c>
      <c r="E1656" s="2">
        <v>20241009</v>
      </c>
      <c r="F1656" s="2">
        <v>20241010</v>
      </c>
      <c r="G1656" s="2">
        <v>34250</v>
      </c>
      <c r="H1656" s="2">
        <v>34250</v>
      </c>
      <c r="I1656" s="2">
        <v>32</v>
      </c>
      <c r="J1656" s="2" t="s">
        <v>26</v>
      </c>
      <c r="K1656" s="2" t="s">
        <v>27</v>
      </c>
      <c r="L1656" s="2" t="s">
        <v>5386</v>
      </c>
      <c r="M1656" s="7" t="s">
        <v>5387</v>
      </c>
      <c r="N1656" s="7" t="s">
        <v>5388</v>
      </c>
      <c r="O1656" s="2"/>
      <c r="P1656" s="2"/>
      <c r="Q1656" s="2" t="str">
        <f>IF(SUMPRODUCT(--ISNUMBER(SEARCH('National Domains'!$A$2:$A$48,L1656)))&gt;0,"Yes","No")</f>
        <v>No</v>
      </c>
      <c r="R1656" s="2" t="str">
        <f>IF(COUNTIFS(Calibration!$A:$A,A1656,Calibration!$B:$B,B1656)&gt;0,"Yes","No")</f>
        <v>No</v>
      </c>
      <c r="S1656" s="6"/>
    </row>
    <row r="1657" spans="1:19" ht="34.5" customHeight="1" x14ac:dyDescent="0.2">
      <c r="A1657" s="2">
        <v>312</v>
      </c>
      <c r="B1657" s="2">
        <v>5</v>
      </c>
      <c r="C1657" s="2" t="s">
        <v>495</v>
      </c>
      <c r="D1657" s="2" t="s">
        <v>39</v>
      </c>
      <c r="E1657" s="2">
        <v>20241009</v>
      </c>
      <c r="F1657" s="2">
        <v>20241010</v>
      </c>
      <c r="G1657" s="2">
        <v>34250</v>
      </c>
      <c r="H1657" s="2">
        <v>34250</v>
      </c>
      <c r="I1657" s="2">
        <v>32</v>
      </c>
      <c r="J1657" s="2" t="s">
        <v>26</v>
      </c>
      <c r="K1657" s="2" t="s">
        <v>27</v>
      </c>
      <c r="L1657" s="2" t="s">
        <v>5389</v>
      </c>
      <c r="M1657" s="7" t="s">
        <v>5390</v>
      </c>
      <c r="N1657" s="7" t="s">
        <v>5391</v>
      </c>
      <c r="O1657" s="2"/>
      <c r="P1657" s="2"/>
      <c r="Q1657" s="2" t="str">
        <f>IF(SUMPRODUCT(--ISNUMBER(SEARCH('National Domains'!$A$2:$A$48,L1657)))&gt;0,"Yes","No")</f>
        <v>No</v>
      </c>
      <c r="R1657" s="2" t="str">
        <f>IF(COUNTIFS(Calibration!$A:$A,A1657,Calibration!$B:$B,B1657)&gt;0,"Yes","No")</f>
        <v>No</v>
      </c>
      <c r="S1657" s="6"/>
    </row>
    <row r="1658" spans="1:19" ht="34.5" customHeight="1" x14ac:dyDescent="0.2">
      <c r="A1658" s="2">
        <v>312</v>
      </c>
      <c r="B1658" s="2">
        <v>6</v>
      </c>
      <c r="C1658" s="2" t="s">
        <v>495</v>
      </c>
      <c r="D1658" s="2" t="s">
        <v>39</v>
      </c>
      <c r="E1658" s="2">
        <v>20241009</v>
      </c>
      <c r="F1658" s="2">
        <v>20241010</v>
      </c>
      <c r="G1658" s="2">
        <v>34250</v>
      </c>
      <c r="H1658" s="2">
        <v>34250</v>
      </c>
      <c r="I1658" s="2">
        <v>32</v>
      </c>
      <c r="J1658" s="2" t="s">
        <v>26</v>
      </c>
      <c r="K1658" s="2" t="s">
        <v>27</v>
      </c>
      <c r="L1658" s="2" t="s">
        <v>5392</v>
      </c>
      <c r="M1658" s="7" t="s">
        <v>5393</v>
      </c>
      <c r="N1658" s="7" t="s">
        <v>5394</v>
      </c>
      <c r="O1658" s="2"/>
      <c r="P1658" s="2"/>
      <c r="Q1658" s="2" t="str">
        <f>IF(SUMPRODUCT(--ISNUMBER(SEARCH('National Domains'!$A$2:$A$48,L1658)))&gt;0,"Yes","No")</f>
        <v>No</v>
      </c>
      <c r="R1658" s="2" t="str">
        <f>IF(COUNTIFS(Calibration!$A:$A,A1658,Calibration!$B:$B,B1658)&gt;0,"Yes","No")</f>
        <v>No</v>
      </c>
      <c r="S1658" s="6"/>
    </row>
    <row r="1659" spans="1:19" ht="34.5" customHeight="1" x14ac:dyDescent="0.2">
      <c r="A1659" s="2">
        <v>312</v>
      </c>
      <c r="B1659" s="2">
        <v>7</v>
      </c>
      <c r="C1659" s="2" t="s">
        <v>495</v>
      </c>
      <c r="D1659" s="2" t="s">
        <v>39</v>
      </c>
      <c r="E1659" s="2">
        <v>20241009</v>
      </c>
      <c r="F1659" s="2">
        <v>20241010</v>
      </c>
      <c r="G1659" s="2">
        <v>34250</v>
      </c>
      <c r="H1659" s="2">
        <v>34250</v>
      </c>
      <c r="I1659" s="2">
        <v>32</v>
      </c>
      <c r="J1659" s="2" t="s">
        <v>26</v>
      </c>
      <c r="K1659" s="2" t="s">
        <v>27</v>
      </c>
      <c r="L1659" s="2" t="s">
        <v>5395</v>
      </c>
      <c r="M1659" s="7" t="s">
        <v>5396</v>
      </c>
      <c r="N1659" s="7" t="s">
        <v>5397</v>
      </c>
      <c r="O1659" s="2"/>
      <c r="P1659" s="2"/>
      <c r="Q1659" s="2" t="str">
        <f>IF(SUMPRODUCT(--ISNUMBER(SEARCH('National Domains'!$A$2:$A$48,L1659)))&gt;0,"Yes","No")</f>
        <v>No</v>
      </c>
      <c r="R1659" s="2" t="str">
        <f>IF(COUNTIFS(Calibration!$A:$A,A1659,Calibration!$B:$B,B1659)&gt;0,"Yes","No")</f>
        <v>No</v>
      </c>
      <c r="S1659" s="6"/>
    </row>
    <row r="1660" spans="1:19" ht="34.5" customHeight="1" x14ac:dyDescent="0.2">
      <c r="A1660" s="2">
        <v>312</v>
      </c>
      <c r="B1660" s="2">
        <v>8</v>
      </c>
      <c r="C1660" s="2" t="s">
        <v>495</v>
      </c>
      <c r="D1660" s="2" t="s">
        <v>39</v>
      </c>
      <c r="E1660" s="2">
        <v>20241009</v>
      </c>
      <c r="F1660" s="2">
        <v>20241010</v>
      </c>
      <c r="G1660" s="2">
        <v>34250</v>
      </c>
      <c r="H1660" s="2">
        <v>34250</v>
      </c>
      <c r="I1660" s="2">
        <v>32</v>
      </c>
      <c r="J1660" s="2" t="s">
        <v>26</v>
      </c>
      <c r="K1660" s="2" t="s">
        <v>27</v>
      </c>
      <c r="L1660" s="2" t="s">
        <v>5398</v>
      </c>
      <c r="M1660" s="7" t="s">
        <v>5399</v>
      </c>
      <c r="N1660" s="7" t="s">
        <v>5400</v>
      </c>
      <c r="O1660" s="2"/>
      <c r="P1660" s="2"/>
      <c r="Q1660" s="2" t="str">
        <f>IF(SUMPRODUCT(--ISNUMBER(SEARCH('National Domains'!$A$2:$A$48,L1660)))&gt;0,"Yes","No")</f>
        <v>No</v>
      </c>
      <c r="R1660" s="2" t="str">
        <f>IF(COUNTIFS(Calibration!$A:$A,A1660,Calibration!$B:$B,B1660)&gt;0,"Yes","No")</f>
        <v>No</v>
      </c>
      <c r="S1660" s="6"/>
    </row>
    <row r="1661" spans="1:19" ht="34.5" customHeight="1" x14ac:dyDescent="0.2">
      <c r="A1661" s="2">
        <v>312</v>
      </c>
      <c r="B1661" s="2">
        <v>9</v>
      </c>
      <c r="C1661" s="2" t="s">
        <v>495</v>
      </c>
      <c r="D1661" s="2" t="s">
        <v>39</v>
      </c>
      <c r="E1661" s="2">
        <v>20241009</v>
      </c>
      <c r="F1661" s="2">
        <v>20241010</v>
      </c>
      <c r="G1661" s="2">
        <v>34250</v>
      </c>
      <c r="H1661" s="2">
        <v>34250</v>
      </c>
      <c r="I1661" s="2">
        <v>32</v>
      </c>
      <c r="J1661" s="2" t="s">
        <v>26</v>
      </c>
      <c r="K1661" s="2" t="s">
        <v>27</v>
      </c>
      <c r="L1661" s="2" t="s">
        <v>5401</v>
      </c>
      <c r="M1661" s="7" t="s">
        <v>5402</v>
      </c>
      <c r="N1661" s="7" t="s">
        <v>5403</v>
      </c>
      <c r="O1661" s="2"/>
      <c r="P1661" s="2"/>
      <c r="Q1661" s="2" t="str">
        <f>IF(SUMPRODUCT(--ISNUMBER(SEARCH('National Domains'!$A$2:$A$48,L1661)))&gt;0,"Yes","No")</f>
        <v>No</v>
      </c>
      <c r="R1661" s="2" t="str">
        <f>IF(COUNTIFS(Calibration!$A:$A,A1661,Calibration!$B:$B,B1661)&gt;0,"Yes","No")</f>
        <v>No</v>
      </c>
      <c r="S1661" s="6"/>
    </row>
    <row r="1662" spans="1:19" ht="34.5" customHeight="1" x14ac:dyDescent="0.2">
      <c r="A1662" s="2">
        <v>312</v>
      </c>
      <c r="B1662" s="2">
        <v>10</v>
      </c>
      <c r="C1662" s="2" t="s">
        <v>495</v>
      </c>
      <c r="D1662" s="2" t="s">
        <v>39</v>
      </c>
      <c r="E1662" s="2">
        <v>20241009</v>
      </c>
      <c r="F1662" s="2">
        <v>20241010</v>
      </c>
      <c r="G1662" s="2">
        <v>34250</v>
      </c>
      <c r="H1662" s="2">
        <v>34250</v>
      </c>
      <c r="I1662" s="2">
        <v>32</v>
      </c>
      <c r="J1662" s="2" t="s">
        <v>26</v>
      </c>
      <c r="K1662" s="2" t="s">
        <v>27</v>
      </c>
      <c r="L1662" s="2" t="s">
        <v>5404</v>
      </c>
      <c r="M1662" s="7" t="s">
        <v>5405</v>
      </c>
      <c r="N1662" s="7" t="s">
        <v>5406</v>
      </c>
      <c r="O1662" s="2"/>
      <c r="P1662" s="2"/>
      <c r="Q1662" s="2" t="str">
        <f>IF(SUMPRODUCT(--ISNUMBER(SEARCH('National Domains'!$A$2:$A$48,L1662)))&gt;0,"Yes","No")</f>
        <v>Yes</v>
      </c>
      <c r="R1662" s="2" t="str">
        <f>IF(COUNTIFS(Calibration!$A:$A,A1662,Calibration!$B:$B,B1662)&gt;0,"Yes","No")</f>
        <v>No</v>
      </c>
      <c r="S1662" s="6"/>
    </row>
    <row r="1663" spans="1:19" ht="34.5" customHeight="1" x14ac:dyDescent="0.2">
      <c r="A1663" s="2">
        <v>312</v>
      </c>
      <c r="B1663" s="2">
        <v>11</v>
      </c>
      <c r="C1663" s="2" t="s">
        <v>495</v>
      </c>
      <c r="D1663" s="2" t="s">
        <v>39</v>
      </c>
      <c r="E1663" s="2">
        <v>20241009</v>
      </c>
      <c r="F1663" s="2">
        <v>20241010</v>
      </c>
      <c r="G1663" s="2">
        <v>34250</v>
      </c>
      <c r="H1663" s="2">
        <v>34250</v>
      </c>
      <c r="I1663" s="2">
        <v>32</v>
      </c>
      <c r="J1663" s="2" t="s">
        <v>26</v>
      </c>
      <c r="K1663" s="2" t="s">
        <v>27</v>
      </c>
      <c r="L1663" s="2" t="s">
        <v>5407</v>
      </c>
      <c r="M1663" s="7" t="s">
        <v>5408</v>
      </c>
      <c r="N1663" s="7" t="s">
        <v>5409</v>
      </c>
      <c r="O1663" s="2"/>
      <c r="P1663" s="2"/>
      <c r="Q1663" s="2" t="str">
        <f>IF(SUMPRODUCT(--ISNUMBER(SEARCH('National Domains'!$A$2:$A$48,L1663)))&gt;0,"Yes","No")</f>
        <v>Yes</v>
      </c>
      <c r="R1663" s="2" t="str">
        <f>IF(COUNTIFS(Calibration!$A:$A,A1663,Calibration!$B:$B,B1663)&gt;0,"Yes","No")</f>
        <v>No</v>
      </c>
      <c r="S1663" s="6"/>
    </row>
    <row r="1664" spans="1:19" ht="34.5" customHeight="1" x14ac:dyDescent="0.2">
      <c r="A1664" s="2">
        <v>312</v>
      </c>
      <c r="B1664" s="2">
        <v>12</v>
      </c>
      <c r="C1664" s="2" t="s">
        <v>495</v>
      </c>
      <c r="D1664" s="2" t="s">
        <v>39</v>
      </c>
      <c r="E1664" s="2">
        <v>20241009</v>
      </c>
      <c r="F1664" s="2">
        <v>20241010</v>
      </c>
      <c r="G1664" s="2">
        <v>34250</v>
      </c>
      <c r="H1664" s="2">
        <v>34250</v>
      </c>
      <c r="I1664" s="2">
        <v>32</v>
      </c>
      <c r="J1664" s="2" t="s">
        <v>26</v>
      </c>
      <c r="K1664" s="2" t="s">
        <v>27</v>
      </c>
      <c r="L1664" s="2" t="s">
        <v>5410</v>
      </c>
      <c r="M1664" s="7" t="s">
        <v>5411</v>
      </c>
      <c r="N1664" s="7" t="s">
        <v>5412</v>
      </c>
      <c r="O1664" s="2"/>
      <c r="P1664" s="2"/>
      <c r="Q1664" s="2" t="str">
        <f>IF(SUMPRODUCT(--ISNUMBER(SEARCH('National Domains'!$A$2:$A$48,L1664)))&gt;0,"Yes","No")</f>
        <v>Yes</v>
      </c>
      <c r="R1664" s="2" t="str">
        <f>IF(COUNTIFS(Calibration!$A:$A,A1664,Calibration!$B:$B,B1664)&gt;0,"Yes","No")</f>
        <v>No</v>
      </c>
      <c r="S1664" s="6"/>
    </row>
    <row r="1665" spans="1:19" ht="34.5" customHeight="1" x14ac:dyDescent="0.2">
      <c r="A1665" s="2">
        <v>312</v>
      </c>
      <c r="B1665" s="2">
        <v>13</v>
      </c>
      <c r="C1665" s="2" t="s">
        <v>495</v>
      </c>
      <c r="D1665" s="2" t="s">
        <v>39</v>
      </c>
      <c r="E1665" s="2">
        <v>20241009</v>
      </c>
      <c r="F1665" s="2">
        <v>20241010</v>
      </c>
      <c r="G1665" s="2">
        <v>34250</v>
      </c>
      <c r="H1665" s="2">
        <v>34250</v>
      </c>
      <c r="I1665" s="2">
        <v>32</v>
      </c>
      <c r="J1665" s="2" t="s">
        <v>26</v>
      </c>
      <c r="K1665" s="2" t="s">
        <v>27</v>
      </c>
      <c r="L1665" s="2" t="s">
        <v>5413</v>
      </c>
      <c r="M1665" s="7" t="s">
        <v>5414</v>
      </c>
      <c r="N1665" s="7" t="s">
        <v>5415</v>
      </c>
      <c r="O1665" s="2"/>
      <c r="P1665" s="2"/>
      <c r="Q1665" s="2" t="str">
        <f>IF(SUMPRODUCT(--ISNUMBER(SEARCH('National Domains'!$A$2:$A$48,L1665)))&gt;0,"Yes","No")</f>
        <v>Yes</v>
      </c>
      <c r="R1665" s="2" t="str">
        <f>IF(COUNTIFS(Calibration!$A:$A,A1665,Calibration!$B:$B,B1665)&gt;0,"Yes","No")</f>
        <v>No</v>
      </c>
      <c r="S1665" s="6"/>
    </row>
    <row r="1666" spans="1:19" ht="34.5" customHeight="1" x14ac:dyDescent="0.2">
      <c r="A1666" s="2">
        <v>312</v>
      </c>
      <c r="B1666" s="2">
        <v>14</v>
      </c>
      <c r="C1666" s="2" t="s">
        <v>495</v>
      </c>
      <c r="D1666" s="2" t="s">
        <v>39</v>
      </c>
      <c r="E1666" s="2">
        <v>20241009</v>
      </c>
      <c r="F1666" s="2">
        <v>20241010</v>
      </c>
      <c r="G1666" s="2">
        <v>34250</v>
      </c>
      <c r="H1666" s="2">
        <v>34250</v>
      </c>
      <c r="I1666" s="2">
        <v>32</v>
      </c>
      <c r="J1666" s="2" t="s">
        <v>26</v>
      </c>
      <c r="K1666" s="2" t="s">
        <v>27</v>
      </c>
      <c r="L1666" s="2" t="s">
        <v>5416</v>
      </c>
      <c r="M1666" s="7" t="s">
        <v>5417</v>
      </c>
      <c r="N1666" s="7" t="s">
        <v>5418</v>
      </c>
      <c r="O1666" s="2"/>
      <c r="P1666" s="2"/>
      <c r="Q1666" s="2" t="str">
        <f>IF(SUMPRODUCT(--ISNUMBER(SEARCH('National Domains'!$A$2:$A$48,L1666)))&gt;0,"Yes","No")</f>
        <v>Yes</v>
      </c>
      <c r="R1666" s="2" t="str">
        <f>IF(COUNTIFS(Calibration!$A:$A,A1666,Calibration!$B:$B,B1666)&gt;0,"Yes","No")</f>
        <v>No</v>
      </c>
      <c r="S1666" s="6"/>
    </row>
    <row r="1667" spans="1:19" ht="34.5" customHeight="1" x14ac:dyDescent="0.2">
      <c r="A1667" s="2">
        <v>312</v>
      </c>
      <c r="B1667" s="2">
        <v>15</v>
      </c>
      <c r="C1667" s="2" t="s">
        <v>495</v>
      </c>
      <c r="D1667" s="2" t="s">
        <v>39</v>
      </c>
      <c r="E1667" s="2">
        <v>20241009</v>
      </c>
      <c r="F1667" s="2">
        <v>20241010</v>
      </c>
      <c r="G1667" s="2">
        <v>34250</v>
      </c>
      <c r="H1667" s="2">
        <v>34250</v>
      </c>
      <c r="I1667" s="2">
        <v>32</v>
      </c>
      <c r="J1667" s="2" t="s">
        <v>26</v>
      </c>
      <c r="K1667" s="2" t="s">
        <v>27</v>
      </c>
      <c r="L1667" s="2" t="s">
        <v>5419</v>
      </c>
      <c r="M1667" s="7" t="s">
        <v>5420</v>
      </c>
      <c r="N1667" s="7" t="s">
        <v>5421</v>
      </c>
      <c r="O1667" s="2"/>
      <c r="P1667" s="2"/>
      <c r="Q1667" s="2" t="str">
        <f>IF(SUMPRODUCT(--ISNUMBER(SEARCH('National Domains'!$A$2:$A$48,L1667)))&gt;0,"Yes","No")</f>
        <v>No</v>
      </c>
      <c r="R1667" s="2" t="str">
        <f>IF(COUNTIFS(Calibration!$A:$A,A1667,Calibration!$B:$B,B1667)&gt;0,"Yes","No")</f>
        <v>No</v>
      </c>
      <c r="S1667" s="6"/>
    </row>
    <row r="1668" spans="1:19" ht="34.5" customHeight="1" x14ac:dyDescent="0.2">
      <c r="A1668" s="2">
        <v>312</v>
      </c>
      <c r="B1668" s="2">
        <v>16</v>
      </c>
      <c r="C1668" s="2" t="s">
        <v>495</v>
      </c>
      <c r="D1668" s="2" t="s">
        <v>39</v>
      </c>
      <c r="E1668" s="2">
        <v>20241009</v>
      </c>
      <c r="F1668" s="2">
        <v>20241010</v>
      </c>
      <c r="G1668" s="2">
        <v>34250</v>
      </c>
      <c r="H1668" s="2">
        <v>34250</v>
      </c>
      <c r="I1668" s="2">
        <v>32</v>
      </c>
      <c r="J1668" s="2" t="s">
        <v>26</v>
      </c>
      <c r="K1668" s="2" t="s">
        <v>27</v>
      </c>
      <c r="L1668" s="2" t="s">
        <v>5422</v>
      </c>
      <c r="M1668" s="7" t="s">
        <v>5423</v>
      </c>
      <c r="N1668" s="7" t="s">
        <v>5424</v>
      </c>
      <c r="O1668" s="2"/>
      <c r="P1668" s="2"/>
      <c r="Q1668" s="2" t="str">
        <f>IF(SUMPRODUCT(--ISNUMBER(SEARCH('National Domains'!$A$2:$A$48,L1668)))&gt;0,"Yes","No")</f>
        <v>No</v>
      </c>
      <c r="R1668" s="2" t="str">
        <f>IF(COUNTIFS(Calibration!$A:$A,A1668,Calibration!$B:$B,B1668)&gt;0,"Yes","No")</f>
        <v>No</v>
      </c>
      <c r="S1668" s="6"/>
    </row>
    <row r="1669" spans="1:19" ht="34.5" customHeight="1" x14ac:dyDescent="0.2">
      <c r="A1669" s="2">
        <v>312</v>
      </c>
      <c r="B1669" s="2">
        <v>17</v>
      </c>
      <c r="C1669" s="2" t="s">
        <v>495</v>
      </c>
      <c r="D1669" s="2" t="s">
        <v>39</v>
      </c>
      <c r="E1669" s="2">
        <v>20241009</v>
      </c>
      <c r="F1669" s="2">
        <v>20241010</v>
      </c>
      <c r="G1669" s="2">
        <v>34250</v>
      </c>
      <c r="H1669" s="2">
        <v>34250</v>
      </c>
      <c r="I1669" s="2">
        <v>32</v>
      </c>
      <c r="J1669" s="2" t="s">
        <v>26</v>
      </c>
      <c r="K1669" s="2" t="s">
        <v>27</v>
      </c>
      <c r="L1669" s="2" t="s">
        <v>5425</v>
      </c>
      <c r="M1669" s="7" t="s">
        <v>5426</v>
      </c>
      <c r="N1669" s="7" t="s">
        <v>5427</v>
      </c>
      <c r="O1669" s="2"/>
      <c r="P1669" s="2"/>
      <c r="Q1669" s="2" t="str">
        <f>IF(SUMPRODUCT(--ISNUMBER(SEARCH('National Domains'!$A$2:$A$48,L1669)))&gt;0,"Yes","No")</f>
        <v>No</v>
      </c>
      <c r="R1669" s="2" t="str">
        <f>IF(COUNTIFS(Calibration!$A:$A,A1669,Calibration!$B:$B,B1669)&gt;0,"Yes","No")</f>
        <v>No</v>
      </c>
      <c r="S1669" s="6"/>
    </row>
    <row r="1670" spans="1:19" ht="34.5" customHeight="1" x14ac:dyDescent="0.2">
      <c r="A1670" s="2">
        <v>312</v>
      </c>
      <c r="B1670" s="2">
        <v>18</v>
      </c>
      <c r="C1670" s="2" t="s">
        <v>495</v>
      </c>
      <c r="D1670" s="2" t="s">
        <v>39</v>
      </c>
      <c r="E1670" s="2">
        <v>20241009</v>
      </c>
      <c r="F1670" s="2">
        <v>20241010</v>
      </c>
      <c r="G1670" s="2">
        <v>34250</v>
      </c>
      <c r="H1670" s="2">
        <v>34250</v>
      </c>
      <c r="I1670" s="2">
        <v>32</v>
      </c>
      <c r="J1670" s="2" t="s">
        <v>26</v>
      </c>
      <c r="K1670" s="2" t="s">
        <v>27</v>
      </c>
      <c r="L1670" s="2" t="s">
        <v>5428</v>
      </c>
      <c r="M1670" s="7" t="s">
        <v>5429</v>
      </c>
      <c r="N1670" s="7" t="s">
        <v>5430</v>
      </c>
      <c r="O1670" s="2"/>
      <c r="P1670" s="2"/>
      <c r="Q1670" s="2" t="str">
        <f>IF(SUMPRODUCT(--ISNUMBER(SEARCH('National Domains'!$A$2:$A$48,L1670)))&gt;0,"Yes","No")</f>
        <v>No</v>
      </c>
      <c r="R1670" s="2" t="str">
        <f>IF(COUNTIFS(Calibration!$A:$A,A1670,Calibration!$B:$B,B1670)&gt;0,"Yes","No")</f>
        <v>No</v>
      </c>
      <c r="S1670" s="6"/>
    </row>
    <row r="1671" spans="1:19" ht="34.5" customHeight="1" x14ac:dyDescent="0.2">
      <c r="A1671" s="2">
        <v>312</v>
      </c>
      <c r="B1671" s="2">
        <v>19</v>
      </c>
      <c r="C1671" s="2" t="s">
        <v>495</v>
      </c>
      <c r="D1671" s="2" t="s">
        <v>39</v>
      </c>
      <c r="E1671" s="2">
        <v>20241009</v>
      </c>
      <c r="F1671" s="2">
        <v>20241010</v>
      </c>
      <c r="G1671" s="2">
        <v>34250</v>
      </c>
      <c r="H1671" s="2">
        <v>34250</v>
      </c>
      <c r="I1671" s="2">
        <v>32</v>
      </c>
      <c r="J1671" s="2" t="s">
        <v>26</v>
      </c>
      <c r="K1671" s="2" t="s">
        <v>27</v>
      </c>
      <c r="L1671" s="2" t="s">
        <v>5431</v>
      </c>
      <c r="M1671" s="7" t="s">
        <v>5432</v>
      </c>
      <c r="N1671" s="7" t="s">
        <v>5433</v>
      </c>
      <c r="O1671" s="2"/>
      <c r="P1671" s="2"/>
      <c r="Q1671" s="2" t="str">
        <f>IF(SUMPRODUCT(--ISNUMBER(SEARCH('National Domains'!$A$2:$A$48,L1671)))&gt;0,"Yes","No")</f>
        <v>No</v>
      </c>
      <c r="R1671" s="2" t="str">
        <f>IF(COUNTIFS(Calibration!$A:$A,A1671,Calibration!$B:$B,B1671)&gt;0,"Yes","No")</f>
        <v>No</v>
      </c>
      <c r="S1671" s="6"/>
    </row>
    <row r="1672" spans="1:19" ht="34.5" customHeight="1" x14ac:dyDescent="0.2">
      <c r="A1672" s="2">
        <v>312</v>
      </c>
      <c r="B1672" s="2">
        <v>20</v>
      </c>
      <c r="C1672" s="2" t="s">
        <v>495</v>
      </c>
      <c r="D1672" s="2" t="s">
        <v>39</v>
      </c>
      <c r="E1672" s="2">
        <v>20241009</v>
      </c>
      <c r="F1672" s="2">
        <v>20241010</v>
      </c>
      <c r="G1672" s="2">
        <v>34250</v>
      </c>
      <c r="H1672" s="2">
        <v>34250</v>
      </c>
      <c r="I1672" s="2">
        <v>32</v>
      </c>
      <c r="J1672" s="2" t="s">
        <v>26</v>
      </c>
      <c r="K1672" s="2" t="s">
        <v>27</v>
      </c>
      <c r="L1672" s="2" t="s">
        <v>5434</v>
      </c>
      <c r="M1672" s="7" t="s">
        <v>5435</v>
      </c>
      <c r="N1672" s="7" t="s">
        <v>5436</v>
      </c>
      <c r="O1672" s="2"/>
      <c r="P1672" s="2"/>
      <c r="Q1672" s="2" t="str">
        <f>IF(SUMPRODUCT(--ISNUMBER(SEARCH('National Domains'!$A$2:$A$48,L1672)))&gt;0,"Yes","No")</f>
        <v>Yes</v>
      </c>
      <c r="R1672" s="2" t="str">
        <f>IF(COUNTIFS(Calibration!$A:$A,A1672,Calibration!$B:$B,B1672)&gt;0,"Yes","No")</f>
        <v>No</v>
      </c>
      <c r="S1672" s="6"/>
    </row>
    <row r="1673" spans="1:19" ht="34.5" customHeight="1" x14ac:dyDescent="0.2">
      <c r="A1673" s="2">
        <v>312</v>
      </c>
      <c r="B1673" s="2">
        <v>21</v>
      </c>
      <c r="C1673" s="2" t="s">
        <v>495</v>
      </c>
      <c r="D1673" s="2" t="s">
        <v>39</v>
      </c>
      <c r="E1673" s="2">
        <v>20241009</v>
      </c>
      <c r="F1673" s="2">
        <v>20241010</v>
      </c>
      <c r="G1673" s="2">
        <v>34250</v>
      </c>
      <c r="H1673" s="2">
        <v>34250</v>
      </c>
      <c r="I1673" s="2">
        <v>32</v>
      </c>
      <c r="J1673" s="2" t="s">
        <v>26</v>
      </c>
      <c r="K1673" s="2" t="s">
        <v>27</v>
      </c>
      <c r="L1673" s="2" t="s">
        <v>5437</v>
      </c>
      <c r="M1673" s="7" t="s">
        <v>5438</v>
      </c>
      <c r="N1673" s="7" t="s">
        <v>5439</v>
      </c>
      <c r="O1673" s="2"/>
      <c r="P1673" s="2"/>
      <c r="Q1673" s="2" t="str">
        <f>IF(SUMPRODUCT(--ISNUMBER(SEARCH('National Domains'!$A$2:$A$48,L1673)))&gt;0,"Yes","No")</f>
        <v>Yes</v>
      </c>
      <c r="R1673" s="2" t="str">
        <f>IF(COUNTIFS(Calibration!$A:$A,A1673,Calibration!$B:$B,B1673)&gt;0,"Yes","No")</f>
        <v>No</v>
      </c>
      <c r="S1673" s="6"/>
    </row>
    <row r="1674" spans="1:19" ht="34.5" customHeight="1" x14ac:dyDescent="0.2">
      <c r="A1674" s="2">
        <v>313</v>
      </c>
      <c r="B1674" s="2">
        <v>1</v>
      </c>
      <c r="C1674" s="2" t="s">
        <v>496</v>
      </c>
      <c r="D1674" s="2" t="s">
        <v>29</v>
      </c>
      <c r="E1674" s="2">
        <v>20240101</v>
      </c>
      <c r="F1674" s="2">
        <v>20241231</v>
      </c>
      <c r="G1674" s="2">
        <v>5417</v>
      </c>
      <c r="H1674" s="2">
        <v>5311</v>
      </c>
      <c r="I1674" s="2">
        <v>136</v>
      </c>
      <c r="J1674" s="2" t="s">
        <v>497</v>
      </c>
      <c r="K1674" s="2" t="s">
        <v>498</v>
      </c>
      <c r="L1674" s="2" t="s">
        <v>5440</v>
      </c>
      <c r="M1674" s="7" t="s">
        <v>5441</v>
      </c>
      <c r="N1674" s="7" t="s">
        <v>5442</v>
      </c>
      <c r="O1674" s="2"/>
      <c r="P1674" s="2"/>
      <c r="Q1674" s="2" t="str">
        <f>IF(SUMPRODUCT(--ISNUMBER(SEARCH('National Domains'!$A$2:$A$48,L1674)))&gt;0,"Yes","No")</f>
        <v>Yes</v>
      </c>
      <c r="R1674" s="2" t="str">
        <f>IF(COUNTIFS(Calibration!$A:$A,A1674,Calibration!$B:$B,B1674)&gt;0,"Yes","No")</f>
        <v>No</v>
      </c>
      <c r="S1674" s="6"/>
    </row>
    <row r="1675" spans="1:19" ht="34.5" customHeight="1" x14ac:dyDescent="0.2">
      <c r="A1675" s="2">
        <v>313</v>
      </c>
      <c r="B1675" s="2">
        <v>2</v>
      </c>
      <c r="C1675" s="2" t="s">
        <v>496</v>
      </c>
      <c r="D1675" s="2" t="s">
        <v>29</v>
      </c>
      <c r="E1675" s="2">
        <v>20240101</v>
      </c>
      <c r="F1675" s="2">
        <v>20241231</v>
      </c>
      <c r="G1675" s="2">
        <v>5417</v>
      </c>
      <c r="H1675" s="2">
        <v>5311</v>
      </c>
      <c r="I1675" s="2">
        <v>136</v>
      </c>
      <c r="J1675" s="2" t="s">
        <v>497</v>
      </c>
      <c r="K1675" s="2" t="s">
        <v>498</v>
      </c>
      <c r="L1675" s="2" t="s">
        <v>5443</v>
      </c>
      <c r="M1675" s="7" t="s">
        <v>741</v>
      </c>
      <c r="N1675" s="7" t="s">
        <v>5444</v>
      </c>
      <c r="O1675" s="2"/>
      <c r="P1675" s="2"/>
      <c r="Q1675" s="2" t="str">
        <f>IF(SUMPRODUCT(--ISNUMBER(SEARCH('National Domains'!$A$2:$A$48,L1675)))&gt;0,"Yes","No")</f>
        <v>Yes</v>
      </c>
      <c r="R1675" s="2" t="str">
        <f>IF(COUNTIFS(Calibration!$A:$A,A1675,Calibration!$B:$B,B1675)&gt;0,"Yes","No")</f>
        <v>No</v>
      </c>
      <c r="S1675" s="6"/>
    </row>
    <row r="1676" spans="1:19" ht="34.5" customHeight="1" x14ac:dyDescent="0.2">
      <c r="A1676" s="2">
        <v>313</v>
      </c>
      <c r="B1676" s="2">
        <v>3</v>
      </c>
      <c r="C1676" s="2" t="s">
        <v>496</v>
      </c>
      <c r="D1676" s="2" t="s">
        <v>29</v>
      </c>
      <c r="E1676" s="2">
        <v>20240101</v>
      </c>
      <c r="F1676" s="2">
        <v>20241231</v>
      </c>
      <c r="G1676" s="2">
        <v>5417</v>
      </c>
      <c r="H1676" s="2">
        <v>5311</v>
      </c>
      <c r="I1676" s="2">
        <v>136</v>
      </c>
      <c r="J1676" s="2" t="s">
        <v>497</v>
      </c>
      <c r="K1676" s="2" t="s">
        <v>498</v>
      </c>
      <c r="L1676" s="2" t="s">
        <v>5445</v>
      </c>
      <c r="M1676" s="7" t="s">
        <v>5446</v>
      </c>
      <c r="N1676" s="7" t="s">
        <v>5447</v>
      </c>
      <c r="O1676" s="2"/>
      <c r="P1676" s="2"/>
      <c r="Q1676" s="2" t="str">
        <f>IF(SUMPRODUCT(--ISNUMBER(SEARCH('National Domains'!$A$2:$A$48,L1676)))&gt;0,"Yes","No")</f>
        <v>No</v>
      </c>
      <c r="R1676" s="2" t="str">
        <f>IF(COUNTIFS(Calibration!$A:$A,A1676,Calibration!$B:$B,B1676)&gt;0,"Yes","No")</f>
        <v>No</v>
      </c>
      <c r="S1676" s="6"/>
    </row>
    <row r="1677" spans="1:19" ht="23.25" customHeight="1" x14ac:dyDescent="0.2">
      <c r="A1677" s="2">
        <v>313</v>
      </c>
      <c r="B1677" s="2">
        <v>4</v>
      </c>
      <c r="C1677" s="2" t="s">
        <v>496</v>
      </c>
      <c r="D1677" s="2" t="s">
        <v>29</v>
      </c>
      <c r="E1677" s="2">
        <v>20240101</v>
      </c>
      <c r="F1677" s="2">
        <v>20241231</v>
      </c>
      <c r="G1677" s="2">
        <v>5417</v>
      </c>
      <c r="H1677" s="2">
        <v>5311</v>
      </c>
      <c r="I1677" s="2">
        <v>136</v>
      </c>
      <c r="J1677" s="2" t="s">
        <v>497</v>
      </c>
      <c r="K1677" s="2" t="s">
        <v>498</v>
      </c>
      <c r="L1677" s="2" t="s">
        <v>5448</v>
      </c>
      <c r="M1677" s="7" t="s">
        <v>5449</v>
      </c>
      <c r="N1677" s="7" t="s">
        <v>5450</v>
      </c>
      <c r="O1677" s="2"/>
      <c r="P1677" s="2"/>
      <c r="Q1677" s="2" t="str">
        <f>IF(SUMPRODUCT(--ISNUMBER(SEARCH('National Domains'!$A$2:$A$48,L1677)))&gt;0,"Yes","No")</f>
        <v>Yes</v>
      </c>
      <c r="R1677" s="2" t="str">
        <f>IF(COUNTIFS(Calibration!$A:$A,A1677,Calibration!$B:$B,B1677)&gt;0,"Yes","No")</f>
        <v>No</v>
      </c>
      <c r="S1677" s="6"/>
    </row>
    <row r="1678" spans="1:19" ht="34.5" customHeight="1" x14ac:dyDescent="0.2">
      <c r="A1678" s="2">
        <v>313</v>
      </c>
      <c r="B1678" s="2">
        <v>5</v>
      </c>
      <c r="C1678" s="2" t="s">
        <v>496</v>
      </c>
      <c r="D1678" s="2" t="s">
        <v>29</v>
      </c>
      <c r="E1678" s="2">
        <v>20240101</v>
      </c>
      <c r="F1678" s="2">
        <v>20241231</v>
      </c>
      <c r="G1678" s="2">
        <v>5417</v>
      </c>
      <c r="H1678" s="2">
        <v>5311</v>
      </c>
      <c r="I1678" s="2">
        <v>136</v>
      </c>
      <c r="J1678" s="2" t="s">
        <v>497</v>
      </c>
      <c r="K1678" s="2" t="s">
        <v>498</v>
      </c>
      <c r="L1678" s="2" t="s">
        <v>5451</v>
      </c>
      <c r="M1678" s="7" t="s">
        <v>5452</v>
      </c>
      <c r="N1678" s="7" t="s">
        <v>5453</v>
      </c>
      <c r="O1678" s="2"/>
      <c r="P1678" s="2"/>
      <c r="Q1678" s="2" t="str">
        <f>IF(SUMPRODUCT(--ISNUMBER(SEARCH('National Domains'!$A$2:$A$48,L1678)))&gt;0,"Yes","No")</f>
        <v>Yes</v>
      </c>
      <c r="R1678" s="2" t="str">
        <f>IF(COUNTIFS(Calibration!$A:$A,A1678,Calibration!$B:$B,B1678)&gt;0,"Yes","No")</f>
        <v>No</v>
      </c>
      <c r="S1678" s="6"/>
    </row>
    <row r="1679" spans="1:19" ht="34.5" customHeight="1" x14ac:dyDescent="0.2">
      <c r="A1679" s="2">
        <v>313</v>
      </c>
      <c r="B1679" s="2">
        <v>6</v>
      </c>
      <c r="C1679" s="2" t="s">
        <v>496</v>
      </c>
      <c r="D1679" s="2" t="s">
        <v>29</v>
      </c>
      <c r="E1679" s="2">
        <v>20240101</v>
      </c>
      <c r="F1679" s="2">
        <v>20241231</v>
      </c>
      <c r="G1679" s="2">
        <v>5417</v>
      </c>
      <c r="H1679" s="2">
        <v>5311</v>
      </c>
      <c r="I1679" s="2">
        <v>136</v>
      </c>
      <c r="J1679" s="2" t="s">
        <v>497</v>
      </c>
      <c r="K1679" s="2" t="s">
        <v>498</v>
      </c>
      <c r="L1679" s="2" t="s">
        <v>5454</v>
      </c>
      <c r="M1679" s="7" t="s">
        <v>5455</v>
      </c>
      <c r="N1679" s="7" t="s">
        <v>5456</v>
      </c>
      <c r="O1679" s="2"/>
      <c r="P1679" s="2"/>
      <c r="Q1679" s="2" t="str">
        <f>IF(SUMPRODUCT(--ISNUMBER(SEARCH('National Domains'!$A$2:$A$48,L1679)))&gt;0,"Yes","No")</f>
        <v>Yes</v>
      </c>
      <c r="R1679" s="2" t="str">
        <f>IF(COUNTIFS(Calibration!$A:$A,A1679,Calibration!$B:$B,B1679)&gt;0,"Yes","No")</f>
        <v>No</v>
      </c>
      <c r="S1679" s="6"/>
    </row>
    <row r="1680" spans="1:19" ht="34.5" customHeight="1" x14ac:dyDescent="0.2">
      <c r="A1680" s="2">
        <v>313</v>
      </c>
      <c r="B1680" s="2">
        <v>7</v>
      </c>
      <c r="C1680" s="2" t="s">
        <v>496</v>
      </c>
      <c r="D1680" s="2" t="s">
        <v>29</v>
      </c>
      <c r="E1680" s="2">
        <v>20240101</v>
      </c>
      <c r="F1680" s="2">
        <v>20241231</v>
      </c>
      <c r="G1680" s="2">
        <v>5417</v>
      </c>
      <c r="H1680" s="2">
        <v>5311</v>
      </c>
      <c r="I1680" s="2">
        <v>136</v>
      </c>
      <c r="J1680" s="2" t="s">
        <v>497</v>
      </c>
      <c r="K1680" s="2" t="s">
        <v>498</v>
      </c>
      <c r="L1680" s="2" t="s">
        <v>5457</v>
      </c>
      <c r="M1680" s="7" t="s">
        <v>5458</v>
      </c>
      <c r="N1680" s="7" t="s">
        <v>5459</v>
      </c>
      <c r="O1680" s="2"/>
      <c r="P1680" s="2"/>
      <c r="Q1680" s="2" t="str">
        <f>IF(SUMPRODUCT(--ISNUMBER(SEARCH('National Domains'!$A$2:$A$48,L1680)))&gt;0,"Yes","No")</f>
        <v>Yes</v>
      </c>
      <c r="R1680" s="2" t="str">
        <f>IF(COUNTIFS(Calibration!$A:$A,A1680,Calibration!$B:$B,B1680)&gt;0,"Yes","No")</f>
        <v>No</v>
      </c>
      <c r="S1680" s="6"/>
    </row>
    <row r="1681" spans="1:19" ht="34.5" customHeight="1" x14ac:dyDescent="0.2">
      <c r="A1681" s="2">
        <v>313</v>
      </c>
      <c r="B1681" s="2">
        <v>8</v>
      </c>
      <c r="C1681" s="2" t="s">
        <v>496</v>
      </c>
      <c r="D1681" s="2" t="s">
        <v>29</v>
      </c>
      <c r="E1681" s="2">
        <v>20240101</v>
      </c>
      <c r="F1681" s="2">
        <v>20241231</v>
      </c>
      <c r="G1681" s="2">
        <v>5417</v>
      </c>
      <c r="H1681" s="2">
        <v>5311</v>
      </c>
      <c r="I1681" s="2">
        <v>136</v>
      </c>
      <c r="J1681" s="2" t="s">
        <v>497</v>
      </c>
      <c r="K1681" s="2" t="s">
        <v>498</v>
      </c>
      <c r="L1681" s="2" t="s">
        <v>5460</v>
      </c>
      <c r="M1681" s="7" t="s">
        <v>5461</v>
      </c>
      <c r="N1681" s="7" t="s">
        <v>5462</v>
      </c>
      <c r="O1681" s="2"/>
      <c r="P1681" s="2"/>
      <c r="Q1681" s="2" t="str">
        <f>IF(SUMPRODUCT(--ISNUMBER(SEARCH('National Domains'!$A$2:$A$48,L1681)))&gt;0,"Yes","No")</f>
        <v>No</v>
      </c>
      <c r="R1681" s="2" t="str">
        <f>IF(COUNTIFS(Calibration!$A:$A,A1681,Calibration!$B:$B,B1681)&gt;0,"Yes","No")</f>
        <v>No</v>
      </c>
      <c r="S1681" s="6"/>
    </row>
    <row r="1682" spans="1:19" ht="34.5" customHeight="1" x14ac:dyDescent="0.2">
      <c r="A1682" s="2">
        <v>313</v>
      </c>
      <c r="B1682" s="2">
        <v>9</v>
      </c>
      <c r="C1682" s="2" t="s">
        <v>496</v>
      </c>
      <c r="D1682" s="2" t="s">
        <v>29</v>
      </c>
      <c r="E1682" s="2">
        <v>20240101</v>
      </c>
      <c r="F1682" s="2">
        <v>20241231</v>
      </c>
      <c r="G1682" s="2">
        <v>5417</v>
      </c>
      <c r="H1682" s="2">
        <v>5311</v>
      </c>
      <c r="I1682" s="2">
        <v>136</v>
      </c>
      <c r="J1682" s="2" t="s">
        <v>497</v>
      </c>
      <c r="K1682" s="2" t="s">
        <v>498</v>
      </c>
      <c r="L1682" s="2" t="s">
        <v>5463</v>
      </c>
      <c r="M1682" s="7" t="s">
        <v>5464</v>
      </c>
      <c r="N1682" s="7" t="s">
        <v>5465</v>
      </c>
      <c r="O1682" s="2"/>
      <c r="P1682" s="2"/>
      <c r="Q1682" s="2" t="str">
        <f>IF(SUMPRODUCT(--ISNUMBER(SEARCH('National Domains'!$A$2:$A$48,L1682)))&gt;0,"Yes","No")</f>
        <v>No</v>
      </c>
      <c r="R1682" s="2" t="str">
        <f>IF(COUNTIFS(Calibration!$A:$A,A1682,Calibration!$B:$B,B1682)&gt;0,"Yes","No")</f>
        <v>No</v>
      </c>
      <c r="S1682" s="6"/>
    </row>
    <row r="1683" spans="1:19" ht="23.25" customHeight="1" x14ac:dyDescent="0.2">
      <c r="A1683" s="2">
        <v>313</v>
      </c>
      <c r="B1683" s="2">
        <v>10</v>
      </c>
      <c r="C1683" s="2" t="s">
        <v>496</v>
      </c>
      <c r="D1683" s="2" t="s">
        <v>29</v>
      </c>
      <c r="E1683" s="2">
        <v>20240101</v>
      </c>
      <c r="F1683" s="2">
        <v>20241231</v>
      </c>
      <c r="G1683" s="2">
        <v>5417</v>
      </c>
      <c r="H1683" s="2">
        <v>5311</v>
      </c>
      <c r="I1683" s="2">
        <v>136</v>
      </c>
      <c r="J1683" s="2" t="s">
        <v>497</v>
      </c>
      <c r="K1683" s="2" t="s">
        <v>498</v>
      </c>
      <c r="L1683" s="2" t="s">
        <v>5466</v>
      </c>
      <c r="M1683" s="7" t="s">
        <v>5467</v>
      </c>
      <c r="N1683" s="7" t="s">
        <v>5468</v>
      </c>
      <c r="O1683" s="2"/>
      <c r="P1683" s="2"/>
      <c r="Q1683" s="2" t="str">
        <f>IF(SUMPRODUCT(--ISNUMBER(SEARCH('National Domains'!$A$2:$A$48,L1683)))&gt;0,"Yes","No")</f>
        <v>No</v>
      </c>
      <c r="R1683" s="2" t="str">
        <f>IF(COUNTIFS(Calibration!$A:$A,A1683,Calibration!$B:$B,B1683)&gt;0,"Yes","No")</f>
        <v>No</v>
      </c>
      <c r="S1683" s="6"/>
    </row>
    <row r="1684" spans="1:19" ht="34.5" customHeight="1" x14ac:dyDescent="0.2">
      <c r="A1684" s="2">
        <v>313</v>
      </c>
      <c r="B1684" s="2">
        <v>11</v>
      </c>
      <c r="C1684" s="2" t="s">
        <v>496</v>
      </c>
      <c r="D1684" s="2" t="s">
        <v>29</v>
      </c>
      <c r="E1684" s="2">
        <v>20240101</v>
      </c>
      <c r="F1684" s="2">
        <v>20241231</v>
      </c>
      <c r="G1684" s="2">
        <v>5417</v>
      </c>
      <c r="H1684" s="2">
        <v>5311</v>
      </c>
      <c r="I1684" s="2">
        <v>136</v>
      </c>
      <c r="J1684" s="2" t="s">
        <v>497</v>
      </c>
      <c r="K1684" s="2" t="s">
        <v>498</v>
      </c>
      <c r="L1684" s="2" t="s">
        <v>5469</v>
      </c>
      <c r="M1684" s="7" t="s">
        <v>5470</v>
      </c>
      <c r="N1684" s="7" t="s">
        <v>5471</v>
      </c>
      <c r="O1684" s="2"/>
      <c r="P1684" s="2"/>
      <c r="Q1684" s="2" t="str">
        <f>IF(SUMPRODUCT(--ISNUMBER(SEARCH('National Domains'!$A$2:$A$48,L1684)))&gt;0,"Yes","No")</f>
        <v>No</v>
      </c>
      <c r="R1684" s="2" t="str">
        <f>IF(COUNTIFS(Calibration!$A:$A,A1684,Calibration!$B:$B,B1684)&gt;0,"Yes","No")</f>
        <v>No</v>
      </c>
      <c r="S1684" s="6"/>
    </row>
    <row r="1685" spans="1:19" ht="34.5" customHeight="1" x14ac:dyDescent="0.2">
      <c r="A1685" s="2">
        <v>313</v>
      </c>
      <c r="B1685" s="2">
        <v>12</v>
      </c>
      <c r="C1685" s="2" t="s">
        <v>496</v>
      </c>
      <c r="D1685" s="2" t="s">
        <v>29</v>
      </c>
      <c r="E1685" s="2">
        <v>20240101</v>
      </c>
      <c r="F1685" s="2">
        <v>20241231</v>
      </c>
      <c r="G1685" s="2">
        <v>5417</v>
      </c>
      <c r="H1685" s="2">
        <v>5311</v>
      </c>
      <c r="I1685" s="2">
        <v>136</v>
      </c>
      <c r="J1685" s="2" t="s">
        <v>497</v>
      </c>
      <c r="K1685" s="2" t="s">
        <v>498</v>
      </c>
      <c r="L1685" s="2" t="s">
        <v>5472</v>
      </c>
      <c r="M1685" s="7" t="s">
        <v>5473</v>
      </c>
      <c r="N1685" s="7" t="s">
        <v>5474</v>
      </c>
      <c r="O1685" s="2"/>
      <c r="P1685" s="2"/>
      <c r="Q1685" s="2" t="str">
        <f>IF(SUMPRODUCT(--ISNUMBER(SEARCH('National Domains'!$A$2:$A$48,L1685)))&gt;0,"Yes","No")</f>
        <v>No</v>
      </c>
      <c r="R1685" s="2" t="str">
        <f>IF(COUNTIFS(Calibration!$A:$A,A1685,Calibration!$B:$B,B1685)&gt;0,"Yes","No")</f>
        <v>No</v>
      </c>
      <c r="S1685" s="6"/>
    </row>
    <row r="1686" spans="1:19" ht="23.25" customHeight="1" x14ac:dyDescent="0.2">
      <c r="A1686" s="2">
        <v>313</v>
      </c>
      <c r="B1686" s="2">
        <v>13</v>
      </c>
      <c r="C1686" s="2" t="s">
        <v>496</v>
      </c>
      <c r="D1686" s="2" t="s">
        <v>29</v>
      </c>
      <c r="E1686" s="2">
        <v>20240101</v>
      </c>
      <c r="F1686" s="2">
        <v>20241231</v>
      </c>
      <c r="G1686" s="2">
        <v>5417</v>
      </c>
      <c r="H1686" s="2">
        <v>5311</v>
      </c>
      <c r="I1686" s="2">
        <v>136</v>
      </c>
      <c r="J1686" s="2" t="s">
        <v>497</v>
      </c>
      <c r="K1686" s="2" t="s">
        <v>498</v>
      </c>
      <c r="L1686" s="2" t="s">
        <v>5475</v>
      </c>
      <c r="M1686" s="7" t="s">
        <v>5476</v>
      </c>
      <c r="N1686" s="7" t="s">
        <v>5477</v>
      </c>
      <c r="O1686" s="2"/>
      <c r="P1686" s="2"/>
      <c r="Q1686" s="2" t="str">
        <f>IF(SUMPRODUCT(--ISNUMBER(SEARCH('National Domains'!$A$2:$A$48,L1686)))&gt;0,"Yes","No")</f>
        <v>No</v>
      </c>
      <c r="R1686" s="2" t="str">
        <f>IF(COUNTIFS(Calibration!$A:$A,A1686,Calibration!$B:$B,B1686)&gt;0,"Yes","No")</f>
        <v>No</v>
      </c>
      <c r="S1686" s="6"/>
    </row>
    <row r="1687" spans="1:19" ht="34.5" customHeight="1" x14ac:dyDescent="0.2">
      <c r="A1687" s="2">
        <v>313</v>
      </c>
      <c r="B1687" s="2">
        <v>14</v>
      </c>
      <c r="C1687" s="2" t="s">
        <v>496</v>
      </c>
      <c r="D1687" s="2" t="s">
        <v>29</v>
      </c>
      <c r="E1687" s="2">
        <v>20240101</v>
      </c>
      <c r="F1687" s="2">
        <v>20241231</v>
      </c>
      <c r="G1687" s="2">
        <v>5417</v>
      </c>
      <c r="H1687" s="2">
        <v>5311</v>
      </c>
      <c r="I1687" s="2">
        <v>136</v>
      </c>
      <c r="J1687" s="2" t="s">
        <v>497</v>
      </c>
      <c r="K1687" s="2" t="s">
        <v>498</v>
      </c>
      <c r="L1687" s="2" t="s">
        <v>5478</v>
      </c>
      <c r="M1687" s="7" t="s">
        <v>5479</v>
      </c>
      <c r="N1687" s="7" t="s">
        <v>5480</v>
      </c>
      <c r="O1687" s="2"/>
      <c r="P1687" s="2"/>
      <c r="Q1687" s="2" t="str">
        <f>IF(SUMPRODUCT(--ISNUMBER(SEARCH('National Domains'!$A$2:$A$48,L1687)))&gt;0,"Yes","No")</f>
        <v>No</v>
      </c>
      <c r="R1687" s="2" t="str">
        <f>IF(COUNTIFS(Calibration!$A:$A,A1687,Calibration!$B:$B,B1687)&gt;0,"Yes","No")</f>
        <v>No</v>
      </c>
      <c r="S1687" s="6"/>
    </row>
    <row r="1688" spans="1:19" ht="34.5" customHeight="1" x14ac:dyDescent="0.2">
      <c r="A1688" s="2">
        <v>313</v>
      </c>
      <c r="B1688" s="2">
        <v>15</v>
      </c>
      <c r="C1688" s="2" t="s">
        <v>496</v>
      </c>
      <c r="D1688" s="2" t="s">
        <v>29</v>
      </c>
      <c r="E1688" s="2">
        <v>20240101</v>
      </c>
      <c r="F1688" s="2">
        <v>20241231</v>
      </c>
      <c r="G1688" s="2">
        <v>5417</v>
      </c>
      <c r="H1688" s="2">
        <v>5311</v>
      </c>
      <c r="I1688" s="2">
        <v>136</v>
      </c>
      <c r="J1688" s="2" t="s">
        <v>497</v>
      </c>
      <c r="K1688" s="2" t="s">
        <v>498</v>
      </c>
      <c r="L1688" s="2" t="s">
        <v>5481</v>
      </c>
      <c r="M1688" s="7" t="s">
        <v>5482</v>
      </c>
      <c r="N1688" s="7" t="s">
        <v>5483</v>
      </c>
      <c r="O1688" s="2"/>
      <c r="P1688" s="2"/>
      <c r="Q1688" s="2" t="str">
        <f>IF(SUMPRODUCT(--ISNUMBER(SEARCH('National Domains'!$A$2:$A$48,L1688)))&gt;0,"Yes","No")</f>
        <v>No</v>
      </c>
      <c r="R1688" s="2" t="str">
        <f>IF(COUNTIFS(Calibration!$A:$A,A1688,Calibration!$B:$B,B1688)&gt;0,"Yes","No")</f>
        <v>No</v>
      </c>
      <c r="S1688" s="6"/>
    </row>
    <row r="1689" spans="1:19" ht="34.5" customHeight="1" x14ac:dyDescent="0.2">
      <c r="A1689" s="2">
        <v>313</v>
      </c>
      <c r="B1689" s="2">
        <v>16</v>
      </c>
      <c r="C1689" s="2" t="s">
        <v>496</v>
      </c>
      <c r="D1689" s="2" t="s">
        <v>29</v>
      </c>
      <c r="E1689" s="2">
        <v>20240101</v>
      </c>
      <c r="F1689" s="2">
        <v>20241231</v>
      </c>
      <c r="G1689" s="2">
        <v>5417</v>
      </c>
      <c r="H1689" s="2">
        <v>5311</v>
      </c>
      <c r="I1689" s="2">
        <v>136</v>
      </c>
      <c r="J1689" s="2" t="s">
        <v>497</v>
      </c>
      <c r="K1689" s="2" t="s">
        <v>498</v>
      </c>
      <c r="L1689" s="2" t="s">
        <v>5484</v>
      </c>
      <c r="M1689" s="7" t="s">
        <v>5485</v>
      </c>
      <c r="N1689" s="7" t="s">
        <v>5486</v>
      </c>
      <c r="O1689" s="2"/>
      <c r="P1689" s="2"/>
      <c r="Q1689" s="2" t="str">
        <f>IF(SUMPRODUCT(--ISNUMBER(SEARCH('National Domains'!$A$2:$A$48,L1689)))&gt;0,"Yes","No")</f>
        <v>No</v>
      </c>
      <c r="R1689" s="2" t="str">
        <f>IF(COUNTIFS(Calibration!$A:$A,A1689,Calibration!$B:$B,B1689)&gt;0,"Yes","No")</f>
        <v>No</v>
      </c>
      <c r="S1689" s="6"/>
    </row>
    <row r="1690" spans="1:19" ht="34.5" customHeight="1" x14ac:dyDescent="0.2">
      <c r="A1690" s="2">
        <v>313</v>
      </c>
      <c r="B1690" s="2">
        <v>17</v>
      </c>
      <c r="C1690" s="2" t="s">
        <v>496</v>
      </c>
      <c r="D1690" s="2" t="s">
        <v>29</v>
      </c>
      <c r="E1690" s="2">
        <v>20240101</v>
      </c>
      <c r="F1690" s="2">
        <v>20241231</v>
      </c>
      <c r="G1690" s="2">
        <v>5417</v>
      </c>
      <c r="H1690" s="2">
        <v>5311</v>
      </c>
      <c r="I1690" s="2">
        <v>136</v>
      </c>
      <c r="J1690" s="2" t="s">
        <v>497</v>
      </c>
      <c r="K1690" s="2" t="s">
        <v>498</v>
      </c>
      <c r="L1690" s="2" t="s">
        <v>5487</v>
      </c>
      <c r="M1690" s="7" t="s">
        <v>5488</v>
      </c>
      <c r="N1690" s="7" t="s">
        <v>5489</v>
      </c>
      <c r="O1690" s="2"/>
      <c r="P1690" s="2"/>
      <c r="Q1690" s="2" t="str">
        <f>IF(SUMPRODUCT(--ISNUMBER(SEARCH('National Domains'!$A$2:$A$48,L1690)))&gt;0,"Yes","No")</f>
        <v>No</v>
      </c>
      <c r="R1690" s="2" t="str">
        <f>IF(COUNTIFS(Calibration!$A:$A,A1690,Calibration!$B:$B,B1690)&gt;0,"Yes","No")</f>
        <v>No</v>
      </c>
      <c r="S1690" s="6"/>
    </row>
    <row r="1691" spans="1:19" ht="34.5" customHeight="1" x14ac:dyDescent="0.2">
      <c r="A1691" s="2">
        <v>313</v>
      </c>
      <c r="B1691" s="2">
        <v>18</v>
      </c>
      <c r="C1691" s="2" t="s">
        <v>496</v>
      </c>
      <c r="D1691" s="2" t="s">
        <v>29</v>
      </c>
      <c r="E1691" s="2">
        <v>20240101</v>
      </c>
      <c r="F1691" s="2">
        <v>20241231</v>
      </c>
      <c r="G1691" s="2">
        <v>5417</v>
      </c>
      <c r="H1691" s="2">
        <v>5311</v>
      </c>
      <c r="I1691" s="2">
        <v>136</v>
      </c>
      <c r="J1691" s="2" t="s">
        <v>497</v>
      </c>
      <c r="K1691" s="2" t="s">
        <v>498</v>
      </c>
      <c r="L1691" s="2" t="s">
        <v>5490</v>
      </c>
      <c r="M1691" s="7" t="s">
        <v>5491</v>
      </c>
      <c r="N1691" s="7" t="s">
        <v>5492</v>
      </c>
      <c r="O1691" s="2"/>
      <c r="P1691" s="2"/>
      <c r="Q1691" s="2" t="str">
        <f>IF(SUMPRODUCT(--ISNUMBER(SEARCH('National Domains'!$A$2:$A$48,L1691)))&gt;0,"Yes","No")</f>
        <v>Yes</v>
      </c>
      <c r="R1691" s="2" t="str">
        <f>IF(COUNTIFS(Calibration!$A:$A,A1691,Calibration!$B:$B,B1691)&gt;0,"Yes","No")</f>
        <v>No</v>
      </c>
      <c r="S1691" s="6"/>
    </row>
    <row r="1692" spans="1:19" ht="34.5" customHeight="1" x14ac:dyDescent="0.2">
      <c r="A1692" s="2">
        <v>313</v>
      </c>
      <c r="B1692" s="2">
        <v>19</v>
      </c>
      <c r="C1692" s="2" t="s">
        <v>496</v>
      </c>
      <c r="D1692" s="2" t="s">
        <v>29</v>
      </c>
      <c r="E1692" s="2">
        <v>20240101</v>
      </c>
      <c r="F1692" s="2">
        <v>20241231</v>
      </c>
      <c r="G1692" s="2">
        <v>5417</v>
      </c>
      <c r="H1692" s="2">
        <v>5311</v>
      </c>
      <c r="I1692" s="2">
        <v>136</v>
      </c>
      <c r="J1692" s="2" t="s">
        <v>497</v>
      </c>
      <c r="K1692" s="2" t="s">
        <v>498</v>
      </c>
      <c r="L1692" s="2" t="s">
        <v>5493</v>
      </c>
      <c r="M1692" s="7" t="s">
        <v>5494</v>
      </c>
      <c r="N1692" s="7" t="s">
        <v>5495</v>
      </c>
      <c r="O1692" s="2"/>
      <c r="P1692" s="2"/>
      <c r="Q1692" s="2" t="str">
        <f>IF(SUMPRODUCT(--ISNUMBER(SEARCH('National Domains'!$A$2:$A$48,L1692)))&gt;0,"Yes","No")</f>
        <v>Yes</v>
      </c>
      <c r="R1692" s="2" t="str">
        <f>IF(COUNTIFS(Calibration!$A:$A,A1692,Calibration!$B:$B,B1692)&gt;0,"Yes","No")</f>
        <v>No</v>
      </c>
      <c r="S1692" s="6"/>
    </row>
    <row r="1693" spans="1:19" ht="34.5" customHeight="1" x14ac:dyDescent="0.2">
      <c r="A1693" s="2">
        <v>313</v>
      </c>
      <c r="B1693" s="2">
        <v>20</v>
      </c>
      <c r="C1693" s="2" t="s">
        <v>496</v>
      </c>
      <c r="D1693" s="2" t="s">
        <v>29</v>
      </c>
      <c r="E1693" s="2">
        <v>20240101</v>
      </c>
      <c r="F1693" s="2">
        <v>20241231</v>
      </c>
      <c r="G1693" s="2">
        <v>5417</v>
      </c>
      <c r="H1693" s="2">
        <v>5311</v>
      </c>
      <c r="I1693" s="2">
        <v>136</v>
      </c>
      <c r="J1693" s="2" t="s">
        <v>497</v>
      </c>
      <c r="K1693" s="2" t="s">
        <v>498</v>
      </c>
      <c r="L1693" s="2" t="s">
        <v>5496</v>
      </c>
      <c r="M1693" s="7" t="s">
        <v>5497</v>
      </c>
      <c r="N1693" s="7" t="s">
        <v>5498</v>
      </c>
      <c r="O1693" s="2"/>
      <c r="P1693" s="2"/>
      <c r="Q1693" s="2" t="str">
        <f>IF(SUMPRODUCT(--ISNUMBER(SEARCH('National Domains'!$A$2:$A$48,L1693)))&gt;0,"Yes","No")</f>
        <v>Yes</v>
      </c>
      <c r="R1693" s="2" t="str">
        <f>IF(COUNTIFS(Calibration!$A:$A,A1693,Calibration!$B:$B,B1693)&gt;0,"Yes","No")</f>
        <v>No</v>
      </c>
      <c r="S1693" s="6"/>
    </row>
    <row r="1694" spans="1:19" ht="34.5" customHeight="1" x14ac:dyDescent="0.2">
      <c r="A1694" s="2">
        <v>313</v>
      </c>
      <c r="B1694" s="2">
        <v>21</v>
      </c>
      <c r="C1694" s="2" t="s">
        <v>496</v>
      </c>
      <c r="D1694" s="2" t="s">
        <v>29</v>
      </c>
      <c r="E1694" s="2">
        <v>20240101</v>
      </c>
      <c r="F1694" s="2">
        <v>20241231</v>
      </c>
      <c r="G1694" s="2">
        <v>5417</v>
      </c>
      <c r="H1694" s="2">
        <v>5311</v>
      </c>
      <c r="I1694" s="2">
        <v>136</v>
      </c>
      <c r="J1694" s="2" t="s">
        <v>497</v>
      </c>
      <c r="K1694" s="2" t="s">
        <v>498</v>
      </c>
      <c r="L1694" s="2" t="s">
        <v>5499</v>
      </c>
      <c r="M1694" s="7" t="s">
        <v>5500</v>
      </c>
      <c r="N1694" s="7" t="s">
        <v>5501</v>
      </c>
      <c r="O1694" s="2"/>
      <c r="P1694" s="2"/>
      <c r="Q1694" s="2" t="str">
        <f>IF(SUMPRODUCT(--ISNUMBER(SEARCH('National Domains'!$A$2:$A$48,L1694)))&gt;0,"Yes","No")</f>
        <v>Yes</v>
      </c>
      <c r="R1694" s="2" t="str">
        <f>IF(COUNTIFS(Calibration!$A:$A,A1694,Calibration!$B:$B,B1694)&gt;0,"Yes","No")</f>
        <v>No</v>
      </c>
      <c r="S1694" s="6"/>
    </row>
    <row r="1695" spans="1:19" ht="34.5" customHeight="1" x14ac:dyDescent="0.2">
      <c r="A1695" s="2">
        <v>313</v>
      </c>
      <c r="B1695" s="2">
        <v>22</v>
      </c>
      <c r="C1695" s="2" t="s">
        <v>496</v>
      </c>
      <c r="D1695" s="2" t="s">
        <v>29</v>
      </c>
      <c r="E1695" s="2">
        <v>20240101</v>
      </c>
      <c r="F1695" s="2">
        <v>20241231</v>
      </c>
      <c r="G1695" s="2">
        <v>5417</v>
      </c>
      <c r="H1695" s="2">
        <v>5311</v>
      </c>
      <c r="I1695" s="2">
        <v>136</v>
      </c>
      <c r="J1695" s="2" t="s">
        <v>497</v>
      </c>
      <c r="K1695" s="2" t="s">
        <v>498</v>
      </c>
      <c r="L1695" s="2" t="s">
        <v>5502</v>
      </c>
      <c r="M1695" s="7" t="s">
        <v>5503</v>
      </c>
      <c r="N1695" s="7" t="s">
        <v>5504</v>
      </c>
      <c r="O1695" s="2"/>
      <c r="P1695" s="2"/>
      <c r="Q1695" s="2" t="str">
        <f>IF(SUMPRODUCT(--ISNUMBER(SEARCH('National Domains'!$A$2:$A$48,L1695)))&gt;0,"Yes","No")</f>
        <v>Yes</v>
      </c>
      <c r="R1695" s="2" t="str">
        <f>IF(COUNTIFS(Calibration!$A:$A,A1695,Calibration!$B:$B,B1695)&gt;0,"Yes","No")</f>
        <v>No</v>
      </c>
      <c r="S1695" s="6"/>
    </row>
  </sheetData>
  <dataValidations count="1">
    <dataValidation type="list" allowBlank="1" sqref="O2:O1695" xr:uid="{00000000-0002-0000-0100-000000000000}">
      <formula1>"Relevant,Borderline,Trash"</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
  <sheetViews>
    <sheetView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10" customWidth="1"/>
    <col min="3" max="3" width="42" customWidth="1"/>
    <col min="4" max="4" width="14" customWidth="1"/>
    <col min="5" max="6" width="12" customWidth="1"/>
    <col min="7" max="8" width="16" customWidth="1"/>
    <col min="9" max="9" width="9" customWidth="1"/>
    <col min="10" max="10" width="26" customWidth="1"/>
    <col min="11" max="11" width="22" customWidth="1"/>
    <col min="12" max="13" width="50" customWidth="1"/>
    <col min="14" max="14" width="60" customWidth="1"/>
    <col min="15" max="15" width="12" customWidth="1"/>
    <col min="16" max="17" width="16" customWidth="1"/>
    <col min="18" max="18" width="14" customWidth="1"/>
    <col min="19" max="19" width="80" customWidth="1"/>
  </cols>
  <sheetData>
    <row r="1" spans="1:19" ht="30" customHeight="1" x14ac:dyDescent="0.2">
      <c r="A1" s="1" t="s">
        <v>0</v>
      </c>
      <c r="B1" s="1" t="s">
        <v>499</v>
      </c>
      <c r="C1" s="1" t="s">
        <v>1</v>
      </c>
      <c r="D1" s="1" t="s">
        <v>2</v>
      </c>
      <c r="E1" s="1" t="s">
        <v>3</v>
      </c>
      <c r="F1" s="1" t="s">
        <v>4</v>
      </c>
      <c r="G1" s="1" t="s">
        <v>5</v>
      </c>
      <c r="H1" s="1" t="s">
        <v>6</v>
      </c>
      <c r="I1" s="1" t="s">
        <v>7</v>
      </c>
      <c r="J1" s="1" t="s">
        <v>8</v>
      </c>
      <c r="K1" s="1" t="s">
        <v>9</v>
      </c>
      <c r="L1" s="1" t="s">
        <v>500</v>
      </c>
      <c r="M1" s="1" t="s">
        <v>501</v>
      </c>
      <c r="N1" s="1" t="s">
        <v>502</v>
      </c>
      <c r="O1" s="1" t="s">
        <v>503</v>
      </c>
      <c r="P1" s="1" t="s">
        <v>504</v>
      </c>
      <c r="Q1" s="1" t="s">
        <v>505</v>
      </c>
      <c r="R1" s="1" t="s">
        <v>506</v>
      </c>
      <c r="S1" s="3" t="s">
        <v>507</v>
      </c>
    </row>
    <row r="2" spans="1:19" ht="15" customHeight="1" x14ac:dyDescent="0.2">
      <c r="A2" s="2" t="str">
        <f>_xlfn._xlws.FILTER(Master!A2:S1695,Master!O2:O1695="Relevant","No rows tagged as 'Relevant' yet")</f>
        <v>No rows tagged as 'Relevant' yet</v>
      </c>
      <c r="B2" s="2"/>
      <c r="C2" s="2"/>
      <c r="D2" s="2"/>
      <c r="E2" s="2"/>
      <c r="F2" s="2"/>
      <c r="G2" s="2"/>
      <c r="H2" s="2"/>
      <c r="I2" s="2"/>
      <c r="J2" s="2"/>
      <c r="K2" s="2"/>
      <c r="L2" s="2"/>
      <c r="M2" s="2"/>
      <c r="N2" s="2"/>
      <c r="O2" s="2"/>
      <c r="P2" s="2"/>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
  <sheetViews>
    <sheetView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10" customWidth="1"/>
    <col min="3" max="3" width="42" customWidth="1"/>
    <col min="4" max="4" width="14" customWidth="1"/>
    <col min="5" max="6" width="12" customWidth="1"/>
    <col min="7" max="8" width="16" customWidth="1"/>
    <col min="9" max="9" width="9" customWidth="1"/>
    <col min="10" max="10" width="26" customWidth="1"/>
    <col min="11" max="11" width="22" customWidth="1"/>
    <col min="12" max="13" width="50" customWidth="1"/>
    <col min="14" max="14" width="60" customWidth="1"/>
    <col min="15" max="15" width="12" customWidth="1"/>
    <col min="16" max="17" width="16" customWidth="1"/>
    <col min="18" max="18" width="14" customWidth="1"/>
    <col min="19" max="19" width="80" customWidth="1"/>
  </cols>
  <sheetData>
    <row r="1" spans="1:19" ht="30" customHeight="1" x14ac:dyDescent="0.2">
      <c r="A1" s="1" t="s">
        <v>0</v>
      </c>
      <c r="B1" s="1" t="s">
        <v>499</v>
      </c>
      <c r="C1" s="1" t="s">
        <v>1</v>
      </c>
      <c r="D1" s="1" t="s">
        <v>2</v>
      </c>
      <c r="E1" s="1" t="s">
        <v>3</v>
      </c>
      <c r="F1" s="1" t="s">
        <v>4</v>
      </c>
      <c r="G1" s="1" t="s">
        <v>5</v>
      </c>
      <c r="H1" s="1" t="s">
        <v>6</v>
      </c>
      <c r="I1" s="1" t="s">
        <v>7</v>
      </c>
      <c r="J1" s="1" t="s">
        <v>8</v>
      </c>
      <c r="K1" s="1" t="s">
        <v>9</v>
      </c>
      <c r="L1" s="1" t="s">
        <v>500</v>
      </c>
      <c r="M1" s="1" t="s">
        <v>501</v>
      </c>
      <c r="N1" s="1" t="s">
        <v>502</v>
      </c>
      <c r="O1" s="1" t="s">
        <v>503</v>
      </c>
      <c r="P1" s="1" t="s">
        <v>504</v>
      </c>
      <c r="Q1" s="1" t="s">
        <v>505</v>
      </c>
      <c r="R1" s="1" t="s">
        <v>506</v>
      </c>
      <c r="S1" s="3" t="s">
        <v>507</v>
      </c>
    </row>
    <row r="2" spans="1:19" ht="15" customHeight="1" x14ac:dyDescent="0.2">
      <c r="A2" s="2" t="str">
        <f>_xlfn._xlws.FILTER(Master!A2:S1695,Master!O2:O1695="Trash","No rows tagged as 'Trash' yet")</f>
        <v>No rows tagged as 'Trash' yet</v>
      </c>
      <c r="B2" s="2"/>
      <c r="C2" s="2"/>
      <c r="D2" s="2"/>
      <c r="E2" s="2"/>
      <c r="F2" s="2"/>
      <c r="G2" s="2"/>
      <c r="H2" s="2"/>
      <c r="I2" s="2"/>
      <c r="J2" s="2"/>
      <c r="K2" s="2"/>
      <c r="L2" s="2"/>
      <c r="M2" s="2"/>
      <c r="N2" s="2"/>
      <c r="O2" s="2"/>
      <c r="P2" s="2"/>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8"/>
  <sheetViews>
    <sheetView zoomScaleNormal="100" workbookViewId="0">
      <pane ySplit="1" topLeftCell="A2" activePane="bottomLeft" state="frozen"/>
      <selection pane="bottomLeft"/>
    </sheetView>
  </sheetViews>
  <sheetFormatPr baseColWidth="10" defaultColWidth="8.6640625" defaultRowHeight="15" x14ac:dyDescent="0.2"/>
  <cols>
    <col min="1" max="1" width="28" customWidth="1"/>
  </cols>
  <sheetData>
    <row r="1" spans="1:1" ht="15" customHeight="1" x14ac:dyDescent="0.2">
      <c r="A1" s="8" t="s">
        <v>5505</v>
      </c>
    </row>
    <row r="2" spans="1:1" ht="15" customHeight="1" x14ac:dyDescent="0.2">
      <c r="A2" s="2" t="s">
        <v>5506</v>
      </c>
    </row>
    <row r="3" spans="1:1" ht="15" customHeight="1" x14ac:dyDescent="0.2">
      <c r="A3" s="2" t="s">
        <v>5507</v>
      </c>
    </row>
    <row r="4" spans="1:1" ht="15" customHeight="1" x14ac:dyDescent="0.2">
      <c r="A4" s="2" t="s">
        <v>5508</v>
      </c>
    </row>
    <row r="5" spans="1:1" ht="15" customHeight="1" x14ac:dyDescent="0.2">
      <c r="A5" s="2" t="s">
        <v>5509</v>
      </c>
    </row>
    <row r="6" spans="1:1" ht="15" customHeight="1" x14ac:dyDescent="0.2">
      <c r="A6" s="2" t="s">
        <v>5510</v>
      </c>
    </row>
    <row r="7" spans="1:1" ht="15" customHeight="1" x14ac:dyDescent="0.2">
      <c r="A7" s="2" t="s">
        <v>5511</v>
      </c>
    </row>
    <row r="8" spans="1:1" ht="15" customHeight="1" x14ac:dyDescent="0.2">
      <c r="A8" s="2" t="s">
        <v>5512</v>
      </c>
    </row>
    <row r="9" spans="1:1" ht="15" customHeight="1" x14ac:dyDescent="0.2">
      <c r="A9" s="2" t="s">
        <v>5513</v>
      </c>
    </row>
    <row r="10" spans="1:1" ht="15" customHeight="1" x14ac:dyDescent="0.2">
      <c r="A10" s="2" t="s">
        <v>5514</v>
      </c>
    </row>
    <row r="11" spans="1:1" ht="15" customHeight="1" x14ac:dyDescent="0.2">
      <c r="A11" s="2" t="s">
        <v>5515</v>
      </c>
    </row>
    <row r="12" spans="1:1" ht="15" customHeight="1" x14ac:dyDescent="0.2">
      <c r="A12" s="2" t="s">
        <v>5516</v>
      </c>
    </row>
    <row r="13" spans="1:1" ht="15" customHeight="1" x14ac:dyDescent="0.2">
      <c r="A13" s="2" t="s">
        <v>5517</v>
      </c>
    </row>
    <row r="14" spans="1:1" ht="15" customHeight="1" x14ac:dyDescent="0.2">
      <c r="A14" s="2" t="s">
        <v>5518</v>
      </c>
    </row>
    <row r="15" spans="1:1" ht="15" customHeight="1" x14ac:dyDescent="0.2">
      <c r="A15" s="2" t="s">
        <v>5519</v>
      </c>
    </row>
    <row r="16" spans="1:1" ht="15" customHeight="1" x14ac:dyDescent="0.2">
      <c r="A16" s="2" t="s">
        <v>5520</v>
      </c>
    </row>
    <row r="17" spans="1:1" ht="15" customHeight="1" x14ac:dyDescent="0.2">
      <c r="A17" s="2" t="s">
        <v>5521</v>
      </c>
    </row>
    <row r="18" spans="1:1" ht="15" customHeight="1" x14ac:dyDescent="0.2">
      <c r="A18" s="2" t="s">
        <v>5522</v>
      </c>
    </row>
    <row r="19" spans="1:1" ht="15" customHeight="1" x14ac:dyDescent="0.2">
      <c r="A19" s="2" t="s">
        <v>5523</v>
      </c>
    </row>
    <row r="20" spans="1:1" ht="15" customHeight="1" x14ac:dyDescent="0.2">
      <c r="A20" s="2" t="s">
        <v>5524</v>
      </c>
    </row>
    <row r="21" spans="1:1" ht="15" customHeight="1" x14ac:dyDescent="0.2">
      <c r="A21" s="2" t="s">
        <v>5525</v>
      </c>
    </row>
    <row r="22" spans="1:1" ht="15" customHeight="1" x14ac:dyDescent="0.2">
      <c r="A22" s="2" t="s">
        <v>5526</v>
      </c>
    </row>
    <row r="23" spans="1:1" ht="15" customHeight="1" x14ac:dyDescent="0.2">
      <c r="A23" s="2" t="s">
        <v>5527</v>
      </c>
    </row>
    <row r="24" spans="1:1" ht="15" customHeight="1" x14ac:dyDescent="0.2">
      <c r="A24" s="2" t="s">
        <v>5528</v>
      </c>
    </row>
    <row r="25" spans="1:1" ht="15" customHeight="1" x14ac:dyDescent="0.2">
      <c r="A25" s="2" t="s">
        <v>5529</v>
      </c>
    </row>
    <row r="26" spans="1:1" ht="15" customHeight="1" x14ac:dyDescent="0.2">
      <c r="A26" s="2" t="s">
        <v>5530</v>
      </c>
    </row>
    <row r="27" spans="1:1" ht="15" customHeight="1" x14ac:dyDescent="0.2">
      <c r="A27" s="2" t="s">
        <v>5531</v>
      </c>
    </row>
    <row r="28" spans="1:1" ht="15" customHeight="1" x14ac:dyDescent="0.2">
      <c r="A28" s="2" t="s">
        <v>5532</v>
      </c>
    </row>
    <row r="29" spans="1:1" ht="15" customHeight="1" x14ac:dyDescent="0.2">
      <c r="A29" s="2" t="s">
        <v>5533</v>
      </c>
    </row>
    <row r="30" spans="1:1" ht="15" customHeight="1" x14ac:dyDescent="0.2">
      <c r="A30" s="2" t="s">
        <v>5534</v>
      </c>
    </row>
    <row r="31" spans="1:1" ht="15" customHeight="1" x14ac:dyDescent="0.2">
      <c r="A31" s="2" t="s">
        <v>5535</v>
      </c>
    </row>
    <row r="32" spans="1:1" ht="15" customHeight="1" x14ac:dyDescent="0.2">
      <c r="A32" s="2" t="s">
        <v>5536</v>
      </c>
    </row>
    <row r="33" spans="1:1" ht="15" customHeight="1" x14ac:dyDescent="0.2">
      <c r="A33" s="2" t="s">
        <v>5537</v>
      </c>
    </row>
    <row r="34" spans="1:1" ht="15" customHeight="1" x14ac:dyDescent="0.2">
      <c r="A34" s="2" t="s">
        <v>5538</v>
      </c>
    </row>
    <row r="35" spans="1:1" ht="15" customHeight="1" x14ac:dyDescent="0.2">
      <c r="A35" s="2" t="s">
        <v>5539</v>
      </c>
    </row>
    <row r="36" spans="1:1" ht="15" customHeight="1" x14ac:dyDescent="0.2">
      <c r="A36" s="2" t="s">
        <v>5540</v>
      </c>
    </row>
    <row r="37" spans="1:1" ht="15" customHeight="1" x14ac:dyDescent="0.2">
      <c r="A37" s="2" t="s">
        <v>5541</v>
      </c>
    </row>
    <row r="38" spans="1:1" ht="15" customHeight="1" x14ac:dyDescent="0.2">
      <c r="A38" s="2" t="s">
        <v>5542</v>
      </c>
    </row>
    <row r="39" spans="1:1" ht="15" customHeight="1" x14ac:dyDescent="0.2">
      <c r="A39" s="2" t="s">
        <v>5543</v>
      </c>
    </row>
    <row r="40" spans="1:1" ht="15" customHeight="1" x14ac:dyDescent="0.2">
      <c r="A40" s="2" t="s">
        <v>5544</v>
      </c>
    </row>
    <row r="41" spans="1:1" ht="15" customHeight="1" x14ac:dyDescent="0.2">
      <c r="A41" s="2" t="s">
        <v>5545</v>
      </c>
    </row>
    <row r="42" spans="1:1" ht="15" customHeight="1" x14ac:dyDescent="0.2">
      <c r="A42" s="2" t="s">
        <v>5546</v>
      </c>
    </row>
    <row r="43" spans="1:1" ht="15" customHeight="1" x14ac:dyDescent="0.2">
      <c r="A43" s="2" t="s">
        <v>5547</v>
      </c>
    </row>
    <row r="44" spans="1:1" ht="15" customHeight="1" x14ac:dyDescent="0.2">
      <c r="A44" s="2" t="s">
        <v>5548</v>
      </c>
    </row>
    <row r="45" spans="1:1" ht="15" customHeight="1" x14ac:dyDescent="0.2">
      <c r="A45" s="2" t="s">
        <v>5549</v>
      </c>
    </row>
    <row r="46" spans="1:1" ht="15" customHeight="1" x14ac:dyDescent="0.2">
      <c r="A46" s="2" t="s">
        <v>5550</v>
      </c>
    </row>
    <row r="47" spans="1:1" ht="15" customHeight="1" x14ac:dyDescent="0.2">
      <c r="A47" s="2" t="s">
        <v>5551</v>
      </c>
    </row>
    <row r="48" spans="1:1" ht="15" customHeight="1" x14ac:dyDescent="0.2">
      <c r="A48" s="2" t="s">
        <v>5552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1"/>
  <sheetViews>
    <sheetView tabSelected="1" topLeftCell="I1" zoomScaleNormal="100" workbookViewId="0">
      <pane ySplit="1" topLeftCell="A14" activePane="bottomLeft" state="frozen"/>
      <selection activeCell="G1" sqref="G1"/>
      <selection pane="bottomLeft" activeCell="L29" sqref="L29"/>
    </sheetView>
  </sheetViews>
  <sheetFormatPr baseColWidth="10" defaultColWidth="8.6640625" defaultRowHeight="15" x14ac:dyDescent="0.2"/>
  <cols>
    <col min="1" max="1" width="14" customWidth="1"/>
    <col min="2" max="2" width="10" customWidth="1"/>
    <col min="3" max="3" width="42" customWidth="1"/>
    <col min="4" max="4" width="14" customWidth="1"/>
    <col min="5" max="6" width="12" customWidth="1"/>
    <col min="7" max="7" width="26" customWidth="1"/>
    <col min="8" max="9" width="50" customWidth="1"/>
    <col min="10" max="10" width="60" customWidth="1"/>
    <col min="11" max="20" width="80" customWidth="1"/>
    <col min="21" max="21" width="30" customWidth="1"/>
  </cols>
  <sheetData>
    <row r="1" spans="1:22" ht="45" customHeight="1" x14ac:dyDescent="0.2">
      <c r="A1" s="1" t="s">
        <v>0</v>
      </c>
      <c r="B1" s="1" t="s">
        <v>499</v>
      </c>
      <c r="C1" s="1" t="s">
        <v>1</v>
      </c>
      <c r="D1" s="1" t="s">
        <v>2</v>
      </c>
      <c r="E1" s="1" t="s">
        <v>3</v>
      </c>
      <c r="F1" s="1" t="s">
        <v>4</v>
      </c>
      <c r="G1" s="1" t="s">
        <v>8</v>
      </c>
      <c r="H1" s="1" t="s">
        <v>500</v>
      </c>
      <c r="I1" s="1" t="s">
        <v>501</v>
      </c>
      <c r="J1" s="1" t="s">
        <v>502</v>
      </c>
      <c r="K1" s="3" t="s">
        <v>507</v>
      </c>
      <c r="L1" s="1" t="s">
        <v>5553</v>
      </c>
      <c r="M1" s="1" t="s">
        <v>5554</v>
      </c>
      <c r="N1" s="1" t="s">
        <v>5555</v>
      </c>
      <c r="O1" s="1" t="s">
        <v>5556</v>
      </c>
      <c r="P1" s="1" t="s">
        <v>5557</v>
      </c>
      <c r="Q1" s="1" t="s">
        <v>5558</v>
      </c>
      <c r="R1" s="1" t="s">
        <v>5559</v>
      </c>
      <c r="S1" s="1" t="s">
        <v>5560</v>
      </c>
      <c r="T1" s="1" t="s">
        <v>5561</v>
      </c>
      <c r="U1" s="1" t="s">
        <v>5562</v>
      </c>
      <c r="V1" s="1" t="s">
        <v>5563</v>
      </c>
    </row>
    <row r="2" spans="1:22" ht="42" customHeight="1" x14ac:dyDescent="0.2">
      <c r="A2" s="2">
        <v>1</v>
      </c>
      <c r="B2" s="2">
        <v>1</v>
      </c>
      <c r="C2" s="2" t="s">
        <v>12</v>
      </c>
      <c r="D2" s="2" t="s">
        <v>13</v>
      </c>
      <c r="E2" s="2">
        <v>20000121</v>
      </c>
      <c r="F2" s="2">
        <v>20000124</v>
      </c>
      <c r="G2" s="2" t="s">
        <v>14</v>
      </c>
      <c r="H2" s="2" t="s">
        <v>508</v>
      </c>
      <c r="I2" s="7" t="s">
        <v>509</v>
      </c>
      <c r="J2" s="7" t="s">
        <v>510</v>
      </c>
      <c r="K2" s="6"/>
      <c r="L2" s="2"/>
      <c r="M2" s="2"/>
      <c r="N2" s="9" t="str">
        <f t="shared" ref="N2:N33" si="0">IF(M2="","",IF(M2="A",1,IF(M2="B",0.5,IF(M2="C",0,IF(M2="D",-1,IF(M2="E",0,""))))))</f>
        <v/>
      </c>
      <c r="O2" s="2"/>
      <c r="P2" s="2"/>
      <c r="Q2" s="2"/>
      <c r="R2" s="2"/>
      <c r="S2" s="9" t="str">
        <f t="shared" ref="S2:S33" si="1">IF(R2="","",IF(R2="A",1,IF(R2="B",0.5,IF(R2="C",0,IF(R2="D",-1,IF(R2="E",0,""))))))</f>
        <v/>
      </c>
      <c r="T2" s="2"/>
      <c r="U2" s="2"/>
      <c r="V2" s="2"/>
    </row>
    <row r="3" spans="1:22" ht="42" customHeight="1" x14ac:dyDescent="0.2">
      <c r="A3" s="14">
        <v>11</v>
      </c>
      <c r="B3" s="2">
        <v>4</v>
      </c>
      <c r="C3" s="2" t="s">
        <v>47</v>
      </c>
      <c r="D3" s="2" t="s">
        <v>39</v>
      </c>
      <c r="E3" s="2">
        <v>20020925</v>
      </c>
      <c r="F3" s="2">
        <v>20020927</v>
      </c>
      <c r="G3" s="2" t="s">
        <v>48</v>
      </c>
      <c r="H3" s="2" t="s">
        <v>556</v>
      </c>
      <c r="I3" s="7" t="s">
        <v>557</v>
      </c>
      <c r="J3" s="7" t="s">
        <v>558</v>
      </c>
      <c r="K3" s="16" t="s">
        <v>5571</v>
      </c>
      <c r="L3" s="2" t="s">
        <v>5572</v>
      </c>
      <c r="M3" s="2"/>
      <c r="N3" s="9" t="str">
        <f t="shared" si="0"/>
        <v/>
      </c>
      <c r="O3" s="2"/>
      <c r="P3" s="2"/>
      <c r="Q3" s="2"/>
      <c r="R3" s="2"/>
      <c r="S3" s="9" t="str">
        <f t="shared" si="1"/>
        <v/>
      </c>
      <c r="T3" s="2"/>
      <c r="U3" s="2"/>
      <c r="V3" s="2"/>
    </row>
    <row r="4" spans="1:22" s="13" customFormat="1" ht="42" customHeight="1" x14ac:dyDescent="0.2">
      <c r="A4" s="14">
        <v>12</v>
      </c>
      <c r="B4" s="10">
        <v>1</v>
      </c>
      <c r="C4" s="10" t="s">
        <v>50</v>
      </c>
      <c r="D4" s="10" t="s">
        <v>17</v>
      </c>
      <c r="E4" s="10">
        <v>20021109</v>
      </c>
      <c r="F4" s="10">
        <v>20021111</v>
      </c>
      <c r="G4" s="10" t="s">
        <v>51</v>
      </c>
      <c r="H4" s="10" t="s">
        <v>559</v>
      </c>
      <c r="I4" s="11" t="s">
        <v>560</v>
      </c>
      <c r="J4" s="11" t="s">
        <v>561</v>
      </c>
      <c r="K4" s="15" t="s">
        <v>5566</v>
      </c>
      <c r="L4" s="10" t="s">
        <v>5564</v>
      </c>
      <c r="M4" s="10" t="s">
        <v>5565</v>
      </c>
      <c r="N4" s="12">
        <f t="shared" si="0"/>
        <v>0</v>
      </c>
      <c r="O4" s="10"/>
      <c r="P4" s="10"/>
      <c r="Q4" s="10"/>
      <c r="R4" s="10"/>
      <c r="S4" s="12" t="str">
        <f t="shared" si="1"/>
        <v/>
      </c>
      <c r="T4" s="10"/>
      <c r="U4" s="10"/>
      <c r="V4" s="10"/>
    </row>
    <row r="5" spans="1:22" ht="42" customHeight="1" x14ac:dyDescent="0.2">
      <c r="A5" s="14">
        <v>14</v>
      </c>
      <c r="B5" s="2">
        <v>1</v>
      </c>
      <c r="C5" s="2" t="s">
        <v>54</v>
      </c>
      <c r="D5" s="2" t="s">
        <v>29</v>
      </c>
      <c r="E5" s="2">
        <v>20020301</v>
      </c>
      <c r="F5" s="2">
        <v>20021130</v>
      </c>
      <c r="G5" s="2" t="s">
        <v>43</v>
      </c>
      <c r="H5" s="2" t="s">
        <v>568</v>
      </c>
      <c r="I5" s="7" t="s">
        <v>569</v>
      </c>
      <c r="J5" s="7" t="s">
        <v>570</v>
      </c>
      <c r="K5" s="16" t="s">
        <v>5567</v>
      </c>
      <c r="L5" s="2" t="s">
        <v>5564</v>
      </c>
      <c r="M5" s="2" t="s">
        <v>5565</v>
      </c>
      <c r="N5" s="9">
        <f t="shared" si="0"/>
        <v>0</v>
      </c>
      <c r="O5" s="2"/>
      <c r="P5" s="2"/>
      <c r="Q5" s="2"/>
      <c r="R5" s="2"/>
      <c r="S5" s="9" t="str">
        <f t="shared" si="1"/>
        <v/>
      </c>
      <c r="T5" s="2"/>
      <c r="U5" s="2"/>
      <c r="V5" s="2"/>
    </row>
    <row r="6" spans="1:22" ht="42" customHeight="1" x14ac:dyDescent="0.2">
      <c r="A6" s="14">
        <v>20</v>
      </c>
      <c r="B6" s="2">
        <v>6</v>
      </c>
      <c r="C6" s="2" t="s">
        <v>65</v>
      </c>
      <c r="D6" s="2" t="s">
        <v>21</v>
      </c>
      <c r="E6" s="2">
        <v>20030901</v>
      </c>
      <c r="F6" s="2">
        <v>20031130</v>
      </c>
      <c r="G6" s="2" t="s">
        <v>66</v>
      </c>
      <c r="H6" s="2" t="s">
        <v>622</v>
      </c>
      <c r="I6" s="7" t="s">
        <v>623</v>
      </c>
      <c r="J6" s="7" t="s">
        <v>624</v>
      </c>
      <c r="K6" s="16" t="s">
        <v>5568</v>
      </c>
      <c r="L6" s="2" t="s">
        <v>5564</v>
      </c>
      <c r="M6" s="2" t="s">
        <v>5565</v>
      </c>
      <c r="N6" s="9">
        <f t="shared" si="0"/>
        <v>0</v>
      </c>
      <c r="O6" s="2"/>
      <c r="P6" s="2"/>
      <c r="Q6" s="2"/>
      <c r="R6" s="2"/>
      <c r="S6" s="9" t="str">
        <f t="shared" si="1"/>
        <v/>
      </c>
      <c r="T6" s="2"/>
      <c r="U6" s="2"/>
      <c r="V6" s="2"/>
    </row>
    <row r="7" spans="1:22" ht="42" customHeight="1" x14ac:dyDescent="0.2">
      <c r="A7" s="14">
        <v>27</v>
      </c>
      <c r="B7" s="2">
        <v>2</v>
      </c>
      <c r="C7" s="2" t="s">
        <v>81</v>
      </c>
      <c r="D7" s="2" t="s">
        <v>39</v>
      </c>
      <c r="E7" s="2">
        <v>20040915</v>
      </c>
      <c r="F7" s="2">
        <v>20040929</v>
      </c>
      <c r="G7" s="2" t="s">
        <v>26</v>
      </c>
      <c r="H7" s="2" t="s">
        <v>694</v>
      </c>
      <c r="I7" s="7" t="s">
        <v>695</v>
      </c>
      <c r="J7" s="7" t="s">
        <v>696</v>
      </c>
      <c r="K7" s="16" t="s">
        <v>5569</v>
      </c>
      <c r="L7" s="2" t="s">
        <v>5564</v>
      </c>
      <c r="M7" s="2" t="s">
        <v>5565</v>
      </c>
      <c r="N7" s="9">
        <f t="shared" si="0"/>
        <v>0</v>
      </c>
      <c r="O7" s="2"/>
      <c r="P7" s="2"/>
      <c r="Q7" s="2"/>
      <c r="R7" s="2"/>
      <c r="S7" s="9" t="str">
        <f t="shared" si="1"/>
        <v/>
      </c>
      <c r="T7" s="2"/>
      <c r="U7" s="2"/>
      <c r="V7" s="2"/>
    </row>
    <row r="8" spans="1:22" ht="42" customHeight="1" x14ac:dyDescent="0.2">
      <c r="A8" s="14">
        <v>42</v>
      </c>
      <c r="B8" s="2">
        <v>1</v>
      </c>
      <c r="C8" s="2" t="s">
        <v>105</v>
      </c>
      <c r="D8" s="2" t="s">
        <v>106</v>
      </c>
      <c r="E8" s="2">
        <v>20070111</v>
      </c>
      <c r="F8" s="2">
        <v>20070117</v>
      </c>
      <c r="G8" s="2" t="s">
        <v>66</v>
      </c>
      <c r="H8" s="2" t="s">
        <v>813</v>
      </c>
      <c r="I8" s="7" t="s">
        <v>814</v>
      </c>
      <c r="J8" s="7" t="s">
        <v>815</v>
      </c>
      <c r="K8" s="16" t="s">
        <v>5570</v>
      </c>
      <c r="L8" s="2" t="s">
        <v>5564</v>
      </c>
      <c r="M8" s="2" t="s">
        <v>5565</v>
      </c>
      <c r="N8" s="9">
        <f t="shared" si="0"/>
        <v>0</v>
      </c>
      <c r="O8" s="2"/>
      <c r="P8" s="2"/>
      <c r="Q8" s="2"/>
      <c r="R8" s="2"/>
      <c r="S8" s="9" t="str">
        <f t="shared" si="1"/>
        <v/>
      </c>
      <c r="T8" s="2"/>
      <c r="U8" s="2"/>
      <c r="V8" s="2"/>
    </row>
    <row r="9" spans="1:22" ht="42" customHeight="1" x14ac:dyDescent="0.2">
      <c r="A9" s="2">
        <v>53</v>
      </c>
      <c r="B9" s="2">
        <v>8</v>
      </c>
      <c r="C9" s="2" t="s">
        <v>123</v>
      </c>
      <c r="D9" s="2" t="s">
        <v>25</v>
      </c>
      <c r="E9" s="2">
        <v>20080401</v>
      </c>
      <c r="F9" s="2">
        <v>20080630</v>
      </c>
      <c r="G9" s="2" t="s">
        <v>36</v>
      </c>
      <c r="H9" s="2" t="s">
        <v>887</v>
      </c>
      <c r="I9" s="7" t="s">
        <v>888</v>
      </c>
      <c r="J9" s="7" t="s">
        <v>889</v>
      </c>
      <c r="K9" s="6"/>
      <c r="L9" s="2"/>
      <c r="M9" s="2"/>
      <c r="N9" s="9" t="str">
        <f t="shared" si="0"/>
        <v/>
      </c>
      <c r="O9" s="2"/>
      <c r="P9" s="2"/>
      <c r="Q9" s="2"/>
      <c r="R9" s="2"/>
      <c r="S9" s="9" t="str">
        <f t="shared" si="1"/>
        <v/>
      </c>
      <c r="T9" s="2"/>
      <c r="U9" s="2"/>
      <c r="V9" s="2"/>
    </row>
    <row r="10" spans="1:22" ht="42" customHeight="1" x14ac:dyDescent="0.2">
      <c r="A10" s="14">
        <v>53</v>
      </c>
      <c r="B10" s="2">
        <v>10</v>
      </c>
      <c r="C10" s="2" t="s">
        <v>123</v>
      </c>
      <c r="D10" s="2" t="s">
        <v>25</v>
      </c>
      <c r="E10" s="2">
        <v>20080401</v>
      </c>
      <c r="F10" s="2">
        <v>20080630</v>
      </c>
      <c r="G10" s="2" t="s">
        <v>36</v>
      </c>
      <c r="H10" s="2" t="s">
        <v>893</v>
      </c>
      <c r="I10" s="7" t="s">
        <v>894</v>
      </c>
      <c r="J10" s="7" t="s">
        <v>895</v>
      </c>
      <c r="K10" s="16" t="s">
        <v>5573</v>
      </c>
      <c r="L10" s="2" t="s">
        <v>5564</v>
      </c>
      <c r="M10" s="2" t="s">
        <v>5565</v>
      </c>
      <c r="N10" s="9">
        <f t="shared" si="0"/>
        <v>0</v>
      </c>
      <c r="O10" s="2"/>
      <c r="P10" s="2"/>
      <c r="Q10" s="2"/>
      <c r="R10" s="2"/>
      <c r="S10" s="9" t="str">
        <f t="shared" si="1"/>
        <v/>
      </c>
      <c r="T10" s="2"/>
      <c r="U10" s="2"/>
      <c r="V10" s="2"/>
    </row>
    <row r="11" spans="1:22" ht="42" customHeight="1" x14ac:dyDescent="0.2">
      <c r="A11" s="14">
        <v>55</v>
      </c>
      <c r="B11" s="2">
        <v>6</v>
      </c>
      <c r="C11" s="2" t="s">
        <v>126</v>
      </c>
      <c r="D11" s="2" t="s">
        <v>39</v>
      </c>
      <c r="E11" s="2">
        <v>20080831</v>
      </c>
      <c r="F11" s="2">
        <v>20080903</v>
      </c>
      <c r="G11" s="2" t="s">
        <v>46</v>
      </c>
      <c r="H11" s="2" t="s">
        <v>958</v>
      </c>
      <c r="I11" s="7" t="s">
        <v>959</v>
      </c>
      <c r="J11" s="7" t="s">
        <v>960</v>
      </c>
      <c r="K11" s="16" t="s">
        <v>5574</v>
      </c>
      <c r="L11" s="2" t="s">
        <v>5564</v>
      </c>
      <c r="M11" s="2" t="s">
        <v>5565</v>
      </c>
      <c r="N11" s="9">
        <f t="shared" si="0"/>
        <v>0</v>
      </c>
      <c r="O11" s="2"/>
      <c r="P11" s="2"/>
      <c r="Q11" s="2"/>
      <c r="R11" s="2"/>
      <c r="S11" s="9" t="str">
        <f t="shared" si="1"/>
        <v/>
      </c>
      <c r="T11" s="2"/>
      <c r="U11" s="2"/>
      <c r="V11" s="2"/>
    </row>
    <row r="12" spans="1:22" ht="42" customHeight="1" x14ac:dyDescent="0.2">
      <c r="A12" s="14">
        <v>100</v>
      </c>
      <c r="B12" s="2">
        <v>13</v>
      </c>
      <c r="C12" s="2" t="s">
        <v>206</v>
      </c>
      <c r="D12" s="2" t="s">
        <v>39</v>
      </c>
      <c r="E12" s="2">
        <v>20120826</v>
      </c>
      <c r="F12" s="2">
        <v>20120831</v>
      </c>
      <c r="G12" s="2" t="s">
        <v>207</v>
      </c>
      <c r="H12" s="2" t="s">
        <v>1315</v>
      </c>
      <c r="I12" s="7" t="s">
        <v>1316</v>
      </c>
      <c r="J12" s="7" t="s">
        <v>1317</v>
      </c>
      <c r="K12" s="16" t="s">
        <v>5575</v>
      </c>
      <c r="L12" s="2" t="s">
        <v>5564</v>
      </c>
      <c r="M12" s="2" t="s">
        <v>5565</v>
      </c>
      <c r="N12" s="9">
        <f t="shared" si="0"/>
        <v>0</v>
      </c>
      <c r="O12" s="2"/>
      <c r="P12" s="2"/>
      <c r="Q12" s="2"/>
      <c r="R12" s="2"/>
      <c r="S12" s="9" t="str">
        <f t="shared" si="1"/>
        <v/>
      </c>
      <c r="T12" s="2"/>
      <c r="U12" s="2"/>
      <c r="V12" s="2"/>
    </row>
    <row r="13" spans="1:22" ht="42" customHeight="1" x14ac:dyDescent="0.2">
      <c r="A13" s="14">
        <v>113</v>
      </c>
      <c r="B13" s="2">
        <v>1</v>
      </c>
      <c r="C13" s="2" t="s">
        <v>228</v>
      </c>
      <c r="D13" s="2" t="s">
        <v>29</v>
      </c>
      <c r="E13" s="2">
        <v>20130301</v>
      </c>
      <c r="F13" s="2">
        <v>20131130</v>
      </c>
      <c r="G13" s="2" t="s">
        <v>229</v>
      </c>
      <c r="H13" s="2" t="s">
        <v>1496</v>
      </c>
      <c r="I13" s="7" t="s">
        <v>1497</v>
      </c>
      <c r="J13" s="7" t="s">
        <v>1498</v>
      </c>
      <c r="K13" s="16" t="s">
        <v>5576</v>
      </c>
      <c r="L13" s="2" t="s">
        <v>5564</v>
      </c>
      <c r="M13" s="2" t="s">
        <v>5565</v>
      </c>
      <c r="N13" s="9">
        <f t="shared" si="0"/>
        <v>0</v>
      </c>
      <c r="O13" s="2"/>
      <c r="P13" s="2"/>
      <c r="Q13" s="2"/>
      <c r="R13" s="2"/>
      <c r="S13" s="9" t="str">
        <f t="shared" si="1"/>
        <v/>
      </c>
      <c r="T13" s="2"/>
      <c r="U13" s="2"/>
      <c r="V13" s="2"/>
    </row>
    <row r="14" spans="1:22" ht="42" customHeight="1" x14ac:dyDescent="0.2">
      <c r="A14" s="14">
        <v>132</v>
      </c>
      <c r="B14" s="2">
        <v>3</v>
      </c>
      <c r="C14" s="2" t="s">
        <v>263</v>
      </c>
      <c r="D14" s="2" t="s">
        <v>21</v>
      </c>
      <c r="E14" s="2">
        <v>20150601</v>
      </c>
      <c r="F14" s="2">
        <v>20151130</v>
      </c>
      <c r="G14" s="2" t="s">
        <v>22</v>
      </c>
      <c r="H14" s="2" t="s">
        <v>1724</v>
      </c>
      <c r="I14" s="7" t="s">
        <v>1725</v>
      </c>
      <c r="J14" s="7" t="s">
        <v>1726</v>
      </c>
      <c r="K14" s="16" t="s">
        <v>5577</v>
      </c>
      <c r="L14" s="2" t="s">
        <v>5564</v>
      </c>
      <c r="M14" s="2" t="s">
        <v>5565</v>
      </c>
      <c r="N14" s="9">
        <f t="shared" si="0"/>
        <v>0</v>
      </c>
      <c r="O14" s="2"/>
      <c r="P14" s="2"/>
      <c r="Q14" s="2"/>
      <c r="R14" s="2"/>
      <c r="S14" s="9" t="str">
        <f t="shared" si="1"/>
        <v/>
      </c>
      <c r="T14" s="2"/>
      <c r="U14" s="2"/>
      <c r="V14" s="2"/>
    </row>
    <row r="15" spans="1:22" ht="42" customHeight="1" x14ac:dyDescent="0.2">
      <c r="A15" s="14">
        <v>132</v>
      </c>
      <c r="B15" s="2">
        <v>12</v>
      </c>
      <c r="C15" s="2" t="s">
        <v>263</v>
      </c>
      <c r="D15" s="2" t="s">
        <v>21</v>
      </c>
      <c r="E15" s="2">
        <v>20150601</v>
      </c>
      <c r="F15" s="2">
        <v>20151130</v>
      </c>
      <c r="G15" s="2" t="s">
        <v>22</v>
      </c>
      <c r="H15" s="2" t="s">
        <v>1751</v>
      </c>
      <c r="I15" s="7" t="s">
        <v>1752</v>
      </c>
      <c r="J15" s="7" t="s">
        <v>1753</v>
      </c>
      <c r="K15" s="16" t="s">
        <v>5578</v>
      </c>
      <c r="L15" s="2" t="s">
        <v>5564</v>
      </c>
      <c r="M15" s="2" t="s">
        <v>5565</v>
      </c>
      <c r="N15" s="9">
        <f t="shared" si="0"/>
        <v>0</v>
      </c>
      <c r="O15" s="2"/>
      <c r="P15" s="2"/>
      <c r="Q15" s="2"/>
      <c r="R15" s="2"/>
      <c r="S15" s="9" t="str">
        <f t="shared" si="1"/>
        <v/>
      </c>
      <c r="T15" s="2"/>
      <c r="U15" s="2"/>
      <c r="V15" s="2"/>
    </row>
    <row r="16" spans="1:22" ht="42" customHeight="1" x14ac:dyDescent="0.2">
      <c r="A16" s="14">
        <v>137</v>
      </c>
      <c r="B16" s="2">
        <v>1</v>
      </c>
      <c r="C16" s="2" t="s">
        <v>271</v>
      </c>
      <c r="D16" s="2" t="s">
        <v>17</v>
      </c>
      <c r="E16" s="2">
        <v>20160317</v>
      </c>
      <c r="F16" s="2">
        <v>20160318</v>
      </c>
      <c r="G16" s="2" t="s">
        <v>18</v>
      </c>
      <c r="H16" s="2" t="s">
        <v>1897</v>
      </c>
      <c r="I16" s="7" t="s">
        <v>1898</v>
      </c>
      <c r="J16" s="7" t="s">
        <v>1899</v>
      </c>
      <c r="K16" s="16" t="s">
        <v>5579</v>
      </c>
      <c r="L16" s="2" t="s">
        <v>5572</v>
      </c>
      <c r="M16" s="2"/>
      <c r="N16" s="9" t="str">
        <f t="shared" si="0"/>
        <v/>
      </c>
      <c r="O16" s="2"/>
      <c r="P16" s="2"/>
      <c r="Q16" s="2"/>
      <c r="R16" s="2"/>
      <c r="S16" s="9" t="str">
        <f t="shared" si="1"/>
        <v/>
      </c>
      <c r="T16" s="2"/>
      <c r="U16" s="2"/>
      <c r="V16" s="2"/>
    </row>
    <row r="17" spans="1:22" ht="42" customHeight="1" x14ac:dyDescent="0.2">
      <c r="A17" s="14">
        <v>146</v>
      </c>
      <c r="B17" s="2">
        <v>23</v>
      </c>
      <c r="C17" s="2" t="s">
        <v>284</v>
      </c>
      <c r="D17" s="2" t="s">
        <v>25</v>
      </c>
      <c r="E17" s="2">
        <v>20160812</v>
      </c>
      <c r="F17" s="2">
        <v>20160815</v>
      </c>
      <c r="G17" s="2" t="s">
        <v>46</v>
      </c>
      <c r="H17" s="2" t="s">
        <v>2005</v>
      </c>
      <c r="I17" s="7" t="s">
        <v>2006</v>
      </c>
      <c r="J17" s="7" t="s">
        <v>2007</v>
      </c>
      <c r="K17" s="16" t="s">
        <v>5580</v>
      </c>
      <c r="L17" s="2" t="s">
        <v>5564</v>
      </c>
      <c r="M17" s="2" t="s">
        <v>5565</v>
      </c>
      <c r="N17" s="9">
        <f t="shared" si="0"/>
        <v>0</v>
      </c>
      <c r="O17" s="2"/>
      <c r="P17" s="2"/>
      <c r="Q17" s="2"/>
      <c r="R17" s="2"/>
      <c r="S17" s="9" t="str">
        <f t="shared" si="1"/>
        <v/>
      </c>
      <c r="T17" s="2"/>
      <c r="U17" s="2"/>
      <c r="V17" s="2"/>
    </row>
    <row r="18" spans="1:22" ht="42" customHeight="1" x14ac:dyDescent="0.2">
      <c r="A18" s="14">
        <v>154</v>
      </c>
      <c r="B18" s="2">
        <v>1</v>
      </c>
      <c r="C18" s="2" t="s">
        <v>299</v>
      </c>
      <c r="D18" s="2" t="s">
        <v>106</v>
      </c>
      <c r="E18" s="2">
        <v>20170314</v>
      </c>
      <c r="F18" s="2">
        <v>20170316</v>
      </c>
      <c r="G18" s="2" t="s">
        <v>14</v>
      </c>
      <c r="H18" s="2" t="s">
        <v>2134</v>
      </c>
      <c r="I18" s="7" t="s">
        <v>2135</v>
      </c>
      <c r="J18" s="7" t="s">
        <v>2136</v>
      </c>
      <c r="K18" s="16" t="s">
        <v>5581</v>
      </c>
      <c r="L18" s="2" t="s">
        <v>5564</v>
      </c>
      <c r="M18" s="2" t="s">
        <v>5565</v>
      </c>
      <c r="N18" s="9">
        <f t="shared" si="0"/>
        <v>0</v>
      </c>
      <c r="O18" s="2"/>
      <c r="P18" s="2"/>
      <c r="Q18" s="2"/>
      <c r="R18" s="2"/>
      <c r="S18" s="9" t="str">
        <f t="shared" si="1"/>
        <v/>
      </c>
      <c r="T18" s="2"/>
      <c r="U18" s="2"/>
      <c r="V18" s="2"/>
    </row>
    <row r="19" spans="1:22" ht="42" customHeight="1" x14ac:dyDescent="0.2">
      <c r="A19" s="14">
        <v>170</v>
      </c>
      <c r="B19" s="2">
        <v>2</v>
      </c>
      <c r="C19" s="2" t="s">
        <v>322</v>
      </c>
      <c r="D19" s="2" t="s">
        <v>13</v>
      </c>
      <c r="E19" s="2">
        <v>20180301</v>
      </c>
      <c r="F19" s="2">
        <v>20180303</v>
      </c>
      <c r="G19" s="2" t="s">
        <v>95</v>
      </c>
      <c r="H19" s="2" t="s">
        <v>2417</v>
      </c>
      <c r="I19" s="7" t="s">
        <v>2418</v>
      </c>
      <c r="J19" s="7" t="s">
        <v>2419</v>
      </c>
      <c r="K19" s="16" t="s">
        <v>5582</v>
      </c>
      <c r="L19" s="2" t="s">
        <v>5572</v>
      </c>
      <c r="M19" s="2"/>
      <c r="N19" s="9" t="str">
        <f t="shared" si="0"/>
        <v/>
      </c>
      <c r="O19" s="2"/>
      <c r="P19" s="2"/>
      <c r="Q19" s="2"/>
      <c r="R19" s="2"/>
      <c r="S19" s="9" t="str">
        <f t="shared" si="1"/>
        <v/>
      </c>
      <c r="T19" s="2"/>
      <c r="U19" s="2"/>
      <c r="V19" s="2"/>
    </row>
    <row r="20" spans="1:22" ht="42" customHeight="1" x14ac:dyDescent="0.2">
      <c r="A20" s="14">
        <v>181</v>
      </c>
      <c r="B20" s="2">
        <v>8</v>
      </c>
      <c r="C20" s="2" t="s">
        <v>332</v>
      </c>
      <c r="D20" s="2" t="s">
        <v>39</v>
      </c>
      <c r="E20" s="2">
        <v>20180913</v>
      </c>
      <c r="F20" s="2">
        <v>20180916</v>
      </c>
      <c r="G20" s="2" t="s">
        <v>333</v>
      </c>
      <c r="H20" s="2" t="s">
        <v>2513</v>
      </c>
      <c r="I20" s="7" t="s">
        <v>2514</v>
      </c>
      <c r="J20" s="7" t="s">
        <v>2515</v>
      </c>
      <c r="K20" s="16" t="s">
        <v>5583</v>
      </c>
      <c r="L20" s="2" t="s">
        <v>5564</v>
      </c>
      <c r="M20" s="2" t="s">
        <v>5565</v>
      </c>
      <c r="N20" s="9">
        <f t="shared" si="0"/>
        <v>0</v>
      </c>
      <c r="O20" s="2"/>
      <c r="P20" s="2"/>
      <c r="Q20" s="2"/>
      <c r="R20" s="2"/>
      <c r="S20" s="9" t="str">
        <f t="shared" si="1"/>
        <v/>
      </c>
      <c r="T20" s="2"/>
      <c r="U20" s="2"/>
      <c r="V20" s="2"/>
    </row>
    <row r="21" spans="1:22" ht="42" customHeight="1" x14ac:dyDescent="0.2">
      <c r="A21" s="14">
        <v>194</v>
      </c>
      <c r="B21" s="2">
        <v>12</v>
      </c>
      <c r="C21" s="2" t="s">
        <v>350</v>
      </c>
      <c r="D21" s="2" t="s">
        <v>25</v>
      </c>
      <c r="E21" s="2">
        <v>20190315</v>
      </c>
      <c r="F21" s="2">
        <v>20190731</v>
      </c>
      <c r="G21" s="2" t="s">
        <v>351</v>
      </c>
      <c r="H21" s="2" t="s">
        <v>2748</v>
      </c>
      <c r="I21" s="7" t="s">
        <v>2749</v>
      </c>
      <c r="J21" s="7" t="s">
        <v>2750</v>
      </c>
      <c r="K21" s="16" t="s">
        <v>5584</v>
      </c>
      <c r="L21" s="2" t="s">
        <v>5564</v>
      </c>
      <c r="M21" s="2" t="s">
        <v>5565</v>
      </c>
      <c r="N21" s="9">
        <f t="shared" si="0"/>
        <v>0</v>
      </c>
      <c r="O21" s="2"/>
      <c r="P21" s="2"/>
      <c r="Q21" s="2"/>
      <c r="R21" s="2"/>
      <c r="S21" s="9" t="str">
        <f t="shared" si="1"/>
        <v/>
      </c>
      <c r="T21" s="2"/>
      <c r="U21" s="2"/>
      <c r="V21" s="2"/>
    </row>
    <row r="22" spans="1:22" ht="42" customHeight="1" x14ac:dyDescent="0.2">
      <c r="A22" s="2">
        <v>197</v>
      </c>
      <c r="B22" s="2">
        <v>5</v>
      </c>
      <c r="C22" s="2" t="s">
        <v>354</v>
      </c>
      <c r="D22" s="2" t="s">
        <v>17</v>
      </c>
      <c r="E22" s="2">
        <v>20191020</v>
      </c>
      <c r="F22" s="2">
        <v>20191020</v>
      </c>
      <c r="G22" s="2" t="s">
        <v>102</v>
      </c>
      <c r="H22" s="2" t="s">
        <v>2889</v>
      </c>
      <c r="I22" s="7" t="s">
        <v>2890</v>
      </c>
      <c r="J22" s="7" t="s">
        <v>2891</v>
      </c>
      <c r="K22" s="6"/>
      <c r="L22" s="2"/>
      <c r="M22" s="2"/>
      <c r="N22" s="9" t="str">
        <f t="shared" si="0"/>
        <v/>
      </c>
      <c r="O22" s="2"/>
      <c r="P22" s="2"/>
      <c r="Q22" s="2"/>
      <c r="R22" s="2"/>
      <c r="S22" s="9" t="str">
        <f t="shared" si="1"/>
        <v/>
      </c>
      <c r="T22" s="2"/>
      <c r="U22" s="2"/>
      <c r="V22" s="2"/>
    </row>
    <row r="23" spans="1:22" ht="27.75" customHeight="1" x14ac:dyDescent="0.2">
      <c r="A23" s="2">
        <v>198</v>
      </c>
      <c r="B23" s="2">
        <v>3</v>
      </c>
      <c r="C23" s="2" t="s">
        <v>355</v>
      </c>
      <c r="D23" s="2" t="s">
        <v>21</v>
      </c>
      <c r="E23" s="2">
        <v>20190601</v>
      </c>
      <c r="F23" s="2">
        <v>20191130</v>
      </c>
      <c r="G23" s="2" t="s">
        <v>356</v>
      </c>
      <c r="H23" s="2" t="s">
        <v>2904</v>
      </c>
      <c r="I23" s="7" t="s">
        <v>2905</v>
      </c>
      <c r="J23" s="7" t="s">
        <v>2906</v>
      </c>
      <c r="K23" s="6"/>
      <c r="L23" s="2"/>
      <c r="M23" s="2"/>
      <c r="N23" s="9" t="str">
        <f t="shared" si="0"/>
        <v/>
      </c>
      <c r="O23" s="2"/>
      <c r="P23" s="2"/>
      <c r="Q23" s="2"/>
      <c r="R23" s="2"/>
      <c r="S23" s="9" t="str">
        <f t="shared" si="1"/>
        <v/>
      </c>
      <c r="T23" s="2"/>
      <c r="U23" s="2"/>
      <c r="V23" s="2"/>
    </row>
    <row r="24" spans="1:22" ht="42" customHeight="1" x14ac:dyDescent="0.2">
      <c r="A24" s="2">
        <v>204</v>
      </c>
      <c r="B24" s="2">
        <v>4</v>
      </c>
      <c r="C24" s="2" t="s">
        <v>364</v>
      </c>
      <c r="D24" s="2" t="s">
        <v>17</v>
      </c>
      <c r="E24" s="2">
        <v>20200412</v>
      </c>
      <c r="F24" s="2">
        <v>20200413</v>
      </c>
      <c r="G24" s="2" t="s">
        <v>268</v>
      </c>
      <c r="H24" s="2" t="s">
        <v>2964</v>
      </c>
      <c r="I24" s="7" t="s">
        <v>2965</v>
      </c>
      <c r="J24" s="7" t="s">
        <v>2966</v>
      </c>
      <c r="K24" s="6"/>
      <c r="L24" s="2"/>
      <c r="M24" s="2"/>
      <c r="N24" s="9" t="str">
        <f t="shared" si="0"/>
        <v/>
      </c>
      <c r="O24" s="2"/>
      <c r="P24" s="2"/>
      <c r="Q24" s="2"/>
      <c r="R24" s="2"/>
      <c r="S24" s="9" t="str">
        <f t="shared" si="1"/>
        <v/>
      </c>
      <c r="T24" s="2"/>
      <c r="U24" s="2"/>
      <c r="V24" s="2"/>
    </row>
    <row r="25" spans="1:22" ht="42" customHeight="1" x14ac:dyDescent="0.2">
      <c r="A25" s="2">
        <v>204</v>
      </c>
      <c r="B25" s="2">
        <v>7</v>
      </c>
      <c r="C25" s="2" t="s">
        <v>364</v>
      </c>
      <c r="D25" s="2" t="s">
        <v>17</v>
      </c>
      <c r="E25" s="2">
        <v>20200412</v>
      </c>
      <c r="F25" s="2">
        <v>20200413</v>
      </c>
      <c r="G25" s="2" t="s">
        <v>268</v>
      </c>
      <c r="H25" s="2" t="s">
        <v>2973</v>
      </c>
      <c r="I25" s="7" t="s">
        <v>2974</v>
      </c>
      <c r="J25" s="7" t="s">
        <v>2975</v>
      </c>
      <c r="K25" s="6"/>
      <c r="L25" s="2"/>
      <c r="M25" s="2"/>
      <c r="N25" s="9" t="str">
        <f t="shared" si="0"/>
        <v/>
      </c>
      <c r="O25" s="2"/>
      <c r="P25" s="2"/>
      <c r="Q25" s="2"/>
      <c r="R25" s="2"/>
      <c r="S25" s="9" t="str">
        <f t="shared" si="1"/>
        <v/>
      </c>
      <c r="T25" s="2"/>
      <c r="U25" s="2"/>
      <c r="V25" s="2"/>
    </row>
    <row r="26" spans="1:22" ht="42" customHeight="1" x14ac:dyDescent="0.2">
      <c r="A26" s="2">
        <v>212</v>
      </c>
      <c r="B26" s="2">
        <v>1</v>
      </c>
      <c r="C26" s="2" t="s">
        <v>372</v>
      </c>
      <c r="D26" s="2" t="s">
        <v>39</v>
      </c>
      <c r="E26" s="2">
        <v>20200803</v>
      </c>
      <c r="F26" s="2">
        <v>20200804</v>
      </c>
      <c r="G26" s="2" t="s">
        <v>373</v>
      </c>
      <c r="H26" s="2" t="s">
        <v>3036</v>
      </c>
      <c r="I26" s="7" t="s">
        <v>3037</v>
      </c>
      <c r="J26" s="7" t="s">
        <v>3038</v>
      </c>
      <c r="K26" s="6"/>
      <c r="L26" s="2"/>
      <c r="M26" s="2"/>
      <c r="N26" s="9" t="str">
        <f t="shared" si="0"/>
        <v/>
      </c>
      <c r="O26" s="2"/>
      <c r="P26" s="2"/>
      <c r="Q26" s="2"/>
      <c r="R26" s="2"/>
      <c r="S26" s="9" t="str">
        <f t="shared" si="1"/>
        <v/>
      </c>
      <c r="T26" s="2"/>
      <c r="U26" s="2"/>
      <c r="V26" s="2"/>
    </row>
    <row r="27" spans="1:22" ht="42" customHeight="1" x14ac:dyDescent="0.2">
      <c r="A27" s="2">
        <v>212</v>
      </c>
      <c r="B27" s="2">
        <v>10</v>
      </c>
      <c r="C27" s="2" t="s">
        <v>372</v>
      </c>
      <c r="D27" s="2" t="s">
        <v>39</v>
      </c>
      <c r="E27" s="2">
        <v>20200803</v>
      </c>
      <c r="F27" s="2">
        <v>20200804</v>
      </c>
      <c r="G27" s="2" t="s">
        <v>373</v>
      </c>
      <c r="H27" s="2" t="s">
        <v>3063</v>
      </c>
      <c r="I27" s="7" t="s">
        <v>3064</v>
      </c>
      <c r="J27" s="7" t="s">
        <v>3065</v>
      </c>
      <c r="K27" s="6"/>
      <c r="L27" s="2"/>
      <c r="M27" s="2"/>
      <c r="N27" s="9" t="str">
        <f t="shared" si="0"/>
        <v/>
      </c>
      <c r="O27" s="2"/>
      <c r="P27" s="2"/>
      <c r="Q27" s="2"/>
      <c r="R27" s="2"/>
      <c r="S27" s="9" t="str">
        <f t="shared" si="1"/>
        <v/>
      </c>
      <c r="T27" s="2"/>
      <c r="U27" s="2"/>
      <c r="V27" s="2"/>
    </row>
    <row r="28" spans="1:22" ht="42" customHeight="1" x14ac:dyDescent="0.2">
      <c r="A28" s="2">
        <v>215</v>
      </c>
      <c r="B28" s="2">
        <v>17</v>
      </c>
      <c r="C28" s="2" t="s">
        <v>376</v>
      </c>
      <c r="D28" s="2" t="s">
        <v>39</v>
      </c>
      <c r="E28" s="2">
        <v>20200915</v>
      </c>
      <c r="F28" s="2">
        <v>20200917</v>
      </c>
      <c r="G28" s="2" t="s">
        <v>377</v>
      </c>
      <c r="H28" s="2" t="s">
        <v>3215</v>
      </c>
      <c r="I28" s="7" t="s">
        <v>3216</v>
      </c>
      <c r="J28" s="7" t="s">
        <v>3217</v>
      </c>
      <c r="K28" s="6"/>
      <c r="L28" s="2"/>
      <c r="M28" s="2"/>
      <c r="N28" s="9" t="str">
        <f t="shared" si="0"/>
        <v/>
      </c>
      <c r="O28" s="2"/>
      <c r="P28" s="2"/>
      <c r="Q28" s="2"/>
      <c r="R28" s="2"/>
      <c r="S28" s="9" t="str">
        <f t="shared" si="1"/>
        <v/>
      </c>
      <c r="T28" s="2"/>
      <c r="U28" s="2"/>
      <c r="V28" s="2"/>
    </row>
    <row r="29" spans="1:22" ht="42" customHeight="1" x14ac:dyDescent="0.2">
      <c r="A29" s="2">
        <v>216</v>
      </c>
      <c r="B29" s="2">
        <v>9</v>
      </c>
      <c r="C29" s="2" t="s">
        <v>378</v>
      </c>
      <c r="D29" s="2" t="s">
        <v>39</v>
      </c>
      <c r="E29" s="2">
        <v>20201009</v>
      </c>
      <c r="F29" s="2">
        <v>20201011</v>
      </c>
      <c r="G29" s="2" t="s">
        <v>46</v>
      </c>
      <c r="H29" s="2" t="s">
        <v>3257</v>
      </c>
      <c r="I29" s="7" t="s">
        <v>3258</v>
      </c>
      <c r="J29" s="7" t="s">
        <v>3259</v>
      </c>
      <c r="K29" s="16" t="s">
        <v>5586</v>
      </c>
      <c r="L29" s="2" t="s">
        <v>5572</v>
      </c>
      <c r="M29" s="2"/>
      <c r="N29" s="9" t="str">
        <f t="shared" si="0"/>
        <v/>
      </c>
      <c r="O29" s="2"/>
      <c r="P29" s="2"/>
      <c r="Q29" s="2"/>
      <c r="R29" s="2"/>
      <c r="S29" s="9" t="str">
        <f t="shared" si="1"/>
        <v/>
      </c>
      <c r="T29" s="2"/>
      <c r="U29" s="2"/>
      <c r="V29" s="2"/>
    </row>
    <row r="30" spans="1:22" ht="42" customHeight="1" x14ac:dyDescent="0.2">
      <c r="A30" s="2">
        <v>220</v>
      </c>
      <c r="B30" s="2">
        <v>11</v>
      </c>
      <c r="C30" s="2" t="s">
        <v>384</v>
      </c>
      <c r="D30" s="2" t="s">
        <v>29</v>
      </c>
      <c r="E30" s="2">
        <v>20200601</v>
      </c>
      <c r="F30" s="2">
        <v>20201230</v>
      </c>
      <c r="G30" s="2" t="s">
        <v>69</v>
      </c>
      <c r="H30" s="2" t="s">
        <v>3497</v>
      </c>
      <c r="I30" s="7" t="s">
        <v>3498</v>
      </c>
      <c r="J30" s="7" t="s">
        <v>3499</v>
      </c>
      <c r="K30" s="6"/>
      <c r="L30" s="2"/>
      <c r="M30" s="2"/>
      <c r="N30" s="9" t="str">
        <f t="shared" si="0"/>
        <v/>
      </c>
      <c r="O30" s="2"/>
      <c r="P30" s="2"/>
      <c r="Q30" s="2"/>
      <c r="R30" s="2"/>
      <c r="S30" s="9" t="str">
        <f t="shared" si="1"/>
        <v/>
      </c>
      <c r="T30" s="2"/>
      <c r="U30" s="2"/>
      <c r="V30" s="2"/>
    </row>
    <row r="31" spans="1:22" ht="42" customHeight="1" x14ac:dyDescent="0.2">
      <c r="A31" s="2">
        <v>220</v>
      </c>
      <c r="B31" s="2">
        <v>12</v>
      </c>
      <c r="C31" s="2" t="s">
        <v>384</v>
      </c>
      <c r="D31" s="2" t="s">
        <v>29</v>
      </c>
      <c r="E31" s="2">
        <v>20200601</v>
      </c>
      <c r="F31" s="2">
        <v>20201230</v>
      </c>
      <c r="G31" s="2" t="s">
        <v>69</v>
      </c>
      <c r="H31" s="2" t="s">
        <v>3500</v>
      </c>
      <c r="I31" s="7" t="s">
        <v>3501</v>
      </c>
      <c r="J31" s="7" t="s">
        <v>3502</v>
      </c>
      <c r="K31" s="16" t="s">
        <v>5587</v>
      </c>
      <c r="L31" s="2"/>
      <c r="M31" s="2"/>
      <c r="N31" s="9" t="str">
        <f t="shared" si="0"/>
        <v/>
      </c>
      <c r="O31" s="2"/>
      <c r="P31" s="2"/>
      <c r="Q31" s="2"/>
      <c r="R31" s="2"/>
      <c r="S31" s="9" t="str">
        <f t="shared" si="1"/>
        <v/>
      </c>
      <c r="T31" s="2"/>
      <c r="U31" s="2"/>
      <c r="V31" s="2"/>
    </row>
    <row r="32" spans="1:22" ht="42" customHeight="1" x14ac:dyDescent="0.2">
      <c r="A32" s="2">
        <v>221</v>
      </c>
      <c r="B32" s="2">
        <v>1</v>
      </c>
      <c r="C32" s="2" t="s">
        <v>385</v>
      </c>
      <c r="D32" s="2" t="s">
        <v>25</v>
      </c>
      <c r="E32" s="2">
        <v>20210124</v>
      </c>
      <c r="F32" s="2">
        <v>20210129</v>
      </c>
      <c r="G32" s="2" t="s">
        <v>66</v>
      </c>
      <c r="H32" s="2" t="s">
        <v>3521</v>
      </c>
      <c r="I32" s="7" t="s">
        <v>3522</v>
      </c>
      <c r="J32" s="7" t="s">
        <v>3523</v>
      </c>
      <c r="K32" s="16" t="s">
        <v>5588</v>
      </c>
      <c r="L32" s="2"/>
      <c r="M32" s="2"/>
      <c r="N32" s="9" t="str">
        <f t="shared" si="0"/>
        <v/>
      </c>
      <c r="O32" s="2"/>
      <c r="P32" s="2"/>
      <c r="Q32" s="2"/>
      <c r="R32" s="2"/>
      <c r="S32" s="9" t="str">
        <f t="shared" si="1"/>
        <v/>
      </c>
      <c r="T32" s="2"/>
      <c r="U32" s="2"/>
      <c r="V32" s="2"/>
    </row>
    <row r="33" spans="1:22" ht="42" customHeight="1" x14ac:dyDescent="0.2">
      <c r="A33" s="2">
        <v>222</v>
      </c>
      <c r="B33" s="2">
        <v>7</v>
      </c>
      <c r="C33" s="2" t="s">
        <v>386</v>
      </c>
      <c r="D33" s="2" t="s">
        <v>13</v>
      </c>
      <c r="E33" s="2">
        <v>20210210</v>
      </c>
      <c r="F33" s="2">
        <v>20210219</v>
      </c>
      <c r="G33" s="2" t="s">
        <v>387</v>
      </c>
      <c r="H33" s="2" t="s">
        <v>3542</v>
      </c>
      <c r="I33" s="7" t="s">
        <v>3543</v>
      </c>
      <c r="J33" s="7" t="s">
        <v>3544</v>
      </c>
      <c r="K33" s="16" t="s">
        <v>5589</v>
      </c>
      <c r="L33" s="2"/>
      <c r="M33" s="2"/>
      <c r="N33" s="9" t="str">
        <f t="shared" si="0"/>
        <v/>
      </c>
      <c r="O33" s="2"/>
      <c r="P33" s="2"/>
      <c r="Q33" s="2"/>
      <c r="R33" s="2"/>
      <c r="S33" s="9" t="str">
        <f t="shared" si="1"/>
        <v/>
      </c>
      <c r="T33" s="2"/>
      <c r="U33" s="2"/>
      <c r="V33" s="2"/>
    </row>
    <row r="34" spans="1:22" ht="42" customHeight="1" x14ac:dyDescent="0.2">
      <c r="A34" s="2">
        <v>227</v>
      </c>
      <c r="B34" s="2">
        <v>1</v>
      </c>
      <c r="C34" s="2" t="s">
        <v>393</v>
      </c>
      <c r="D34" s="2" t="s">
        <v>17</v>
      </c>
      <c r="E34" s="2">
        <v>20210502</v>
      </c>
      <c r="F34" s="2">
        <v>20210504</v>
      </c>
      <c r="G34" s="2" t="s">
        <v>134</v>
      </c>
      <c r="H34" s="2" t="s">
        <v>3607</v>
      </c>
      <c r="I34" s="7" t="s">
        <v>3608</v>
      </c>
      <c r="J34" s="7" t="s">
        <v>3609</v>
      </c>
      <c r="K34" s="16" t="s">
        <v>5590</v>
      </c>
      <c r="L34" s="2"/>
      <c r="M34" s="2"/>
      <c r="N34" s="9" t="str">
        <f t="shared" ref="N34:N65" si="2">IF(M34="","",IF(M34="A",1,IF(M34="B",0.5,IF(M34="C",0,IF(M34="D",-1,IF(M34="E",0,""))))))</f>
        <v/>
      </c>
      <c r="O34" s="2"/>
      <c r="P34" s="2"/>
      <c r="Q34" s="2"/>
      <c r="R34" s="2"/>
      <c r="S34" s="9" t="str">
        <f t="shared" ref="S34:S65" si="3">IF(R34="","",IF(R34="A",1,IF(R34="B",0.5,IF(R34="C",0,IF(R34="D",-1,IF(R34="E",0,""))))))</f>
        <v/>
      </c>
      <c r="T34" s="2"/>
      <c r="U34" s="2"/>
      <c r="V34" s="2"/>
    </row>
    <row r="35" spans="1:22" ht="42" customHeight="1" x14ac:dyDescent="0.2">
      <c r="A35" s="2">
        <v>239</v>
      </c>
      <c r="B35" s="2">
        <v>16</v>
      </c>
      <c r="C35" s="2" t="s">
        <v>408</v>
      </c>
      <c r="D35" s="2" t="s">
        <v>21</v>
      </c>
      <c r="E35" s="2">
        <v>20210601</v>
      </c>
      <c r="F35" s="2">
        <v>20211231</v>
      </c>
      <c r="G35" s="2" t="s">
        <v>22</v>
      </c>
      <c r="H35" s="2" t="s">
        <v>3931</v>
      </c>
      <c r="I35" s="7" t="s">
        <v>3932</v>
      </c>
      <c r="J35" s="7" t="s">
        <v>3933</v>
      </c>
      <c r="K35" s="6"/>
      <c r="L35" s="2"/>
      <c r="M35" s="2"/>
      <c r="N35" s="9" t="str">
        <f t="shared" si="2"/>
        <v/>
      </c>
      <c r="O35" s="2"/>
      <c r="P35" s="2"/>
      <c r="Q35" s="2"/>
      <c r="R35" s="2"/>
      <c r="S35" s="9" t="str">
        <f t="shared" si="3"/>
        <v/>
      </c>
      <c r="T35" s="2"/>
      <c r="U35" s="2"/>
      <c r="V35" s="2"/>
    </row>
    <row r="36" spans="1:22" ht="42" customHeight="1" x14ac:dyDescent="0.2">
      <c r="A36" s="2">
        <v>242</v>
      </c>
      <c r="B36" s="2">
        <v>4</v>
      </c>
      <c r="C36" s="2" t="s">
        <v>411</v>
      </c>
      <c r="D36" s="2" t="s">
        <v>17</v>
      </c>
      <c r="E36" s="2">
        <v>20220330</v>
      </c>
      <c r="F36" s="2">
        <v>20220330</v>
      </c>
      <c r="G36" s="2" t="s">
        <v>18</v>
      </c>
      <c r="H36" s="2" t="s">
        <v>4056</v>
      </c>
      <c r="I36" s="7" t="s">
        <v>4057</v>
      </c>
      <c r="J36" s="7" t="s">
        <v>4058</v>
      </c>
      <c r="K36" s="16" t="s">
        <v>5591</v>
      </c>
      <c r="L36" s="2"/>
      <c r="M36" s="2"/>
      <c r="N36" s="9" t="str">
        <f t="shared" si="2"/>
        <v/>
      </c>
      <c r="O36" s="2"/>
      <c r="P36" s="2"/>
      <c r="Q36" s="2"/>
      <c r="R36" s="2"/>
      <c r="S36" s="9" t="str">
        <f t="shared" si="3"/>
        <v/>
      </c>
      <c r="T36" s="2"/>
      <c r="U36" s="2"/>
      <c r="V36" s="2"/>
    </row>
    <row r="37" spans="1:22" ht="42" customHeight="1" x14ac:dyDescent="0.2">
      <c r="A37" s="2">
        <v>252</v>
      </c>
      <c r="B37" s="2">
        <v>3</v>
      </c>
      <c r="C37" s="2" t="s">
        <v>422</v>
      </c>
      <c r="D37" s="2" t="s">
        <v>25</v>
      </c>
      <c r="E37" s="2">
        <v>20220726</v>
      </c>
      <c r="F37" s="2">
        <v>20220728</v>
      </c>
      <c r="G37" s="2" t="s">
        <v>423</v>
      </c>
      <c r="H37" s="2" t="s">
        <v>4140</v>
      </c>
      <c r="I37" s="7" t="s">
        <v>4141</v>
      </c>
      <c r="J37" s="7" t="s">
        <v>4142</v>
      </c>
      <c r="K37" s="16" t="s">
        <v>5592</v>
      </c>
      <c r="L37" s="2"/>
      <c r="M37" s="2"/>
      <c r="N37" s="9" t="str">
        <f t="shared" si="2"/>
        <v/>
      </c>
      <c r="O37" s="2"/>
      <c r="P37" s="2"/>
      <c r="Q37" s="2"/>
      <c r="R37" s="2"/>
      <c r="S37" s="9" t="str">
        <f t="shared" si="3"/>
        <v/>
      </c>
      <c r="T37" s="2"/>
      <c r="U37" s="2"/>
      <c r="V37" s="2"/>
    </row>
    <row r="38" spans="1:22" ht="42" customHeight="1" x14ac:dyDescent="0.2">
      <c r="A38" s="2">
        <v>253</v>
      </c>
      <c r="B38" s="2">
        <v>1</v>
      </c>
      <c r="C38" s="2" t="s">
        <v>425</v>
      </c>
      <c r="D38" s="2" t="s">
        <v>39</v>
      </c>
      <c r="E38" s="2">
        <v>20220917</v>
      </c>
      <c r="F38" s="2">
        <v>20220918</v>
      </c>
      <c r="G38" s="2" t="s">
        <v>316</v>
      </c>
      <c r="H38" s="2" t="s">
        <v>4161</v>
      </c>
      <c r="I38" s="7" t="s">
        <v>4162</v>
      </c>
      <c r="J38" s="7" t="s">
        <v>4163</v>
      </c>
      <c r="K38" s="16" t="s">
        <v>5593</v>
      </c>
      <c r="L38" s="2"/>
      <c r="M38" s="2"/>
      <c r="N38" s="9" t="str">
        <f t="shared" si="2"/>
        <v/>
      </c>
      <c r="O38" s="2"/>
      <c r="P38" s="2"/>
      <c r="Q38" s="2"/>
      <c r="R38" s="2"/>
      <c r="S38" s="9" t="str">
        <f t="shared" si="3"/>
        <v/>
      </c>
      <c r="T38" s="2"/>
      <c r="U38" s="2"/>
      <c r="V38" s="2"/>
    </row>
    <row r="39" spans="1:22" ht="42" customHeight="1" x14ac:dyDescent="0.2">
      <c r="A39" s="2">
        <v>254</v>
      </c>
      <c r="B39" s="2">
        <v>3</v>
      </c>
      <c r="C39" s="2" t="s">
        <v>426</v>
      </c>
      <c r="D39" s="2" t="s">
        <v>39</v>
      </c>
      <c r="E39" s="2">
        <v>20220928</v>
      </c>
      <c r="F39" s="2">
        <v>20220930</v>
      </c>
      <c r="G39" s="2" t="s">
        <v>427</v>
      </c>
      <c r="H39" s="2" t="s">
        <v>4185</v>
      </c>
      <c r="I39" s="7" t="s">
        <v>4186</v>
      </c>
      <c r="J39" s="7" t="s">
        <v>4187</v>
      </c>
      <c r="K39" s="16" t="s">
        <v>5594</v>
      </c>
      <c r="L39" s="2"/>
      <c r="M39" s="2"/>
      <c r="N39" s="9" t="str">
        <f t="shared" si="2"/>
        <v/>
      </c>
      <c r="O39" s="2"/>
      <c r="P39" s="2"/>
      <c r="Q39" s="2"/>
      <c r="R39" s="2"/>
      <c r="S39" s="9" t="str">
        <f t="shared" si="3"/>
        <v/>
      </c>
      <c r="T39" s="2"/>
      <c r="U39" s="2"/>
      <c r="V39" s="2"/>
    </row>
    <row r="40" spans="1:22" ht="42" customHeight="1" x14ac:dyDescent="0.2">
      <c r="A40" s="2">
        <v>255</v>
      </c>
      <c r="B40" s="2">
        <v>8</v>
      </c>
      <c r="C40" s="2" t="s">
        <v>428</v>
      </c>
      <c r="D40" s="2" t="s">
        <v>39</v>
      </c>
      <c r="E40" s="2">
        <v>20221110</v>
      </c>
      <c r="F40" s="2">
        <v>20221111</v>
      </c>
      <c r="G40" s="2" t="s">
        <v>26</v>
      </c>
      <c r="H40" s="2" t="s">
        <v>4278</v>
      </c>
      <c r="I40" s="7" t="s">
        <v>4279</v>
      </c>
      <c r="J40" s="7" t="s">
        <v>4280</v>
      </c>
      <c r="K40" s="16" t="s">
        <v>5595</v>
      </c>
      <c r="L40" s="2"/>
      <c r="M40" s="2"/>
      <c r="N40" s="9" t="str">
        <f t="shared" si="2"/>
        <v/>
      </c>
      <c r="O40" s="2"/>
      <c r="P40" s="2"/>
      <c r="Q40" s="2"/>
      <c r="R40" s="2"/>
      <c r="S40" s="9" t="str">
        <f t="shared" si="3"/>
        <v/>
      </c>
      <c r="T40" s="2"/>
      <c r="U40" s="2"/>
      <c r="V40" s="2"/>
    </row>
    <row r="41" spans="1:22" ht="42" customHeight="1" x14ac:dyDescent="0.2">
      <c r="A41" s="2">
        <v>255</v>
      </c>
      <c r="B41" s="2">
        <v>15</v>
      </c>
      <c r="C41" s="2" t="s">
        <v>428</v>
      </c>
      <c r="D41" s="2" t="s">
        <v>39</v>
      </c>
      <c r="E41" s="2">
        <v>20221110</v>
      </c>
      <c r="F41" s="2">
        <v>20221111</v>
      </c>
      <c r="G41" s="2" t="s">
        <v>26</v>
      </c>
      <c r="H41" s="2" t="s">
        <v>4299</v>
      </c>
      <c r="I41" s="7" t="s">
        <v>4300</v>
      </c>
      <c r="J41" s="7" t="s">
        <v>4301</v>
      </c>
      <c r="K41" s="16" t="s">
        <v>5596</v>
      </c>
      <c r="L41" s="2"/>
      <c r="M41" s="2"/>
      <c r="N41" s="9" t="str">
        <f t="shared" si="2"/>
        <v/>
      </c>
      <c r="O41" s="2"/>
      <c r="P41" s="2"/>
      <c r="Q41" s="2"/>
      <c r="R41" s="2"/>
      <c r="S41" s="9" t="str">
        <f t="shared" si="3"/>
        <v/>
      </c>
      <c r="T41" s="2"/>
      <c r="U41" s="2"/>
      <c r="V41" s="2"/>
    </row>
    <row r="42" spans="1:22" ht="42" customHeight="1" x14ac:dyDescent="0.2">
      <c r="A42" s="2">
        <v>258</v>
      </c>
      <c r="B42" s="2">
        <v>3</v>
      </c>
      <c r="C42" s="2" t="s">
        <v>431</v>
      </c>
      <c r="D42" s="2" t="s">
        <v>29</v>
      </c>
      <c r="E42" s="2">
        <v>20220101</v>
      </c>
      <c r="F42" s="2">
        <v>20221231</v>
      </c>
      <c r="G42" s="2" t="s">
        <v>69</v>
      </c>
      <c r="H42" s="2" t="s">
        <v>4409</v>
      </c>
      <c r="I42" s="7" t="s">
        <v>4410</v>
      </c>
      <c r="J42" s="7" t="s">
        <v>4411</v>
      </c>
      <c r="K42" s="6"/>
      <c r="L42" s="2"/>
      <c r="M42" s="2"/>
      <c r="N42" s="9" t="str">
        <f t="shared" si="2"/>
        <v/>
      </c>
      <c r="O42" s="2"/>
      <c r="P42" s="2"/>
      <c r="Q42" s="2"/>
      <c r="R42" s="2"/>
      <c r="S42" s="9" t="str">
        <f t="shared" si="3"/>
        <v/>
      </c>
      <c r="T42" s="2"/>
      <c r="U42" s="2"/>
      <c r="V42" s="2"/>
    </row>
    <row r="43" spans="1:22" ht="42" customHeight="1" x14ac:dyDescent="0.2">
      <c r="A43" s="2">
        <v>258</v>
      </c>
      <c r="B43" s="2">
        <v>24</v>
      </c>
      <c r="C43" s="2" t="s">
        <v>431</v>
      </c>
      <c r="D43" s="2" t="s">
        <v>29</v>
      </c>
      <c r="E43" s="2">
        <v>20220101</v>
      </c>
      <c r="F43" s="2">
        <v>20221231</v>
      </c>
      <c r="G43" s="2" t="s">
        <v>69</v>
      </c>
      <c r="H43" s="2" t="s">
        <v>4467</v>
      </c>
      <c r="I43" s="7" t="s">
        <v>4468</v>
      </c>
      <c r="J43" s="7" t="s">
        <v>4469</v>
      </c>
      <c r="K43" s="6"/>
      <c r="L43" s="2"/>
      <c r="M43" s="2"/>
      <c r="N43" s="9" t="str">
        <f t="shared" si="2"/>
        <v/>
      </c>
      <c r="O43" s="2"/>
      <c r="P43" s="2"/>
      <c r="Q43" s="2"/>
      <c r="R43" s="2"/>
      <c r="S43" s="9" t="str">
        <f t="shared" si="3"/>
        <v/>
      </c>
      <c r="T43" s="2"/>
      <c r="U43" s="2"/>
      <c r="V43" s="2"/>
    </row>
    <row r="44" spans="1:22" ht="42" customHeight="1" x14ac:dyDescent="0.2">
      <c r="A44" s="2">
        <v>266</v>
      </c>
      <c r="B44" s="2">
        <v>1</v>
      </c>
      <c r="C44" s="2" t="s">
        <v>439</v>
      </c>
      <c r="D44" s="2" t="s">
        <v>17</v>
      </c>
      <c r="E44" s="2">
        <v>20230415</v>
      </c>
      <c r="F44" s="2">
        <v>20230415</v>
      </c>
      <c r="G44" s="2" t="s">
        <v>351</v>
      </c>
      <c r="H44" s="2" t="s">
        <v>4608</v>
      </c>
      <c r="I44" s="7" t="s">
        <v>4609</v>
      </c>
      <c r="J44" s="7" t="s">
        <v>4610</v>
      </c>
      <c r="K44" s="16" t="s">
        <v>5597</v>
      </c>
      <c r="L44" s="2"/>
      <c r="M44" s="2"/>
      <c r="N44" s="9" t="str">
        <f t="shared" si="2"/>
        <v/>
      </c>
      <c r="O44" s="2"/>
      <c r="P44" s="2"/>
      <c r="Q44" s="2"/>
      <c r="R44" s="2"/>
      <c r="S44" s="9" t="str">
        <f t="shared" si="3"/>
        <v/>
      </c>
      <c r="T44" s="2"/>
      <c r="U44" s="2"/>
      <c r="V44" s="2"/>
    </row>
    <row r="45" spans="1:22" ht="42" customHeight="1" x14ac:dyDescent="0.2">
      <c r="A45" s="2">
        <v>274</v>
      </c>
      <c r="B45" s="2">
        <v>3</v>
      </c>
      <c r="C45" s="2" t="s">
        <v>448</v>
      </c>
      <c r="D45" s="2" t="s">
        <v>17</v>
      </c>
      <c r="E45" s="2">
        <v>20230615</v>
      </c>
      <c r="F45" s="2">
        <v>20230618</v>
      </c>
      <c r="G45" s="2" t="s">
        <v>351</v>
      </c>
      <c r="H45" s="2" t="s">
        <v>4659</v>
      </c>
      <c r="I45" s="7" t="s">
        <v>4660</v>
      </c>
      <c r="J45" s="7" t="s">
        <v>4661</v>
      </c>
      <c r="K45" s="6"/>
      <c r="L45" s="2"/>
      <c r="M45" s="2"/>
      <c r="N45" s="9" t="str">
        <f t="shared" si="2"/>
        <v/>
      </c>
      <c r="O45" s="2"/>
      <c r="P45" s="2"/>
      <c r="Q45" s="2"/>
      <c r="R45" s="2"/>
      <c r="S45" s="9" t="str">
        <f t="shared" si="3"/>
        <v/>
      </c>
      <c r="T45" s="2"/>
      <c r="U45" s="2"/>
      <c r="V45" s="2"/>
    </row>
    <row r="46" spans="1:22" ht="42" customHeight="1" x14ac:dyDescent="0.2">
      <c r="A46" s="2">
        <v>283</v>
      </c>
      <c r="B46" s="2">
        <v>6</v>
      </c>
      <c r="C46" s="2" t="s">
        <v>459</v>
      </c>
      <c r="D46" s="2" t="s">
        <v>39</v>
      </c>
      <c r="E46" s="2">
        <v>20230829</v>
      </c>
      <c r="F46" s="2">
        <v>20230831</v>
      </c>
      <c r="G46" s="2" t="s">
        <v>78</v>
      </c>
      <c r="H46" s="2" t="s">
        <v>4761</v>
      </c>
      <c r="I46" s="7" t="s">
        <v>4762</v>
      </c>
      <c r="J46" s="7" t="s">
        <v>4763</v>
      </c>
      <c r="K46" s="6"/>
      <c r="L46" s="2"/>
      <c r="M46" s="2"/>
      <c r="N46" s="9" t="str">
        <f t="shared" si="2"/>
        <v/>
      </c>
      <c r="O46" s="2"/>
      <c r="P46" s="2"/>
      <c r="Q46" s="2"/>
      <c r="R46" s="2"/>
      <c r="S46" s="9" t="str">
        <f t="shared" si="3"/>
        <v/>
      </c>
      <c r="T46" s="2"/>
      <c r="U46" s="2"/>
      <c r="V46" s="2"/>
    </row>
    <row r="47" spans="1:22" ht="42" customHeight="1" x14ac:dyDescent="0.2">
      <c r="A47" s="2">
        <v>286</v>
      </c>
      <c r="B47" s="2">
        <v>6</v>
      </c>
      <c r="C47" s="2" t="s">
        <v>462</v>
      </c>
      <c r="D47" s="2" t="s">
        <v>25</v>
      </c>
      <c r="E47" s="2">
        <v>20231216</v>
      </c>
      <c r="F47" s="2">
        <v>20231218</v>
      </c>
      <c r="G47" s="2" t="s">
        <v>51</v>
      </c>
      <c r="H47" s="2" t="s">
        <v>4899</v>
      </c>
      <c r="I47" s="7" t="s">
        <v>4900</v>
      </c>
      <c r="J47" s="7" t="s">
        <v>4901</v>
      </c>
      <c r="K47" s="16" t="s">
        <v>5598</v>
      </c>
      <c r="L47" s="2"/>
      <c r="M47" s="2"/>
      <c r="N47" s="9" t="str">
        <f t="shared" si="2"/>
        <v/>
      </c>
      <c r="O47" s="2"/>
      <c r="P47" s="2"/>
      <c r="Q47" s="2"/>
      <c r="R47" s="2"/>
      <c r="S47" s="9" t="str">
        <f t="shared" si="3"/>
        <v/>
      </c>
      <c r="T47" s="2"/>
      <c r="U47" s="2"/>
      <c r="V47" s="2"/>
    </row>
    <row r="48" spans="1:22" ht="42" customHeight="1" x14ac:dyDescent="0.2">
      <c r="A48" s="2">
        <v>288</v>
      </c>
      <c r="B48" s="2">
        <v>1</v>
      </c>
      <c r="C48" s="2" t="s">
        <v>464</v>
      </c>
      <c r="D48" s="2" t="s">
        <v>13</v>
      </c>
      <c r="E48" s="2">
        <v>20240112</v>
      </c>
      <c r="F48" s="2">
        <v>20240114</v>
      </c>
      <c r="G48" s="2" t="s">
        <v>465</v>
      </c>
      <c r="H48" s="2" t="s">
        <v>4935</v>
      </c>
      <c r="I48" s="7" t="s">
        <v>4936</v>
      </c>
      <c r="J48" s="7" t="s">
        <v>4937</v>
      </c>
      <c r="K48" s="6"/>
      <c r="L48" s="2"/>
      <c r="M48" s="2"/>
      <c r="N48" s="9" t="str">
        <f t="shared" si="2"/>
        <v/>
      </c>
      <c r="O48" s="2"/>
      <c r="P48" s="2"/>
      <c r="Q48" s="2"/>
      <c r="R48" s="2"/>
      <c r="S48" s="9" t="str">
        <f t="shared" si="3"/>
        <v/>
      </c>
      <c r="T48" s="2"/>
      <c r="U48" s="2"/>
      <c r="V48" s="2"/>
    </row>
    <row r="49" spans="1:22" ht="42" customHeight="1" x14ac:dyDescent="0.2">
      <c r="A49" s="2">
        <v>293</v>
      </c>
      <c r="B49" s="2">
        <v>4</v>
      </c>
      <c r="C49" s="2" t="s">
        <v>471</v>
      </c>
      <c r="D49" s="2" t="s">
        <v>17</v>
      </c>
      <c r="E49" s="2">
        <v>20240401</v>
      </c>
      <c r="F49" s="2">
        <v>20240403</v>
      </c>
      <c r="G49" s="2" t="s">
        <v>250</v>
      </c>
      <c r="H49" s="2" t="s">
        <v>4980</v>
      </c>
      <c r="I49" s="7" t="s">
        <v>4981</v>
      </c>
      <c r="J49" s="7" t="s">
        <v>4982</v>
      </c>
      <c r="K49" s="6"/>
      <c r="L49" s="2"/>
      <c r="M49" s="2"/>
      <c r="N49" s="9" t="str">
        <f t="shared" si="2"/>
        <v/>
      </c>
      <c r="O49" s="2"/>
      <c r="P49" s="2"/>
      <c r="Q49" s="2"/>
      <c r="R49" s="2"/>
      <c r="S49" s="9" t="str">
        <f t="shared" si="3"/>
        <v/>
      </c>
      <c r="T49" s="2"/>
      <c r="U49" s="2"/>
      <c r="V49" s="2"/>
    </row>
    <row r="50" spans="1:22" ht="42" customHeight="1" x14ac:dyDescent="0.2">
      <c r="A50" s="2">
        <v>309</v>
      </c>
      <c r="B50" s="2">
        <v>24</v>
      </c>
      <c r="C50" s="2" t="s">
        <v>491</v>
      </c>
      <c r="D50" s="2" t="s">
        <v>39</v>
      </c>
      <c r="E50" s="2">
        <v>20240805</v>
      </c>
      <c r="F50" s="2">
        <v>20240809</v>
      </c>
      <c r="G50" s="2" t="s">
        <v>78</v>
      </c>
      <c r="H50" s="2" t="s">
        <v>5245</v>
      </c>
      <c r="I50" s="7" t="s">
        <v>5246</v>
      </c>
      <c r="J50" s="7" t="s">
        <v>5247</v>
      </c>
      <c r="K50" s="6"/>
      <c r="L50" s="2"/>
      <c r="M50" s="2"/>
      <c r="N50" s="9" t="str">
        <f t="shared" si="2"/>
        <v/>
      </c>
      <c r="O50" s="2"/>
      <c r="P50" s="2"/>
      <c r="Q50" s="2"/>
      <c r="R50" s="2"/>
      <c r="S50" s="9" t="str">
        <f t="shared" si="3"/>
        <v/>
      </c>
      <c r="T50" s="2"/>
      <c r="U50" s="2"/>
      <c r="V50" s="2"/>
    </row>
    <row r="51" spans="1:22" ht="42" customHeight="1" x14ac:dyDescent="0.2">
      <c r="A51" s="14">
        <v>311</v>
      </c>
      <c r="B51" s="2">
        <v>23</v>
      </c>
      <c r="C51" s="2" t="s">
        <v>493</v>
      </c>
      <c r="D51" s="2" t="s">
        <v>39</v>
      </c>
      <c r="E51" s="2">
        <v>20240924</v>
      </c>
      <c r="F51" s="2">
        <v>20240929</v>
      </c>
      <c r="G51" s="2" t="s">
        <v>494</v>
      </c>
      <c r="H51" s="2" t="s">
        <v>5365</v>
      </c>
      <c r="I51" s="7" t="s">
        <v>5366</v>
      </c>
      <c r="J51" s="7" t="s">
        <v>5367</v>
      </c>
      <c r="K51" s="16" t="s">
        <v>5585</v>
      </c>
      <c r="L51" s="2" t="s">
        <v>5572</v>
      </c>
      <c r="M51" s="2"/>
      <c r="N51" s="9" t="str">
        <f t="shared" si="2"/>
        <v/>
      </c>
      <c r="O51" s="2"/>
      <c r="P51" s="2"/>
      <c r="Q51" s="2"/>
      <c r="R51" s="2"/>
      <c r="S51" s="9" t="str">
        <f t="shared" si="3"/>
        <v/>
      </c>
      <c r="T51" s="2"/>
      <c r="U51" s="2"/>
      <c r="V51" s="2"/>
    </row>
  </sheetData>
  <dataValidations count="4">
    <dataValidation type="list" allowBlank="1" sqref="Q2:Q51 L2:L51" xr:uid="{00000000-0002-0000-0500-000000000000}">
      <formula1>"Relevant,Borderline,Trash"</formula1>
      <formula2>0</formula2>
    </dataValidation>
    <dataValidation type="list" allowBlank="1" sqref="M2:M51 R2:R51" xr:uid="{00000000-0002-0000-0500-000001000000}">
      <formula1>"A,B,C,D,E"</formula1>
      <formula2>0</formula2>
    </dataValidation>
    <dataValidation type="list" allowBlank="1" sqref="O2:O51 T2:T51" xr:uid="{00000000-0002-0000-0500-000002000000}">
      <formula1>"Natural,Other Human Cause"</formula1>
      <formula2>0</formula2>
    </dataValidation>
    <dataValidation type="list" allowBlank="1" sqref="P2:P51 U2:U51" xr:uid="{00000000-0002-0000-0500-000003000000}">
      <formula1>"Yes,No"</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 Disasters</vt:lpstr>
      <vt:lpstr>Master</vt:lpstr>
      <vt:lpstr>Active</vt:lpstr>
      <vt:lpstr>Trash</vt:lpstr>
      <vt:lpstr>National Domains</vt:lpstr>
      <vt:lpstr>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Hari Gunda</cp:lastModifiedBy>
  <cp:revision>0</cp:revision>
  <dcterms:created xsi:type="dcterms:W3CDTF">2026-06-13T20:18:52Z</dcterms:created>
  <dcterms:modified xsi:type="dcterms:W3CDTF">2026-06-17T17:49:28Z</dcterms:modified>
  <dc:language>en-US</dc:language>
</cp:coreProperties>
</file>